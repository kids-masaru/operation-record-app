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5A8852C8-1E28-4F66-AD6F-49A4F7E0A63D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30" i="4" l="1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P155" i="4"/>
  <c r="M155" i="4"/>
  <c r="P154" i="4"/>
  <c r="M154" i="4"/>
  <c r="P153" i="4"/>
  <c r="M153" i="4"/>
  <c r="P152" i="4"/>
  <c r="M152" i="4"/>
  <c r="P151" i="4"/>
  <c r="M151" i="4"/>
  <c r="P150" i="4"/>
  <c r="M150" i="4"/>
  <c r="P149" i="4"/>
  <c r="M149" i="4"/>
  <c r="P148" i="4"/>
  <c r="M148" i="4"/>
  <c r="P147" i="4"/>
  <c r="M147" i="4"/>
  <c r="P146" i="4"/>
  <c r="M146" i="4"/>
  <c r="P145" i="4"/>
  <c r="M145" i="4"/>
  <c r="P144" i="4"/>
  <c r="M144" i="4"/>
  <c r="P143" i="4"/>
  <c r="M143" i="4"/>
  <c r="P142" i="4"/>
  <c r="M142" i="4"/>
  <c r="P141" i="4"/>
  <c r="M141" i="4"/>
  <c r="P140" i="4"/>
  <c r="M140" i="4"/>
  <c r="P139" i="4"/>
  <c r="M139" i="4"/>
  <c r="P138" i="4"/>
  <c r="M138" i="4"/>
  <c r="P137" i="4"/>
  <c r="M137" i="4"/>
  <c r="P136" i="4"/>
  <c r="M136" i="4"/>
  <c r="P135" i="4"/>
  <c r="M135" i="4"/>
  <c r="P134" i="4"/>
  <c r="M134" i="4"/>
  <c r="P133" i="4"/>
  <c r="M133" i="4"/>
  <c r="P132" i="4"/>
  <c r="M132" i="4"/>
  <c r="P131" i="4"/>
  <c r="M131" i="4"/>
  <c r="P130" i="4"/>
  <c r="M130" i="4"/>
  <c r="P129" i="4"/>
  <c r="M129" i="4"/>
  <c r="P128" i="4"/>
  <c r="M128" i="4"/>
  <c r="P127" i="4"/>
  <c r="M127" i="4"/>
  <c r="P126" i="4"/>
  <c r="M126" i="4"/>
  <c r="P125" i="4"/>
  <c r="M125" i="4"/>
  <c r="P124" i="4"/>
  <c r="M124" i="4"/>
  <c r="P123" i="4"/>
  <c r="M123" i="4"/>
  <c r="P122" i="4"/>
  <c r="M122" i="4"/>
  <c r="P121" i="4"/>
  <c r="M121" i="4"/>
  <c r="P120" i="4"/>
  <c r="M120" i="4"/>
  <c r="P119" i="4"/>
  <c r="M119" i="4"/>
  <c r="P118" i="4"/>
  <c r="M118" i="4"/>
  <c r="P117" i="4"/>
  <c r="M117" i="4"/>
  <c r="P116" i="4"/>
  <c r="M116" i="4"/>
  <c r="P115" i="4"/>
  <c r="M115" i="4"/>
  <c r="P114" i="4"/>
  <c r="M114" i="4"/>
  <c r="P113" i="4"/>
  <c r="M113" i="4"/>
  <c r="P112" i="4"/>
  <c r="M112" i="4"/>
  <c r="P111" i="4"/>
  <c r="M111" i="4"/>
  <c r="P110" i="4"/>
  <c r="M110" i="4"/>
  <c r="P109" i="4"/>
  <c r="M109" i="4"/>
  <c r="P108" i="4"/>
  <c r="M108" i="4"/>
  <c r="P107" i="4"/>
  <c r="M107" i="4"/>
  <c r="P106" i="4"/>
  <c r="M106" i="4"/>
  <c r="P105" i="4"/>
  <c r="M105" i="4"/>
  <c r="P104" i="4"/>
  <c r="M104" i="4"/>
  <c r="P103" i="4"/>
  <c r="M103" i="4"/>
  <c r="P102" i="4"/>
  <c r="M102" i="4"/>
  <c r="J102" i="4"/>
  <c r="P101" i="4"/>
  <c r="M101" i="4"/>
  <c r="J101" i="4"/>
  <c r="P100" i="4"/>
  <c r="M100" i="4"/>
  <c r="J100" i="4"/>
  <c r="P99" i="4"/>
  <c r="M99" i="4"/>
  <c r="J99" i="4"/>
  <c r="P98" i="4"/>
  <c r="M98" i="4"/>
  <c r="J98" i="4"/>
  <c r="P97" i="4"/>
  <c r="M97" i="4"/>
  <c r="J97" i="4"/>
  <c r="P96" i="4"/>
  <c r="M96" i="4"/>
  <c r="J96" i="4"/>
  <c r="P95" i="4"/>
  <c r="M95" i="4"/>
  <c r="J95" i="4"/>
  <c r="P94" i="4"/>
  <c r="M94" i="4"/>
  <c r="J94" i="4"/>
  <c r="P93" i="4"/>
  <c r="M93" i="4"/>
  <c r="J93" i="4"/>
  <c r="P92" i="4"/>
  <c r="M92" i="4"/>
  <c r="J92" i="4"/>
  <c r="P91" i="4"/>
  <c r="M91" i="4"/>
  <c r="J91" i="4"/>
  <c r="P90" i="4"/>
  <c r="M90" i="4"/>
  <c r="J90" i="4"/>
  <c r="P89" i="4"/>
  <c r="M89" i="4"/>
  <c r="J89" i="4"/>
  <c r="P88" i="4"/>
  <c r="M88" i="4"/>
  <c r="J88" i="4"/>
  <c r="P87" i="4"/>
  <c r="M87" i="4"/>
  <c r="J87" i="4"/>
  <c r="P86" i="4"/>
  <c r="M86" i="4"/>
  <c r="J86" i="4"/>
  <c r="G86" i="4"/>
  <c r="P85" i="4"/>
  <c r="M85" i="4"/>
  <c r="J85" i="4"/>
  <c r="G85" i="4"/>
  <c r="P84" i="4"/>
  <c r="M84" i="4"/>
  <c r="J84" i="4"/>
  <c r="G84" i="4"/>
  <c r="P83" i="4"/>
  <c r="M83" i="4"/>
  <c r="J83" i="4"/>
  <c r="G83" i="4"/>
  <c r="P82" i="4"/>
  <c r="M82" i="4"/>
  <c r="J82" i="4"/>
  <c r="G82" i="4"/>
  <c r="P81" i="4"/>
  <c r="M81" i="4"/>
  <c r="J81" i="4"/>
  <c r="G81" i="4"/>
  <c r="P80" i="4"/>
  <c r="M80" i="4"/>
  <c r="J80" i="4"/>
  <c r="G80" i="4"/>
  <c r="P79" i="4"/>
  <c r="M79" i="4"/>
  <c r="J79" i="4"/>
  <c r="G79" i="4"/>
  <c r="P78" i="4"/>
  <c r="M78" i="4"/>
  <c r="J78" i="4"/>
  <c r="G78" i="4"/>
  <c r="P77" i="4"/>
  <c r="M77" i="4"/>
  <c r="J77" i="4"/>
  <c r="G77" i="4"/>
  <c r="P76" i="4"/>
  <c r="M76" i="4"/>
  <c r="J76" i="4"/>
  <c r="G76" i="4"/>
  <c r="P75" i="4"/>
  <c r="M75" i="4"/>
  <c r="J75" i="4"/>
  <c r="G75" i="4"/>
  <c r="P74" i="4"/>
  <c r="M74" i="4"/>
  <c r="J74" i="4"/>
  <c r="G74" i="4"/>
  <c r="P73" i="4"/>
  <c r="M73" i="4"/>
  <c r="J73" i="4"/>
  <c r="G73" i="4"/>
  <c r="P72" i="4"/>
  <c r="M72" i="4"/>
  <c r="J72" i="4"/>
  <c r="G72" i="4"/>
  <c r="P71" i="4"/>
  <c r="M71" i="4"/>
  <c r="J71" i="4"/>
  <c r="G71" i="4"/>
  <c r="P70" i="4"/>
  <c r="M70" i="4"/>
  <c r="J70" i="4"/>
  <c r="G70" i="4"/>
  <c r="P69" i="4"/>
  <c r="M69" i="4"/>
  <c r="J69" i="4"/>
  <c r="G69" i="4"/>
  <c r="P68" i="4"/>
  <c r="M68" i="4"/>
  <c r="J68" i="4"/>
  <c r="G68" i="4"/>
  <c r="P67" i="4"/>
  <c r="M67" i="4"/>
  <c r="J67" i="4"/>
  <c r="G67" i="4"/>
  <c r="P66" i="4"/>
  <c r="M66" i="4"/>
  <c r="J66" i="4"/>
  <c r="G66" i="4"/>
  <c r="P65" i="4"/>
  <c r="M65" i="4"/>
  <c r="J65" i="4"/>
  <c r="G65" i="4"/>
  <c r="P64" i="4"/>
  <c r="M64" i="4"/>
  <c r="J64" i="4"/>
  <c r="G64" i="4"/>
  <c r="P63" i="4"/>
  <c r="M63" i="4"/>
  <c r="J63" i="4"/>
  <c r="G63" i="4"/>
  <c r="P62" i="4"/>
  <c r="M62" i="4"/>
  <c r="J62" i="4"/>
  <c r="G62" i="4"/>
  <c r="P61" i="4"/>
  <c r="M61" i="4"/>
  <c r="J61" i="4"/>
  <c r="G61" i="4"/>
  <c r="P60" i="4"/>
  <c r="M60" i="4"/>
  <c r="J60" i="4"/>
  <c r="G60" i="4"/>
  <c r="P59" i="4"/>
  <c r="M59" i="4"/>
  <c r="J59" i="4"/>
  <c r="G59" i="4"/>
  <c r="P58" i="4"/>
  <c r="M58" i="4"/>
  <c r="J58" i="4"/>
  <c r="G58" i="4"/>
  <c r="P57" i="4"/>
  <c r="M57" i="4"/>
  <c r="J57" i="4"/>
  <c r="G57" i="4"/>
  <c r="P56" i="4"/>
  <c r="M56" i="4"/>
  <c r="J56" i="4"/>
  <c r="G56" i="4"/>
  <c r="P55" i="4"/>
  <c r="M55" i="4"/>
  <c r="J55" i="4"/>
  <c r="G55" i="4"/>
  <c r="P54" i="4"/>
  <c r="M54" i="4"/>
  <c r="J54" i="4"/>
  <c r="G54" i="4"/>
  <c r="P53" i="4"/>
  <c r="M53" i="4"/>
  <c r="J53" i="4"/>
  <c r="G53" i="4"/>
  <c r="P52" i="4"/>
  <c r="M52" i="4"/>
  <c r="J52" i="4"/>
  <c r="G52" i="4"/>
  <c r="P51" i="4"/>
  <c r="M51" i="4"/>
  <c r="J51" i="4"/>
  <c r="G51" i="4"/>
  <c r="P50" i="4"/>
  <c r="M50" i="4"/>
  <c r="J50" i="4"/>
  <c r="G50" i="4"/>
  <c r="P49" i="4"/>
  <c r="M49" i="4"/>
  <c r="J49" i="4"/>
  <c r="G49" i="4"/>
  <c r="P48" i="4"/>
  <c r="M48" i="4"/>
  <c r="J48" i="4"/>
  <c r="G48" i="4"/>
  <c r="P47" i="4"/>
  <c r="M47" i="4"/>
  <c r="J47" i="4"/>
  <c r="G47" i="4"/>
  <c r="P46" i="4"/>
  <c r="M46" i="4"/>
  <c r="J46" i="4"/>
  <c r="G46" i="4"/>
  <c r="P45" i="4"/>
  <c r="M45" i="4"/>
  <c r="J45" i="4"/>
  <c r="G45" i="4"/>
  <c r="P44" i="4"/>
  <c r="M44" i="4"/>
  <c r="J44" i="4"/>
  <c r="G44" i="4"/>
  <c r="P43" i="4"/>
  <c r="M43" i="4"/>
  <c r="J43" i="4"/>
  <c r="G43" i="4"/>
  <c r="P42" i="4"/>
  <c r="M42" i="4"/>
  <c r="J42" i="4"/>
  <c r="G42" i="4"/>
  <c r="P41" i="4"/>
  <c r="M41" i="4"/>
  <c r="J41" i="4"/>
  <c r="G41" i="4"/>
  <c r="P40" i="4"/>
  <c r="M40" i="4"/>
  <c r="J40" i="4"/>
  <c r="G40" i="4"/>
  <c r="P39" i="4"/>
  <c r="M39" i="4"/>
  <c r="J39" i="4"/>
  <c r="G39" i="4"/>
  <c r="P38" i="4"/>
  <c r="M38" i="4"/>
  <c r="J38" i="4"/>
  <c r="G38" i="4"/>
  <c r="P37" i="4"/>
  <c r="M37" i="4"/>
  <c r="J37" i="4"/>
  <c r="G37" i="4"/>
  <c r="P36" i="4"/>
  <c r="M36" i="4"/>
  <c r="J36" i="4"/>
  <c r="G36" i="4"/>
  <c r="P35" i="4"/>
  <c r="M35" i="4"/>
  <c r="J35" i="4"/>
  <c r="G35" i="4"/>
  <c r="P34" i="4"/>
  <c r="M34" i="4"/>
  <c r="J34" i="4"/>
  <c r="G34" i="4"/>
  <c r="P33" i="4"/>
  <c r="M33" i="4"/>
  <c r="J33" i="4"/>
  <c r="G33" i="4"/>
  <c r="P32" i="4"/>
  <c r="M32" i="4"/>
  <c r="J32" i="4"/>
  <c r="G32" i="4"/>
  <c r="P31" i="4"/>
  <c r="M31" i="4"/>
  <c r="J31" i="4"/>
  <c r="G31" i="4"/>
  <c r="P30" i="4"/>
  <c r="M30" i="4"/>
  <c r="J30" i="4"/>
  <c r="G30" i="4"/>
  <c r="P29" i="4"/>
  <c r="M29" i="4"/>
  <c r="J29" i="4"/>
  <c r="G29" i="4"/>
  <c r="P28" i="4"/>
  <c r="M28" i="4"/>
  <c r="J28" i="4"/>
  <c r="G28" i="4"/>
  <c r="P27" i="4"/>
  <c r="M27" i="4"/>
  <c r="J27" i="4"/>
  <c r="G27" i="4"/>
  <c r="P26" i="4"/>
  <c r="M26" i="4"/>
  <c r="J26" i="4"/>
  <c r="G26" i="4"/>
  <c r="P25" i="4"/>
  <c r="M25" i="4"/>
  <c r="J25" i="4"/>
  <c r="G25" i="4"/>
  <c r="P24" i="4"/>
  <c r="M24" i="4"/>
  <c r="J24" i="4"/>
  <c r="G24" i="4"/>
  <c r="P23" i="4"/>
  <c r="M23" i="4"/>
  <c r="J23" i="4"/>
  <c r="G23" i="4"/>
  <c r="P22" i="4"/>
  <c r="M22" i="4"/>
  <c r="J22" i="4"/>
  <c r="G22" i="4"/>
  <c r="P21" i="4"/>
  <c r="M21" i="4"/>
  <c r="J21" i="4"/>
  <c r="G21" i="4"/>
  <c r="P20" i="4"/>
  <c r="M20" i="4"/>
  <c r="J20" i="4"/>
  <c r="G20" i="4"/>
  <c r="P19" i="4"/>
  <c r="M19" i="4"/>
  <c r="J19" i="4"/>
  <c r="G19" i="4"/>
  <c r="P18" i="4"/>
  <c r="M18" i="4"/>
  <c r="J18" i="4"/>
  <c r="G18" i="4"/>
  <c r="P17" i="4"/>
  <c r="M17" i="4"/>
  <c r="J17" i="4"/>
  <c r="G17" i="4"/>
  <c r="P16" i="4"/>
  <c r="M16" i="4"/>
  <c r="J16" i="4"/>
  <c r="G16" i="4"/>
  <c r="P15" i="4"/>
  <c r="M15" i="4"/>
  <c r="J15" i="4"/>
  <c r="G15" i="4"/>
  <c r="P14" i="4"/>
  <c r="M14" i="4"/>
  <c r="J14" i="4"/>
  <c r="G14" i="4"/>
  <c r="P13" i="4"/>
  <c r="M13" i="4"/>
  <c r="J13" i="4"/>
  <c r="G13" i="4"/>
  <c r="P12" i="4"/>
  <c r="M12" i="4"/>
  <c r="J12" i="4"/>
  <c r="G12" i="4"/>
  <c r="C12" i="4"/>
  <c r="P11" i="4"/>
  <c r="M11" i="4"/>
  <c r="J11" i="4"/>
  <c r="G11" i="4"/>
  <c r="C11" i="4"/>
  <c r="P10" i="4"/>
  <c r="M10" i="4"/>
  <c r="J10" i="4"/>
  <c r="G10" i="4"/>
  <c r="C10" i="4"/>
  <c r="P9" i="4"/>
  <c r="M9" i="4"/>
  <c r="J9" i="4"/>
  <c r="G9" i="4"/>
  <c r="C9" i="4"/>
  <c r="P8" i="4"/>
  <c r="M8" i="4"/>
  <c r="J8" i="4"/>
  <c r="G8" i="4"/>
  <c r="C8" i="4"/>
  <c r="P7" i="4"/>
  <c r="M7" i="4"/>
  <c r="J7" i="4"/>
  <c r="G7" i="4"/>
  <c r="C7" i="4"/>
  <c r="P6" i="4"/>
  <c r="M6" i="4"/>
  <c r="J6" i="4"/>
  <c r="G6" i="4"/>
  <c r="C6" i="4"/>
  <c r="P5" i="4"/>
  <c r="M5" i="4"/>
  <c r="J5" i="4"/>
  <c r="G5" i="4"/>
  <c r="C5" i="4"/>
  <c r="P4" i="4"/>
  <c r="M4" i="4"/>
  <c r="J4" i="4"/>
  <c r="G4" i="4"/>
  <c r="C4" i="4"/>
  <c r="P3" i="4"/>
  <c r="M3" i="4"/>
  <c r="J3" i="4"/>
  <c r="G3" i="4"/>
  <c r="C3" i="4"/>
  <c r="P2" i="4"/>
  <c r="M2" i="4"/>
  <c r="M1" i="4" s="1"/>
  <c r="J2" i="4"/>
  <c r="G2" i="4"/>
  <c r="N41" i="3"/>
  <c r="K41" i="3"/>
  <c r="I41" i="3" s="1"/>
  <c r="H41" i="3"/>
  <c r="D41" i="3" s="1"/>
  <c r="D40" i="3" s="1"/>
  <c r="K38" i="3"/>
  <c r="L38" i="3" s="1"/>
  <c r="H38" i="3"/>
  <c r="D38" i="3" s="1"/>
  <c r="K37" i="3"/>
  <c r="L37" i="3" s="1"/>
  <c r="I37" i="3"/>
  <c r="H37" i="3"/>
  <c r="D37" i="3" s="1"/>
  <c r="K36" i="3"/>
  <c r="I36" i="3" s="1"/>
  <c r="H36" i="3"/>
  <c r="L35" i="3"/>
  <c r="K35" i="3"/>
  <c r="I35" i="3" s="1"/>
  <c r="H35" i="3"/>
  <c r="D35" i="3" s="1"/>
  <c r="AJ33" i="3"/>
  <c r="AK33" i="3" s="1"/>
  <c r="AG33" i="3"/>
  <c r="AJ32" i="3"/>
  <c r="AH32" i="3" s="1"/>
  <c r="AG32" i="3"/>
  <c r="K32" i="3"/>
  <c r="I32" i="3" s="1"/>
  <c r="H32" i="3"/>
  <c r="D32" i="3" s="1"/>
  <c r="AJ31" i="3"/>
  <c r="AK31" i="3" s="1"/>
  <c r="AG31" i="3"/>
  <c r="AC31" i="3" s="1"/>
  <c r="K31" i="3"/>
  <c r="I31" i="3" s="1"/>
  <c r="H31" i="3"/>
  <c r="AJ30" i="3"/>
  <c r="AK30" i="3" s="1"/>
  <c r="AG30" i="3"/>
  <c r="AC30" i="3"/>
  <c r="L30" i="3"/>
  <c r="K30" i="3"/>
  <c r="I30" i="3"/>
  <c r="H30" i="3"/>
  <c r="D30" i="3" s="1"/>
  <c r="AJ29" i="3"/>
  <c r="AK29" i="3" s="1"/>
  <c r="AG29" i="3"/>
  <c r="AC29" i="3" s="1"/>
  <c r="AJ28" i="3"/>
  <c r="AK28" i="3" s="1"/>
  <c r="AG28" i="3"/>
  <c r="AC28" i="3" s="1"/>
  <c r="AJ27" i="3"/>
  <c r="AK27" i="3" s="1"/>
  <c r="AG27" i="3"/>
  <c r="AC27" i="3"/>
  <c r="AJ26" i="3"/>
  <c r="AK26" i="3" s="1"/>
  <c r="AG26" i="3"/>
  <c r="K25" i="3"/>
  <c r="L25" i="3" s="1"/>
  <c r="H25" i="3"/>
  <c r="D25" i="3" s="1"/>
  <c r="K24" i="3"/>
  <c r="I24" i="3" s="1"/>
  <c r="H24" i="3"/>
  <c r="D24" i="3" s="1"/>
  <c r="AG23" i="3"/>
  <c r="K23" i="3"/>
  <c r="I23" i="3" s="1"/>
  <c r="H23" i="3"/>
  <c r="D23" i="3" s="1"/>
  <c r="AJ22" i="3"/>
  <c r="AK22" i="3" s="1"/>
  <c r="AG22" i="3"/>
  <c r="AC22" i="3"/>
  <c r="L22" i="3"/>
  <c r="K22" i="3"/>
  <c r="I22" i="3" s="1"/>
  <c r="H22" i="3"/>
  <c r="D22" i="3" s="1"/>
  <c r="D21" i="3" s="1"/>
  <c r="AJ21" i="3"/>
  <c r="AK21" i="3" s="1"/>
  <c r="AG21" i="3"/>
  <c r="AJ20" i="3"/>
  <c r="AK20" i="3" s="1"/>
  <c r="AG20" i="3"/>
  <c r="AC20" i="3" s="1"/>
  <c r="AJ19" i="3"/>
  <c r="AH19" i="3" s="1"/>
  <c r="AG19" i="3"/>
  <c r="AJ18" i="3"/>
  <c r="AK18" i="3" s="1"/>
  <c r="AG18" i="3"/>
  <c r="AC18" i="3" s="1"/>
  <c r="K18" i="3"/>
  <c r="L18" i="3" s="1"/>
  <c r="I18" i="3"/>
  <c r="H18" i="3"/>
  <c r="D18" i="3"/>
  <c r="AJ17" i="3"/>
  <c r="AH17" i="3" s="1"/>
  <c r="AG17" i="3"/>
  <c r="K17" i="3"/>
  <c r="L17" i="3" s="1"/>
  <c r="H17" i="3"/>
  <c r="D17" i="3" s="1"/>
  <c r="AK16" i="3"/>
  <c r="AJ16" i="3"/>
  <c r="AH16" i="3" s="1"/>
  <c r="AG16" i="3"/>
  <c r="K16" i="3"/>
  <c r="L16" i="3" s="1"/>
  <c r="I16" i="3"/>
  <c r="H16" i="3"/>
  <c r="K15" i="3"/>
  <c r="I15" i="3" s="1"/>
  <c r="H15" i="3"/>
  <c r="K14" i="3"/>
  <c r="L14" i="3" s="1"/>
  <c r="H14" i="3"/>
  <c r="AJ13" i="3"/>
  <c r="AH13" i="3" s="1"/>
  <c r="AG13" i="3"/>
  <c r="AC13" i="3" s="1"/>
  <c r="K13" i="3"/>
  <c r="L13" i="3" s="1"/>
  <c r="H13" i="3"/>
  <c r="D13" i="3" s="1"/>
  <c r="AJ12" i="3"/>
  <c r="AH12" i="3" s="1"/>
  <c r="AG12" i="3"/>
  <c r="K12" i="3"/>
  <c r="L12" i="3" s="1"/>
  <c r="H12" i="3"/>
  <c r="AG11" i="3"/>
  <c r="AJ10" i="3"/>
  <c r="AK10" i="3" s="1"/>
  <c r="AG10" i="3"/>
  <c r="AC10" i="3" s="1"/>
  <c r="AJ9" i="3"/>
  <c r="AK9" i="3" s="1"/>
  <c r="AG9" i="3"/>
  <c r="AC9" i="3" s="1"/>
  <c r="AJ8" i="3"/>
  <c r="AK8" i="3" s="1"/>
  <c r="AG8" i="3"/>
  <c r="AC8" i="3" s="1"/>
  <c r="N8" i="3"/>
  <c r="AJ7" i="3"/>
  <c r="AK7" i="3" s="1"/>
  <c r="AG7" i="3"/>
  <c r="N6" i="3"/>
  <c r="N5" i="3"/>
  <c r="N4" i="3"/>
  <c r="O375" i="2" a="1"/>
  <c r="O375" i="2" s="1"/>
  <c r="N375" i="2" a="1"/>
  <c r="N375" i="2" s="1"/>
  <c r="M375" i="2" a="1"/>
  <c r="M375" i="2" s="1"/>
  <c r="L375" i="2" a="1"/>
  <c r="L375" i="2" s="1"/>
  <c r="K375" i="2" a="1"/>
  <c r="K375" i="2" s="1"/>
  <c r="J375" i="2" a="1"/>
  <c r="J375" i="2" s="1"/>
  <c r="I375" i="2" a="1"/>
  <c r="I375" i="2" s="1"/>
  <c r="H375" i="2" a="1"/>
  <c r="H375" i="2" s="1"/>
  <c r="G375" i="2" a="1"/>
  <c r="G375" i="2" s="1"/>
  <c r="F375" i="2" a="1"/>
  <c r="F375" i="2" s="1"/>
  <c r="E375" i="2" a="1"/>
  <c r="E375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 s="1"/>
  <c r="L373" i="2" a="1"/>
  <c r="L373" i="2" s="1"/>
  <c r="K373" i="2" a="1"/>
  <c r="K373" i="2" s="1"/>
  <c r="J373" i="2" a="1"/>
  <c r="J373" i="2"/>
  <c r="I373" i="2" a="1"/>
  <c r="I373" i="2" s="1"/>
  <c r="H373" i="2" a="1"/>
  <c r="H373" i="2"/>
  <c r="G373" i="2" a="1"/>
  <c r="G373" i="2" s="1"/>
  <c r="F373" i="2" a="1"/>
  <c r="F373" i="2" s="1"/>
  <c r="E373" i="2" a="1"/>
  <c r="E373" i="2" s="1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/>
  <c r="N371" i="2" a="1"/>
  <c r="N371" i="2" s="1"/>
  <c r="M371" i="2" a="1"/>
  <c r="M371" i="2" s="1"/>
  <c r="L371" i="2" a="1"/>
  <c r="L371" i="2" s="1"/>
  <c r="K371" i="2" a="1"/>
  <c r="K371" i="2" s="1"/>
  <c r="J371" i="2" a="1"/>
  <c r="J371" i="2" s="1"/>
  <c r="I371" i="2" a="1"/>
  <c r="I371" i="2" s="1"/>
  <c r="H371" i="2" a="1"/>
  <c r="H371" i="2" s="1"/>
  <c r="G371" i="2" a="1"/>
  <c r="G371" i="2" s="1"/>
  <c r="F371" i="2" a="1"/>
  <c r="F371" i="2" s="1"/>
  <c r="E371" i="2" a="1"/>
  <c r="E371" i="2" s="1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/>
  <c r="N369" i="2" a="1"/>
  <c r="N369" i="2"/>
  <c r="M369" i="2" a="1"/>
  <c r="M369" i="2" s="1"/>
  <c r="L369" i="2" a="1"/>
  <c r="L369" i="2" s="1"/>
  <c r="K369" i="2" a="1"/>
  <c r="K369" i="2" s="1"/>
  <c r="J369" i="2" a="1"/>
  <c r="J369" i="2" s="1"/>
  <c r="I369" i="2" a="1"/>
  <c r="I369" i="2" s="1"/>
  <c r="H369" i="2" a="1"/>
  <c r="H369" i="2" s="1"/>
  <c r="G369" i="2" a="1"/>
  <c r="G369" i="2" s="1"/>
  <c r="F369" i="2" a="1"/>
  <c r="F369" i="2" s="1"/>
  <c r="E369" i="2" a="1"/>
  <c r="E369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 s="1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 s="1"/>
  <c r="I367" i="2" a="1"/>
  <c r="I367" i="2" s="1"/>
  <c r="H367" i="2" a="1"/>
  <c r="H367" i="2" s="1"/>
  <c r="G367" i="2" a="1"/>
  <c r="G367" i="2" s="1"/>
  <c r="F367" i="2" a="1"/>
  <c r="F367" i="2" s="1"/>
  <c r="E367" i="2" a="1"/>
  <c r="E367" i="2" s="1"/>
  <c r="O366" i="2" a="1"/>
  <c r="O366" i="2" s="1"/>
  <c r="N366" i="2" a="1"/>
  <c r="N366" i="2" s="1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 s="1"/>
  <c r="N365" i="2" a="1"/>
  <c r="N365" i="2" s="1"/>
  <c r="M365" i="2" a="1"/>
  <c r="M365" i="2" s="1"/>
  <c r="L365" i="2" a="1"/>
  <c r="L365" i="2" s="1"/>
  <c r="K365" i="2" a="1"/>
  <c r="K365" i="2" s="1"/>
  <c r="J365" i="2" a="1"/>
  <c r="J365" i="2" s="1"/>
  <c r="I365" i="2" a="1"/>
  <c r="I365" i="2"/>
  <c r="H365" i="2" a="1"/>
  <c r="H365" i="2"/>
  <c r="G365" i="2" a="1"/>
  <c r="G365" i="2" s="1"/>
  <c r="F365" i="2" a="1"/>
  <c r="F365" i="2" s="1"/>
  <c r="E365" i="2" a="1"/>
  <c r="E365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 s="1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 s="1"/>
  <c r="M363" i="2" a="1"/>
  <c r="M363" i="2" s="1"/>
  <c r="L363" i="2" a="1"/>
  <c r="L363" i="2" s="1"/>
  <c r="K363" i="2" a="1"/>
  <c r="K363" i="2" s="1"/>
  <c r="J363" i="2" a="1"/>
  <c r="J363" i="2" s="1"/>
  <c r="I363" i="2" a="1"/>
  <c r="I363" i="2" s="1"/>
  <c r="H363" i="2" a="1"/>
  <c r="H363" i="2" s="1"/>
  <c r="G363" i="2" a="1"/>
  <c r="G363" i="2" s="1"/>
  <c r="F363" i="2" a="1"/>
  <c r="F363" i="2" s="1"/>
  <c r="E363" i="2" a="1"/>
  <c r="E363" i="2" s="1"/>
  <c r="O362" i="2" a="1"/>
  <c r="O362" i="2" s="1"/>
  <c r="N362" i="2" a="1"/>
  <c r="N362" i="2" s="1"/>
  <c r="M362" i="2" a="1"/>
  <c r="M362" i="2" s="1"/>
  <c r="L362" i="2" a="1"/>
  <c r="L362" i="2" s="1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 s="1"/>
  <c r="N361" i="2" a="1"/>
  <c r="N361" i="2"/>
  <c r="M361" i="2" a="1"/>
  <c r="M361" i="2" s="1"/>
  <c r="L361" i="2" a="1"/>
  <c r="L361" i="2" s="1"/>
  <c r="K361" i="2" a="1"/>
  <c r="K361" i="2"/>
  <c r="J361" i="2" a="1"/>
  <c r="J361" i="2" s="1"/>
  <c r="I361" i="2" a="1"/>
  <c r="I361" i="2" s="1"/>
  <c r="H361" i="2" a="1"/>
  <c r="H361" i="2" s="1"/>
  <c r="G361" i="2" a="1"/>
  <c r="G361" i="2" s="1"/>
  <c r="F361" i="2" a="1"/>
  <c r="F361" i="2" s="1"/>
  <c r="E361" i="2" a="1"/>
  <c r="E361" i="2" s="1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E360" i="2" a="1"/>
  <c r="E360" i="2" s="1"/>
  <c r="O359" i="2" a="1"/>
  <c r="O359" i="2" s="1"/>
  <c r="N359" i="2" a="1"/>
  <c r="N359" i="2" s="1"/>
  <c r="M359" i="2" a="1"/>
  <c r="M359" i="2" s="1"/>
  <c r="L359" i="2" a="1"/>
  <c r="L359" i="2" s="1"/>
  <c r="K359" i="2" a="1"/>
  <c r="K359" i="2" s="1"/>
  <c r="J359" i="2" a="1"/>
  <c r="J359" i="2" s="1"/>
  <c r="I359" i="2" a="1"/>
  <c r="I359" i="2" s="1"/>
  <c r="H359" i="2" a="1"/>
  <c r="H359" i="2" s="1"/>
  <c r="G359" i="2" a="1"/>
  <c r="G359" i="2"/>
  <c r="F359" i="2" a="1"/>
  <c r="F359" i="2" s="1"/>
  <c r="E359" i="2" a="1"/>
  <c r="E359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/>
  <c r="H357" i="2" a="1"/>
  <c r="H357" i="2"/>
  <c r="G357" i="2" a="1"/>
  <c r="G357" i="2" s="1"/>
  <c r="F357" i="2" a="1"/>
  <c r="F357" i="2" s="1"/>
  <c r="E357" i="2" a="1"/>
  <c r="E357" i="2" s="1"/>
  <c r="O356" i="2" a="1"/>
  <c r="O356" i="2" s="1"/>
  <c r="N356" i="2" a="1"/>
  <c r="N356" i="2" s="1"/>
  <c r="M356" i="2" a="1"/>
  <c r="M356" i="2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 s="1"/>
  <c r="O355" i="2" a="1"/>
  <c r="O355" i="2" s="1"/>
  <c r="N355" i="2" a="1"/>
  <c r="N355" i="2" s="1"/>
  <c r="M355" i="2" a="1"/>
  <c r="M355" i="2" s="1"/>
  <c r="L355" i="2" a="1"/>
  <c r="L355" i="2" s="1"/>
  <c r="K355" i="2" a="1"/>
  <c r="K355" i="2"/>
  <c r="J355" i="2" a="1"/>
  <c r="J355" i="2" s="1"/>
  <c r="I355" i="2" a="1"/>
  <c r="I355" i="2" s="1"/>
  <c r="H355" i="2" a="1"/>
  <c r="H355" i="2" s="1"/>
  <c r="G355" i="2" a="1"/>
  <c r="G355" i="2"/>
  <c r="F355" i="2" a="1"/>
  <c r="F355" i="2" s="1"/>
  <c r="E355" i="2" a="1"/>
  <c r="E355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/>
  <c r="J353" i="2" a="1"/>
  <c r="J353" i="2"/>
  <c r="I353" i="2" a="1"/>
  <c r="I353" i="2" s="1"/>
  <c r="H353" i="2" a="1"/>
  <c r="H353" i="2" s="1"/>
  <c r="G353" i="2" a="1"/>
  <c r="G353" i="2" s="1"/>
  <c r="F353" i="2" a="1"/>
  <c r="F353" i="2" s="1"/>
  <c r="E353" i="2" a="1"/>
  <c r="E353" i="2" s="1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 s="1"/>
  <c r="N351" i="2" a="1"/>
  <c r="N351" i="2" s="1"/>
  <c r="M351" i="2" a="1"/>
  <c r="M351" i="2"/>
  <c r="L351" i="2" a="1"/>
  <c r="L351" i="2" s="1"/>
  <c r="K351" i="2" a="1"/>
  <c r="K351" i="2" s="1"/>
  <c r="J351" i="2" a="1"/>
  <c r="J351" i="2"/>
  <c r="I351" i="2" a="1"/>
  <c r="I351" i="2" s="1"/>
  <c r="H351" i="2" a="1"/>
  <c r="H351" i="2" s="1"/>
  <c r="G351" i="2" a="1"/>
  <c r="G351" i="2" s="1"/>
  <c r="F351" i="2" a="1"/>
  <c r="F351" i="2" s="1"/>
  <c r="E351" i="2" a="1"/>
  <c r="E351" i="2" s="1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 s="1"/>
  <c r="N349" i="2" a="1"/>
  <c r="N349" i="2" s="1"/>
  <c r="M349" i="2" a="1"/>
  <c r="M349" i="2"/>
  <c r="L349" i="2" a="1"/>
  <c r="L349" i="2"/>
  <c r="K349" i="2" a="1"/>
  <c r="K349" i="2" s="1"/>
  <c r="J349" i="2" a="1"/>
  <c r="J349" i="2" s="1"/>
  <c r="I349" i="2" a="1"/>
  <c r="I349" i="2" s="1"/>
  <c r="H349" i="2" a="1"/>
  <c r="H349" i="2" s="1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 s="1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 s="1"/>
  <c r="O347" i="2" a="1"/>
  <c r="O347" i="2" s="1"/>
  <c r="N347" i="2" a="1"/>
  <c r="N347" i="2" s="1"/>
  <c r="M347" i="2" a="1"/>
  <c r="M347" i="2" s="1"/>
  <c r="L347" i="2" a="1"/>
  <c r="L347" i="2" s="1"/>
  <c r="K347" i="2" a="1"/>
  <c r="K347" i="2" s="1"/>
  <c r="J347" i="2" a="1"/>
  <c r="J347" i="2" s="1"/>
  <c r="I347" i="2" a="1"/>
  <c r="I347" i="2"/>
  <c r="H347" i="2" a="1"/>
  <c r="H347" i="2"/>
  <c r="G347" i="2" a="1"/>
  <c r="G347" i="2" s="1"/>
  <c r="F347" i="2" a="1"/>
  <c r="F347" i="2" s="1"/>
  <c r="E347" i="2" a="1"/>
  <c r="E347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 s="1"/>
  <c r="N341" i="2" a="1"/>
  <c r="N341" i="2" s="1"/>
  <c r="M341" i="2" a="1"/>
  <c r="M341" i="2" s="1"/>
  <c r="L341" i="2" a="1"/>
  <c r="L341" i="2" s="1"/>
  <c r="K341" i="2" a="1"/>
  <c r="K341" i="2" s="1"/>
  <c r="J341" i="2" a="1"/>
  <c r="J341" i="2" s="1"/>
  <c r="I341" i="2" a="1"/>
  <c r="I341" i="2" s="1"/>
  <c r="H341" i="2" a="1"/>
  <c r="H341" i="2" s="1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 s="1"/>
  <c r="O339" i="2" a="1"/>
  <c r="O339" i="2"/>
  <c r="N339" i="2" a="1"/>
  <c r="N339" i="2" s="1"/>
  <c r="M339" i="2" a="1"/>
  <c r="M339" i="2" s="1"/>
  <c r="L339" i="2" a="1"/>
  <c r="L339" i="2" s="1"/>
  <c r="K339" i="2" a="1"/>
  <c r="K339" i="2" s="1"/>
  <c r="J339" i="2" a="1"/>
  <c r="J339" i="2" s="1"/>
  <c r="I339" i="2" a="1"/>
  <c r="I339" i="2"/>
  <c r="H339" i="2" a="1"/>
  <c r="H339" i="2" s="1"/>
  <c r="G339" i="2" a="1"/>
  <c r="G339" i="2" s="1"/>
  <c r="F339" i="2" a="1"/>
  <c r="F339" i="2" s="1"/>
  <c r="E339" i="2" a="1"/>
  <c r="E339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 s="1"/>
  <c r="J337" i="2" a="1"/>
  <c r="J337" i="2" s="1"/>
  <c r="I337" i="2" a="1"/>
  <c r="I337" i="2" s="1"/>
  <c r="H337" i="2" a="1"/>
  <c r="H337" i="2" s="1"/>
  <c r="G337" i="2" a="1"/>
  <c r="G337" i="2" s="1"/>
  <c r="F337" i="2" a="1"/>
  <c r="F337" i="2" s="1"/>
  <c r="E337" i="2" a="1"/>
  <c r="E337" i="2" s="1"/>
  <c r="O336" i="2" a="1"/>
  <c r="O336" i="2" s="1"/>
  <c r="N336" i="2" a="1"/>
  <c r="N336" i="2" s="1"/>
  <c r="M336" i="2" a="1"/>
  <c r="M336" i="2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/>
  <c r="O335" i="2" a="1"/>
  <c r="O335" i="2" s="1"/>
  <c r="N335" i="2" a="1"/>
  <c r="N335" i="2" s="1"/>
  <c r="M335" i="2" a="1"/>
  <c r="M335" i="2" s="1"/>
  <c r="L335" i="2" a="1"/>
  <c r="L335" i="2" s="1"/>
  <c r="K335" i="2" a="1"/>
  <c r="K335" i="2" s="1"/>
  <c r="J335" i="2" a="1"/>
  <c r="J335" i="2" s="1"/>
  <c r="I335" i="2" a="1"/>
  <c r="I335" i="2" s="1"/>
  <c r="H335" i="2" a="1"/>
  <c r="H335" i="2" s="1"/>
  <c r="G335" i="2" a="1"/>
  <c r="G335" i="2"/>
  <c r="F335" i="2" a="1"/>
  <c r="F335" i="2"/>
  <c r="E335" i="2" a="1"/>
  <c r="E335" i="2" s="1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/>
  <c r="I334" i="2" a="1"/>
  <c r="I334" i="2" s="1"/>
  <c r="H334" i="2" a="1"/>
  <c r="H334" i="2" s="1"/>
  <c r="G334" i="2" a="1"/>
  <c r="G334" i="2" s="1"/>
  <c r="F334" i="2" a="1"/>
  <c r="F334" i="2" s="1"/>
  <c r="E334" i="2" a="1"/>
  <c r="E334" i="2" s="1"/>
  <c r="O333" i="2" a="1"/>
  <c r="O333" i="2" s="1"/>
  <c r="N333" i="2" a="1"/>
  <c r="N333" i="2" s="1"/>
  <c r="M333" i="2" a="1"/>
  <c r="M333" i="2" s="1"/>
  <c r="L333" i="2" a="1"/>
  <c r="L333" i="2" s="1"/>
  <c r="K333" i="2" a="1"/>
  <c r="K333" i="2" s="1"/>
  <c r="J333" i="2" a="1"/>
  <c r="J333" i="2" s="1"/>
  <c r="I333" i="2" a="1"/>
  <c r="I333" i="2" s="1"/>
  <c r="H333" i="2" a="1"/>
  <c r="H333" i="2"/>
  <c r="G333" i="2" a="1"/>
  <c r="G333" i="2" s="1"/>
  <c r="F333" i="2" a="1"/>
  <c r="F333" i="2" s="1"/>
  <c r="E333" i="2" a="1"/>
  <c r="E333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/>
  <c r="H332" i="2" a="1"/>
  <c r="H332" i="2" s="1"/>
  <c r="G332" i="2" a="1"/>
  <c r="G332" i="2" s="1"/>
  <c r="F332" i="2" a="1"/>
  <c r="F332" i="2" s="1"/>
  <c r="E332" i="2" a="1"/>
  <c r="E332" i="2"/>
  <c r="O331" i="2" a="1"/>
  <c r="O331" i="2" s="1"/>
  <c r="N331" i="2" a="1"/>
  <c r="N331" i="2" s="1"/>
  <c r="M331" i="2" a="1"/>
  <c r="M331" i="2" s="1"/>
  <c r="L331" i="2" a="1"/>
  <c r="L331" i="2" s="1"/>
  <c r="K331" i="2" a="1"/>
  <c r="K331" i="2" s="1"/>
  <c r="J331" i="2" a="1"/>
  <c r="J331" i="2" s="1"/>
  <c r="I331" i="2" a="1"/>
  <c r="I331" i="2" s="1"/>
  <c r="H331" i="2" a="1"/>
  <c r="H331" i="2" s="1"/>
  <c r="G331" i="2" a="1"/>
  <c r="G331" i="2" s="1"/>
  <c r="F331" i="2" a="1"/>
  <c r="F331" i="2" s="1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 s="1"/>
  <c r="E330" i="2" a="1"/>
  <c r="E330" i="2" s="1"/>
  <c r="O329" i="2" a="1"/>
  <c r="O329" i="2" s="1"/>
  <c r="N329" i="2" a="1"/>
  <c r="N329" i="2" s="1"/>
  <c r="M329" i="2" a="1"/>
  <c r="M329" i="2" s="1"/>
  <c r="L329" i="2" a="1"/>
  <c r="L329" i="2" s="1"/>
  <c r="K329" i="2" a="1"/>
  <c r="K329" i="2" s="1"/>
  <c r="J329" i="2" a="1"/>
  <c r="J329" i="2"/>
  <c r="I329" i="2" a="1"/>
  <c r="I329" i="2"/>
  <c r="H329" i="2" a="1"/>
  <c r="H329" i="2" s="1"/>
  <c r="G329" i="2" a="1"/>
  <c r="G329" i="2" s="1"/>
  <c r="F329" i="2" a="1"/>
  <c r="F329" i="2" s="1"/>
  <c r="E329" i="2" a="1"/>
  <c r="E329" i="2" s="1"/>
  <c r="O328" i="2" a="1"/>
  <c r="O328" i="2" s="1"/>
  <c r="N328" i="2" a="1"/>
  <c r="N328" i="2" s="1"/>
  <c r="M328" i="2" a="1"/>
  <c r="M328" i="2" s="1"/>
  <c r="L328" i="2" a="1"/>
  <c r="L328" i="2" s="1"/>
  <c r="K328" i="2" a="1"/>
  <c r="K328" i="2" s="1"/>
  <c r="J328" i="2" a="1"/>
  <c r="J328" i="2" s="1"/>
  <c r="I328" i="2" a="1"/>
  <c r="I328" i="2" s="1"/>
  <c r="H328" i="2" a="1"/>
  <c r="H328" i="2" s="1"/>
  <c r="G328" i="2" a="1"/>
  <c r="G328" i="2" s="1"/>
  <c r="F328" i="2" a="1"/>
  <c r="F328" i="2" s="1"/>
  <c r="E328" i="2" a="1"/>
  <c r="E328" i="2" s="1"/>
  <c r="O327" i="2" a="1"/>
  <c r="O327" i="2" s="1"/>
  <c r="N327" i="2" a="1"/>
  <c r="N327" i="2" s="1"/>
  <c r="M327" i="2" a="1"/>
  <c r="M327" i="2" s="1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 s="1"/>
  <c r="N324" i="2" a="1"/>
  <c r="N324" i="2" s="1"/>
  <c r="M324" i="2" a="1"/>
  <c r="M324" i="2" s="1"/>
  <c r="L324" i="2" a="1"/>
  <c r="L324" i="2"/>
  <c r="K324" i="2" a="1"/>
  <c r="K324" i="2" s="1"/>
  <c r="J324" i="2" a="1"/>
  <c r="J324" i="2" s="1"/>
  <c r="I324" i="2" a="1"/>
  <c r="I324" i="2" s="1"/>
  <c r="H324" i="2" a="1"/>
  <c r="H324" i="2" s="1"/>
  <c r="G324" i="2" a="1"/>
  <c r="G324" i="2" s="1"/>
  <c r="F324" i="2" a="1"/>
  <c r="F324" i="2" s="1"/>
  <c r="E324" i="2" a="1"/>
  <c r="E324" i="2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 s="1"/>
  <c r="G322" i="2" a="1"/>
  <c r="G322" i="2" s="1"/>
  <c r="F322" i="2" a="1"/>
  <c r="F322" i="2" s="1"/>
  <c r="E322" i="2" a="1"/>
  <c r="E322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 s="1"/>
  <c r="K318" i="2" a="1"/>
  <c r="K318" i="2" s="1"/>
  <c r="J318" i="2" a="1"/>
  <c r="J318" i="2" s="1"/>
  <c r="I318" i="2" a="1"/>
  <c r="I318" i="2" s="1"/>
  <c r="H318" i="2" a="1"/>
  <c r="H318" i="2" s="1"/>
  <c r="G318" i="2" a="1"/>
  <c r="G318" i="2" s="1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 s="1"/>
  <c r="H314" i="2" a="1"/>
  <c r="H314" i="2" s="1"/>
  <c r="G314" i="2" a="1"/>
  <c r="G314" i="2" s="1"/>
  <c r="F314" i="2" a="1"/>
  <c r="F314" i="2" s="1"/>
  <c r="E314" i="2" a="1"/>
  <c r="E314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 s="1"/>
  <c r="G312" i="2" a="1"/>
  <c r="G312" i="2" s="1"/>
  <c r="F312" i="2" a="1"/>
  <c r="F312" i="2" s="1"/>
  <c r="E312" i="2" a="1"/>
  <c r="E312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/>
  <c r="M307" i="2" a="1"/>
  <c r="M307" i="2" s="1"/>
  <c r="L307" i="2" a="1"/>
  <c r="L307" i="2" s="1"/>
  <c r="K307" i="2" a="1"/>
  <c r="K307" i="2" s="1"/>
  <c r="J307" i="2" a="1"/>
  <c r="J307" i="2"/>
  <c r="I307" i="2" a="1"/>
  <c r="I307" i="2" s="1"/>
  <c r="H307" i="2" a="1"/>
  <c r="H307" i="2" s="1"/>
  <c r="G307" i="2" a="1"/>
  <c r="G307" i="2" s="1"/>
  <c r="F307" i="2" a="1"/>
  <c r="F307" i="2" s="1"/>
  <c r="E307" i="2" a="1"/>
  <c r="E307" i="2" s="1"/>
  <c r="O306" i="2" a="1"/>
  <c r="O306" i="2" s="1"/>
  <c r="N306" i="2" a="1"/>
  <c r="N306" i="2" s="1"/>
  <c r="M306" i="2" a="1"/>
  <c r="M306" i="2" s="1"/>
  <c r="L306" i="2" a="1"/>
  <c r="L306" i="2" s="1"/>
  <c r="K306" i="2" a="1"/>
  <c r="K306" i="2" s="1"/>
  <c r="J306" i="2" a="1"/>
  <c r="J306" i="2" s="1"/>
  <c r="I306" i="2" a="1"/>
  <c r="I306" i="2" s="1"/>
  <c r="H306" i="2" a="1"/>
  <c r="H306" i="2" s="1"/>
  <c r="G306" i="2" a="1"/>
  <c r="G306" i="2"/>
  <c r="F306" i="2" a="1"/>
  <c r="F306" i="2"/>
  <c r="E306" i="2" a="1"/>
  <c r="E306" i="2" s="1"/>
  <c r="O305" i="2" a="1"/>
  <c r="O305" i="2"/>
  <c r="N305" i="2" a="1"/>
  <c r="N305" i="2" s="1"/>
  <c r="M305" i="2" a="1"/>
  <c r="M305" i="2" s="1"/>
  <c r="L305" i="2" a="1"/>
  <c r="L305" i="2" s="1"/>
  <c r="K305" i="2" a="1"/>
  <c r="K305" i="2"/>
  <c r="J305" i="2" a="1"/>
  <c r="J305" i="2" s="1"/>
  <c r="I305" i="2" a="1"/>
  <c r="I305" i="2" s="1"/>
  <c r="H305" i="2" a="1"/>
  <c r="H305" i="2" s="1"/>
  <c r="G305" i="2" a="1"/>
  <c r="G305" i="2"/>
  <c r="F305" i="2" a="1"/>
  <c r="F305" i="2" s="1"/>
  <c r="E305" i="2" a="1"/>
  <c r="E305" i="2" s="1"/>
  <c r="O304" i="2" a="1"/>
  <c r="O304" i="2" s="1"/>
  <c r="N304" i="2" a="1"/>
  <c r="N304" i="2" s="1"/>
  <c r="M304" i="2" a="1"/>
  <c r="M304" i="2" s="1"/>
  <c r="L304" i="2" a="1"/>
  <c r="L304" i="2" s="1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/>
  <c r="E304" i="2" a="1"/>
  <c r="E304" i="2"/>
  <c r="O303" i="2" a="1"/>
  <c r="O303" i="2" s="1"/>
  <c r="N303" i="2" a="1"/>
  <c r="N303" i="2" s="1"/>
  <c r="M303" i="2" a="1"/>
  <c r="M303" i="2" s="1"/>
  <c r="L303" i="2" a="1"/>
  <c r="L303" i="2" s="1"/>
  <c r="K303" i="2" a="1"/>
  <c r="K303" i="2" s="1"/>
  <c r="J303" i="2" a="1"/>
  <c r="J303" i="2" s="1"/>
  <c r="I303" i="2" a="1"/>
  <c r="I303" i="2" s="1"/>
  <c r="H303" i="2" a="1"/>
  <c r="H303" i="2" s="1"/>
  <c r="G303" i="2" a="1"/>
  <c r="G303" i="2" s="1"/>
  <c r="F303" i="2" a="1"/>
  <c r="F303" i="2" s="1"/>
  <c r="E303" i="2" a="1"/>
  <c r="E303" i="2" s="1"/>
  <c r="O302" i="2" a="1"/>
  <c r="O302" i="2" s="1"/>
  <c r="N302" i="2" a="1"/>
  <c r="N302" i="2" s="1"/>
  <c r="M302" i="2" a="1"/>
  <c r="M302" i="2"/>
  <c r="L302" i="2" a="1"/>
  <c r="L302" i="2" s="1"/>
  <c r="K302" i="2" a="1"/>
  <c r="K302" i="2" s="1"/>
  <c r="J302" i="2" a="1"/>
  <c r="J302" i="2" s="1"/>
  <c r="I302" i="2" a="1"/>
  <c r="I302" i="2" s="1"/>
  <c r="H302" i="2" a="1"/>
  <c r="H302" i="2"/>
  <c r="G302" i="2" a="1"/>
  <c r="G302" i="2" s="1"/>
  <c r="F302" i="2" a="1"/>
  <c r="F302" i="2" s="1"/>
  <c r="E302" i="2" a="1"/>
  <c r="E302" i="2" s="1"/>
  <c r="O301" i="2" a="1"/>
  <c r="O301" i="2" s="1"/>
  <c r="N301" i="2" a="1"/>
  <c r="N301" i="2" s="1"/>
  <c r="M301" i="2" a="1"/>
  <c r="M301" i="2" s="1"/>
  <c r="L301" i="2" a="1"/>
  <c r="L301" i="2" s="1"/>
  <c r="K301" i="2" a="1"/>
  <c r="K301" i="2"/>
  <c r="J301" i="2" a="1"/>
  <c r="J301" i="2" s="1"/>
  <c r="I301" i="2" a="1"/>
  <c r="I301" i="2" s="1"/>
  <c r="H301" i="2" a="1"/>
  <c r="H301" i="2" s="1"/>
  <c r="G301" i="2" a="1"/>
  <c r="G301" i="2"/>
  <c r="F301" i="2" a="1"/>
  <c r="F301" i="2" s="1"/>
  <c r="E301" i="2" a="1"/>
  <c r="E301" i="2" s="1"/>
  <c r="O300" i="2" a="1"/>
  <c r="O300" i="2" s="1"/>
  <c r="N300" i="2" a="1"/>
  <c r="N300" i="2" s="1"/>
  <c r="M300" i="2" a="1"/>
  <c r="M300" i="2" s="1"/>
  <c r="L300" i="2" a="1"/>
  <c r="L300" i="2" s="1"/>
  <c r="K300" i="2" a="1"/>
  <c r="K300" i="2" s="1"/>
  <c r="J300" i="2" a="1"/>
  <c r="J300" i="2" s="1"/>
  <c r="I300" i="2" a="1"/>
  <c r="I300" i="2" s="1"/>
  <c r="H300" i="2" a="1"/>
  <c r="H300" i="2" s="1"/>
  <c r="G300" i="2" a="1"/>
  <c r="G300" i="2" s="1"/>
  <c r="F300" i="2" a="1"/>
  <c r="F300" i="2" s="1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/>
  <c r="G299" i="2" a="1"/>
  <c r="G299" i="2" s="1"/>
  <c r="F299" i="2" a="1"/>
  <c r="F299" i="2" s="1"/>
  <c r="E299" i="2" a="1"/>
  <c r="E299" i="2" s="1"/>
  <c r="O298" i="2" a="1"/>
  <c r="O298" i="2" s="1"/>
  <c r="N298" i="2" a="1"/>
  <c r="N298" i="2" s="1"/>
  <c r="M298" i="2" a="1"/>
  <c r="M298" i="2" s="1"/>
  <c r="L298" i="2" a="1"/>
  <c r="L298" i="2" s="1"/>
  <c r="K298" i="2" a="1"/>
  <c r="K298" i="2" s="1"/>
  <c r="J298" i="2" a="1"/>
  <c r="J298" i="2" s="1"/>
  <c r="I298" i="2" a="1"/>
  <c r="I298" i="2" s="1"/>
  <c r="H298" i="2" a="1"/>
  <c r="H298" i="2" s="1"/>
  <c r="G298" i="2" a="1"/>
  <c r="G298" i="2" s="1"/>
  <c r="F298" i="2" a="1"/>
  <c r="F298" i="2" s="1"/>
  <c r="E298" i="2" a="1"/>
  <c r="E298" i="2" s="1"/>
  <c r="O297" i="2" a="1"/>
  <c r="O297" i="2" s="1"/>
  <c r="N297" i="2" a="1"/>
  <c r="N297" i="2" s="1"/>
  <c r="M297" i="2" a="1"/>
  <c r="M297" i="2" s="1"/>
  <c r="L297" i="2" a="1"/>
  <c r="L297" i="2" s="1"/>
  <c r="K297" i="2" a="1"/>
  <c r="K297" i="2" s="1"/>
  <c r="J297" i="2" a="1"/>
  <c r="J297" i="2" s="1"/>
  <c r="I297" i="2" a="1"/>
  <c r="I297" i="2"/>
  <c r="H297" i="2" a="1"/>
  <c r="H297" i="2" s="1"/>
  <c r="G297" i="2" a="1"/>
  <c r="G297" i="2" s="1"/>
  <c r="F297" i="2" a="1"/>
  <c r="F297" i="2" s="1"/>
  <c r="E297" i="2" a="1"/>
  <c r="E297" i="2"/>
  <c r="O296" i="2" a="1"/>
  <c r="O296" i="2" s="1"/>
  <c r="N296" i="2" a="1"/>
  <c r="N296" i="2" s="1"/>
  <c r="M296" i="2" a="1"/>
  <c r="M296" i="2" s="1"/>
  <c r="L296" i="2" a="1"/>
  <c r="L296" i="2" s="1"/>
  <c r="K296" i="2" a="1"/>
  <c r="K296" i="2" s="1"/>
  <c r="J296" i="2" a="1"/>
  <c r="J296" i="2"/>
  <c r="I296" i="2" a="1"/>
  <c r="I296" i="2" s="1"/>
  <c r="H296" i="2" a="1"/>
  <c r="H296" i="2" s="1"/>
  <c r="G296" i="2" a="1"/>
  <c r="G296" i="2" s="1"/>
  <c r="F296" i="2" a="1"/>
  <c r="F296" i="2"/>
  <c r="E296" i="2" a="1"/>
  <c r="E296" i="2"/>
  <c r="O295" i="2" a="1"/>
  <c r="O295" i="2" s="1"/>
  <c r="N295" i="2" a="1"/>
  <c r="N295" i="2" s="1"/>
  <c r="M295" i="2" a="1"/>
  <c r="M295" i="2" s="1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 s="1"/>
  <c r="O294" i="2" a="1"/>
  <c r="O294" i="2" s="1"/>
  <c r="N294" i="2" a="1"/>
  <c r="N294" i="2" s="1"/>
  <c r="M294" i="2" a="1"/>
  <c r="M294" i="2"/>
  <c r="L294" i="2" a="1"/>
  <c r="L294" i="2" s="1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 a="1"/>
  <c r="F294" i="2" s="1"/>
  <c r="E294" i="2" a="1"/>
  <c r="E294" i="2"/>
  <c r="O293" i="2" a="1"/>
  <c r="O293" i="2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/>
  <c r="F293" i="2" a="1"/>
  <c r="F293" i="2" s="1"/>
  <c r="E293" i="2" a="1"/>
  <c r="E293" i="2" s="1"/>
  <c r="O292" i="2" a="1"/>
  <c r="O292" i="2" s="1"/>
  <c r="N292" i="2" a="1"/>
  <c r="N292" i="2" s="1"/>
  <c r="M292" i="2" a="1"/>
  <c r="M292" i="2" s="1"/>
  <c r="L292" i="2" a="1"/>
  <c r="L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 a="1"/>
  <c r="F292" i="2"/>
  <c r="E292" i="2" a="1"/>
  <c r="E292" i="2" s="1"/>
  <c r="O291" i="2" a="1"/>
  <c r="O291" i="2" s="1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/>
  <c r="E291" i="2" a="1"/>
  <c r="E291" i="2" s="1"/>
  <c r="O290" i="2" a="1"/>
  <c r="O290" i="2" s="1"/>
  <c r="N290" i="2" a="1"/>
  <c r="N290" i="2" s="1"/>
  <c r="M290" i="2" a="1"/>
  <c r="M290" i="2" s="1"/>
  <c r="L290" i="2" a="1"/>
  <c r="L290" i="2" s="1"/>
  <c r="K290" i="2" a="1"/>
  <c r="K290" i="2" s="1"/>
  <c r="J290" i="2" a="1"/>
  <c r="J290" i="2" s="1"/>
  <c r="I290" i="2" a="1"/>
  <c r="I290" i="2" s="1"/>
  <c r="H290" i="2" a="1"/>
  <c r="H290" i="2" s="1"/>
  <c r="G290" i="2" a="1"/>
  <c r="G290" i="2" s="1"/>
  <c r="F290" i="2" a="1"/>
  <c r="F290" i="2" s="1"/>
  <c r="E290" i="2" a="1"/>
  <c r="E290" i="2" s="1"/>
  <c r="O289" i="2" a="1"/>
  <c r="O289" i="2" s="1"/>
  <c r="N289" i="2" a="1"/>
  <c r="N289" i="2" s="1"/>
  <c r="M289" i="2" a="1"/>
  <c r="M289" i="2"/>
  <c r="L289" i="2" a="1"/>
  <c r="L289" i="2" s="1"/>
  <c r="K289" i="2" a="1"/>
  <c r="K289" i="2" s="1"/>
  <c r="J289" i="2" a="1"/>
  <c r="J289" i="2" s="1"/>
  <c r="I289" i="2" a="1"/>
  <c r="I289" i="2"/>
  <c r="H289" i="2" a="1"/>
  <c r="H289" i="2" s="1"/>
  <c r="G289" i="2" a="1"/>
  <c r="G289" i="2" s="1"/>
  <c r="F289" i="2" a="1"/>
  <c r="F289" i="2" s="1"/>
  <c r="E289" i="2" a="1"/>
  <c r="E289" i="2"/>
  <c r="O288" i="2" a="1"/>
  <c r="O288" i="2" s="1"/>
  <c r="N288" i="2" a="1"/>
  <c r="N288" i="2" s="1"/>
  <c r="M288" i="2" a="1"/>
  <c r="M288" i="2" s="1"/>
  <c r="L288" i="2" a="1"/>
  <c r="L288" i="2" s="1"/>
  <c r="K288" i="2" a="1"/>
  <c r="K288" i="2" s="1"/>
  <c r="J288" i="2" a="1"/>
  <c r="J288" i="2" s="1"/>
  <c r="I288" i="2" a="1"/>
  <c r="I288" i="2"/>
  <c r="H288" i="2" a="1"/>
  <c r="H288" i="2" s="1"/>
  <c r="G288" i="2" a="1"/>
  <c r="G288" i="2" s="1"/>
  <c r="F288" i="2" a="1"/>
  <c r="F288" i="2" s="1"/>
  <c r="E288" i="2" a="1"/>
  <c r="E288" i="2"/>
  <c r="O287" i="2" a="1"/>
  <c r="O287" i="2" s="1"/>
  <c r="N287" i="2" a="1"/>
  <c r="N287" i="2" s="1"/>
  <c r="M287" i="2" a="1"/>
  <c r="M287" i="2" s="1"/>
  <c r="L287" i="2" a="1"/>
  <c r="L287" i="2" s="1"/>
  <c r="K287" i="2" a="1"/>
  <c r="K287" i="2" s="1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 s="1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I286" i="2" a="1"/>
  <c r="I286" i="2" s="1"/>
  <c r="H286" i="2" a="1"/>
  <c r="H286" i="2" s="1"/>
  <c r="G286" i="2" a="1"/>
  <c r="G286" i="2"/>
  <c r="F286" i="2" a="1"/>
  <c r="F286" i="2" s="1"/>
  <c r="E286" i="2" a="1"/>
  <c r="E286" i="2" s="1"/>
  <c r="O285" i="2" a="1"/>
  <c r="O285" i="2"/>
  <c r="N285" i="2" a="1"/>
  <c r="N285" i="2" s="1"/>
  <c r="M285" i="2" a="1"/>
  <c r="M285" i="2"/>
  <c r="L285" i="2" a="1"/>
  <c r="L285" i="2" s="1"/>
  <c r="K285" i="2" a="1"/>
  <c r="K285" i="2" s="1"/>
  <c r="J285" i="2" a="1"/>
  <c r="J285" i="2" s="1"/>
  <c r="I285" i="2" a="1"/>
  <c r="I285" i="2"/>
  <c r="H285" i="2" a="1"/>
  <c r="H285" i="2" s="1"/>
  <c r="G285" i="2" a="1"/>
  <c r="G285" i="2"/>
  <c r="F285" i="2" a="1"/>
  <c r="F285" i="2"/>
  <c r="E285" i="2" a="1"/>
  <c r="E285" i="2"/>
  <c r="O284" i="2" a="1"/>
  <c r="O284" i="2" s="1"/>
  <c r="N284" i="2" a="1"/>
  <c r="N284" i="2" s="1"/>
  <c r="M284" i="2" a="1"/>
  <c r="M284" i="2" s="1"/>
  <c r="L284" i="2" a="1"/>
  <c r="L284" i="2" s="1"/>
  <c r="K284" i="2" a="1"/>
  <c r="K284" i="2" s="1"/>
  <c r="J284" i="2" a="1"/>
  <c r="J284" i="2" s="1"/>
  <c r="I284" i="2" a="1"/>
  <c r="I284" i="2" s="1"/>
  <c r="H284" i="2" a="1"/>
  <c r="H284" i="2" s="1"/>
  <c r="G284" i="2" a="1"/>
  <c r="G284" i="2" s="1"/>
  <c r="F284" i="2" a="1"/>
  <c r="F284" i="2" s="1"/>
  <c r="E284" i="2" a="1"/>
  <c r="E284" i="2" s="1"/>
  <c r="O283" i="2" a="1"/>
  <c r="O283" i="2" s="1"/>
  <c r="N283" i="2" a="1"/>
  <c r="N283" i="2"/>
  <c r="M283" i="2" a="1"/>
  <c r="M283" i="2" s="1"/>
  <c r="L283" i="2" a="1"/>
  <c r="L283" i="2" s="1"/>
  <c r="K283" i="2" a="1"/>
  <c r="K283" i="2" s="1"/>
  <c r="J283" i="2" a="1"/>
  <c r="J283" i="2" s="1"/>
  <c r="I283" i="2" a="1"/>
  <c r="I283" i="2" s="1"/>
  <c r="H283" i="2" a="1"/>
  <c r="H283" i="2"/>
  <c r="G283" i="2" a="1"/>
  <c r="G283" i="2" s="1"/>
  <c r="F283" i="2" a="1"/>
  <c r="F283" i="2" s="1"/>
  <c r="E283" i="2" a="1"/>
  <c r="E283" i="2" s="1"/>
  <c r="O282" i="2" a="1"/>
  <c r="O282" i="2" s="1"/>
  <c r="N282" i="2" a="1"/>
  <c r="N282" i="2" s="1"/>
  <c r="M282" i="2" a="1"/>
  <c r="M282" i="2" s="1"/>
  <c r="L282" i="2" a="1"/>
  <c r="L282" i="2" s="1"/>
  <c r="K282" i="2" a="1"/>
  <c r="K282" i="2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 s="1"/>
  <c r="L281" i="2" a="1"/>
  <c r="L281" i="2"/>
  <c r="K281" i="2" a="1"/>
  <c r="K281" i="2" s="1"/>
  <c r="J281" i="2" a="1"/>
  <c r="J281" i="2"/>
  <c r="I281" i="2" a="1"/>
  <c r="I281" i="2" s="1"/>
  <c r="H281" i="2" a="1"/>
  <c r="H281" i="2" s="1"/>
  <c r="G281" i="2" a="1"/>
  <c r="G281" i="2" s="1"/>
  <c r="F281" i="2" a="1"/>
  <c r="F281" i="2" s="1"/>
  <c r="E281" i="2" a="1"/>
  <c r="E281" i="2" s="1"/>
  <c r="O280" i="2" a="1"/>
  <c r="O280" i="2" s="1"/>
  <c r="N280" i="2" a="1"/>
  <c r="N280" i="2" s="1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 s="1"/>
  <c r="G280" i="2" a="1"/>
  <c r="G280" i="2" s="1"/>
  <c r="F280" i="2" a="1"/>
  <c r="F280" i="2" s="1"/>
  <c r="E280" i="2" a="1"/>
  <c r="E280" i="2" s="1"/>
  <c r="O279" i="2" a="1"/>
  <c r="O279" i="2" s="1"/>
  <c r="N279" i="2" a="1"/>
  <c r="N279" i="2" s="1"/>
  <c r="M279" i="2" a="1"/>
  <c r="M279" i="2" s="1"/>
  <c r="L279" i="2" a="1"/>
  <c r="L279" i="2"/>
  <c r="K279" i="2" a="1"/>
  <c r="K279" i="2" s="1"/>
  <c r="J279" i="2" a="1"/>
  <c r="J279" i="2" s="1"/>
  <c r="I279" i="2" a="1"/>
  <c r="I279" i="2" s="1"/>
  <c r="H279" i="2" a="1"/>
  <c r="H279" i="2" s="1"/>
  <c r="G279" i="2" a="1"/>
  <c r="G279" i="2"/>
  <c r="F279" i="2" a="1"/>
  <c r="F279" i="2" s="1"/>
  <c r="E279" i="2" a="1"/>
  <c r="E279" i="2" s="1"/>
  <c r="O278" i="2" a="1"/>
  <c r="O278" i="2" s="1"/>
  <c r="N278" i="2" a="1"/>
  <c r="N278" i="2" s="1"/>
  <c r="M278" i="2" a="1"/>
  <c r="M278" i="2" s="1"/>
  <c r="L278" i="2" a="1"/>
  <c r="L278" i="2" s="1"/>
  <c r="K278" i="2" a="1"/>
  <c r="K278" i="2" s="1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/>
  <c r="K277" i="2" a="1"/>
  <c r="K277" i="2"/>
  <c r="J277" i="2" a="1"/>
  <c r="J277" i="2"/>
  <c r="I277" i="2" a="1"/>
  <c r="I277" i="2" s="1"/>
  <c r="H277" i="2" a="1"/>
  <c r="H277" i="2" s="1"/>
  <c r="G277" i="2" a="1"/>
  <c r="G277" i="2"/>
  <c r="F277" i="2" a="1"/>
  <c r="F277" i="2" s="1"/>
  <c r="E277" i="2" a="1"/>
  <c r="E277" i="2" s="1"/>
  <c r="O276" i="2" a="1"/>
  <c r="O276" i="2" s="1"/>
  <c r="N276" i="2" a="1"/>
  <c r="N276" i="2" s="1"/>
  <c r="M276" i="2" a="1"/>
  <c r="M276" i="2" s="1"/>
  <c r="L276" i="2" a="1"/>
  <c r="L276" i="2" s="1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 s="1"/>
  <c r="E276" i="2" a="1"/>
  <c r="E276" i="2" s="1"/>
  <c r="O275" i="2" a="1"/>
  <c r="O275" i="2" s="1"/>
  <c r="N275" i="2" a="1"/>
  <c r="N275" i="2" s="1"/>
  <c r="M275" i="2" a="1"/>
  <c r="M275" i="2" s="1"/>
  <c r="L275" i="2" a="1"/>
  <c r="L275" i="2" s="1"/>
  <c r="K275" i="2" a="1"/>
  <c r="K275" i="2"/>
  <c r="J275" i="2" a="1"/>
  <c r="J275" i="2" s="1"/>
  <c r="I275" i="2" a="1"/>
  <c r="I275" i="2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 s="1"/>
  <c r="L274" i="2" a="1"/>
  <c r="L274" i="2"/>
  <c r="K274" i="2" a="1"/>
  <c r="K274" i="2" s="1"/>
  <c r="J274" i="2" a="1"/>
  <c r="J274" i="2" s="1"/>
  <c r="I274" i="2" a="1"/>
  <c r="I274" i="2" s="1"/>
  <c r="H274" i="2" a="1"/>
  <c r="H274" i="2" s="1"/>
  <c r="G274" i="2" a="1"/>
  <c r="G274" i="2" s="1"/>
  <c r="F274" i="2" a="1"/>
  <c r="F274" i="2" s="1"/>
  <c r="E274" i="2" a="1"/>
  <c r="E274" i="2" s="1"/>
  <c r="O273" i="2" a="1"/>
  <c r="O273" i="2" s="1"/>
  <c r="N273" i="2" a="1"/>
  <c r="N273" i="2"/>
  <c r="M273" i="2" a="1"/>
  <c r="M273" i="2" s="1"/>
  <c r="L273" i="2" a="1"/>
  <c r="L273" i="2"/>
  <c r="K273" i="2" a="1"/>
  <c r="K273" i="2" s="1"/>
  <c r="J273" i="2" a="1"/>
  <c r="J273" i="2" s="1"/>
  <c r="I273" i="2" a="1"/>
  <c r="I273" i="2" s="1"/>
  <c r="H273" i="2" a="1"/>
  <c r="H273" i="2" s="1"/>
  <c r="G273" i="2" a="1"/>
  <c r="G273" i="2" s="1"/>
  <c r="F273" i="2" a="1"/>
  <c r="F273" i="2" s="1"/>
  <c r="E273" i="2" a="1"/>
  <c r="E273" i="2" s="1"/>
  <c r="O272" i="2" a="1"/>
  <c r="O272" i="2" s="1"/>
  <c r="N272" i="2" a="1"/>
  <c r="N272" i="2" s="1"/>
  <c r="M272" i="2" a="1"/>
  <c r="M272" i="2" s="1"/>
  <c r="L272" i="2" a="1"/>
  <c r="L272" i="2" s="1"/>
  <c r="K272" i="2" a="1"/>
  <c r="K272" i="2" s="1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E272" i="2" a="1"/>
  <c r="E272" i="2" s="1"/>
  <c r="O271" i="2" a="1"/>
  <c r="O271" i="2" s="1"/>
  <c r="N271" i="2" a="1"/>
  <c r="N271" i="2" s="1"/>
  <c r="M271" i="2" a="1"/>
  <c r="M271" i="2" s="1"/>
  <c r="L271" i="2" a="1"/>
  <c r="L271" i="2" s="1"/>
  <c r="K271" i="2" a="1"/>
  <c r="K271" i="2"/>
  <c r="J271" i="2" a="1"/>
  <c r="J271" i="2" s="1"/>
  <c r="I271" i="2" a="1"/>
  <c r="I271" i="2" s="1"/>
  <c r="H271" i="2" a="1"/>
  <c r="H271" i="2" s="1"/>
  <c r="G271" i="2" a="1"/>
  <c r="G271" i="2" s="1"/>
  <c r="F271" i="2" a="1"/>
  <c r="F271" i="2" s="1"/>
  <c r="E271" i="2" a="1"/>
  <c r="E271" i="2" s="1"/>
  <c r="O270" i="2" a="1"/>
  <c r="O270" i="2" s="1"/>
  <c r="N270" i="2" a="1"/>
  <c r="N270" i="2"/>
  <c r="M270" i="2" a="1"/>
  <c r="M270" i="2" s="1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 s="1"/>
  <c r="F270" i="2" a="1"/>
  <c r="F270" i="2" s="1"/>
  <c r="E270" i="2" a="1"/>
  <c r="E270" i="2" s="1"/>
  <c r="O269" i="2" a="1"/>
  <c r="O269" i="2" s="1"/>
  <c r="N269" i="2" a="1"/>
  <c r="N269" i="2"/>
  <c r="M269" i="2" a="1"/>
  <c r="M269" i="2" s="1"/>
  <c r="L269" i="2" a="1"/>
  <c r="L269" i="2" s="1"/>
  <c r="K269" i="2" a="1"/>
  <c r="K269" i="2" s="1"/>
  <c r="J269" i="2" a="1"/>
  <c r="J269" i="2"/>
  <c r="I269" i="2" a="1"/>
  <c r="I269" i="2" s="1"/>
  <c r="H269" i="2" a="1"/>
  <c r="H269" i="2" s="1"/>
  <c r="G269" i="2" a="1"/>
  <c r="G269" i="2" s="1"/>
  <c r="F269" i="2" a="1"/>
  <c r="F269" i="2" s="1"/>
  <c r="E269" i="2" a="1"/>
  <c r="E269" i="2" s="1"/>
  <c r="O268" i="2" a="1"/>
  <c r="O268" i="2" s="1"/>
  <c r="N268" i="2" a="1"/>
  <c r="N268" i="2" s="1"/>
  <c r="M268" i="2" a="1"/>
  <c r="M268" i="2" s="1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 s="1"/>
  <c r="E268" i="2" a="1"/>
  <c r="E268" i="2" s="1"/>
  <c r="O267" i="2" a="1"/>
  <c r="O267" i="2" s="1"/>
  <c r="N267" i="2" a="1"/>
  <c r="N267" i="2" s="1"/>
  <c r="M267" i="2" a="1"/>
  <c r="M267" i="2" s="1"/>
  <c r="L267" i="2" a="1"/>
  <c r="L267" i="2" s="1"/>
  <c r="K267" i="2" a="1"/>
  <c r="K267" i="2"/>
  <c r="J267" i="2" a="1"/>
  <c r="J267" i="2" s="1"/>
  <c r="I267" i="2" a="1"/>
  <c r="I267" i="2" s="1"/>
  <c r="H267" i="2" a="1"/>
  <c r="H267" i="2" s="1"/>
  <c r="G267" i="2" a="1"/>
  <c r="G267" i="2"/>
  <c r="F267" i="2" a="1"/>
  <c r="F267" i="2" s="1"/>
  <c r="E267" i="2" a="1"/>
  <c r="E267" i="2" s="1"/>
  <c r="O266" i="2" a="1"/>
  <c r="O266" i="2" s="1"/>
  <c r="N266" i="2" a="1"/>
  <c r="N266" i="2" s="1"/>
  <c r="M266" i="2" a="1"/>
  <c r="M266" i="2" s="1"/>
  <c r="L266" i="2" a="1"/>
  <c r="L266" i="2" s="1"/>
  <c r="K266" i="2" a="1"/>
  <c r="K266" i="2" s="1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E266" i="2" a="1"/>
  <c r="E266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/>
  <c r="I265" i="2" a="1"/>
  <c r="I265" i="2"/>
  <c r="H265" i="2" a="1"/>
  <c r="H265" i="2" s="1"/>
  <c r="G265" i="2" a="1"/>
  <c r="G265" i="2" s="1"/>
  <c r="F265" i="2" a="1"/>
  <c r="F265" i="2" s="1"/>
  <c r="E265" i="2" a="1"/>
  <c r="E265" i="2" s="1"/>
  <c r="O264" i="2" a="1"/>
  <c r="O264" i="2" s="1"/>
  <c r="N264" i="2" a="1"/>
  <c r="N264" i="2" s="1"/>
  <c r="M264" i="2" a="1"/>
  <c r="M264" i="2" s="1"/>
  <c r="L264" i="2" a="1"/>
  <c r="L264" i="2" s="1"/>
  <c r="K264" i="2" a="1"/>
  <c r="K264" i="2" s="1"/>
  <c r="J264" i="2" a="1"/>
  <c r="J264" i="2" s="1"/>
  <c r="I264" i="2" a="1"/>
  <c r="I264" i="2" s="1"/>
  <c r="H264" i="2" a="1"/>
  <c r="H264" i="2" s="1"/>
  <c r="G264" i="2" a="1"/>
  <c r="G264" i="2" s="1"/>
  <c r="F264" i="2" a="1"/>
  <c r="F264" i="2" s="1"/>
  <c r="E264" i="2" a="1"/>
  <c r="E264" i="2" s="1"/>
  <c r="O263" i="2" a="1"/>
  <c r="O263" i="2" s="1"/>
  <c r="N263" i="2" a="1"/>
  <c r="N263" i="2" s="1"/>
  <c r="M263" i="2" a="1"/>
  <c r="M263" i="2" s="1"/>
  <c r="L263" i="2" a="1"/>
  <c r="L263" i="2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E263" i="2" a="1"/>
  <c r="E263" i="2" s="1"/>
  <c r="O262" i="2" a="1"/>
  <c r="O262" i="2" s="1"/>
  <c r="N262" i="2" a="1"/>
  <c r="N262" i="2"/>
  <c r="M262" i="2" a="1"/>
  <c r="M262" i="2" s="1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 s="1"/>
  <c r="E262" i="2" a="1"/>
  <c r="E262" i="2" s="1"/>
  <c r="O261" i="2" a="1"/>
  <c r="O261" i="2" s="1"/>
  <c r="N261" i="2" a="1"/>
  <c r="N261" i="2" s="1"/>
  <c r="M261" i="2" a="1"/>
  <c r="M261" i="2"/>
  <c r="L261" i="2" a="1"/>
  <c r="L261" i="2" s="1"/>
  <c r="K261" i="2" a="1"/>
  <c r="K261" i="2" s="1"/>
  <c r="J261" i="2" a="1"/>
  <c r="J261" i="2" s="1"/>
  <c r="I261" i="2" a="1"/>
  <c r="I261" i="2" s="1"/>
  <c r="H261" i="2" a="1"/>
  <c r="H261" i="2" s="1"/>
  <c r="G261" i="2" a="1"/>
  <c r="G261" i="2"/>
  <c r="F261" i="2" a="1"/>
  <c r="F261" i="2"/>
  <c r="E261" i="2" a="1"/>
  <c r="E261" i="2" s="1"/>
  <c r="O260" i="2" a="1"/>
  <c r="O260" i="2" s="1"/>
  <c r="N260" i="2" a="1"/>
  <c r="N260" i="2" s="1"/>
  <c r="M260" i="2" a="1"/>
  <c r="M260" i="2" s="1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 s="1"/>
  <c r="E260" i="2" a="1"/>
  <c r="E260" i="2" s="1"/>
  <c r="O259" i="2" a="1"/>
  <c r="O259" i="2" s="1"/>
  <c r="N259" i="2" a="1"/>
  <c r="N259" i="2" s="1"/>
  <c r="M259" i="2" a="1"/>
  <c r="M259" i="2" s="1"/>
  <c r="L259" i="2" a="1"/>
  <c r="L259" i="2" s="1"/>
  <c r="K259" i="2" a="1"/>
  <c r="K259" i="2" s="1"/>
  <c r="J259" i="2" a="1"/>
  <c r="J259" i="2" s="1"/>
  <c r="I259" i="2" a="1"/>
  <c r="I259" i="2" s="1"/>
  <c r="H259" i="2" a="1"/>
  <c r="H259" i="2" s="1"/>
  <c r="G259" i="2" a="1"/>
  <c r="G259" i="2" s="1"/>
  <c r="F259" i="2" a="1"/>
  <c r="F259" i="2"/>
  <c r="E259" i="2" a="1"/>
  <c r="E259" i="2" s="1"/>
  <c r="O258" i="2" a="1"/>
  <c r="O258" i="2" s="1"/>
  <c r="N258" i="2" a="1"/>
  <c r="N258" i="2" s="1"/>
  <c r="M258" i="2" a="1"/>
  <c r="M258" i="2" s="1"/>
  <c r="L258" i="2" a="1"/>
  <c r="L258" i="2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E258" i="2" a="1"/>
  <c r="E258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 s="1"/>
  <c r="J257" i="2" a="1"/>
  <c r="J257" i="2" s="1"/>
  <c r="I257" i="2" a="1"/>
  <c r="I257" i="2" s="1"/>
  <c r="H257" i="2" a="1"/>
  <c r="H257" i="2" s="1"/>
  <c r="G257" i="2" a="1"/>
  <c r="G257" i="2" s="1"/>
  <c r="F257" i="2" a="1"/>
  <c r="F257" i="2" s="1"/>
  <c r="E257" i="2" a="1"/>
  <c r="E257" i="2"/>
  <c r="O256" i="2" a="1"/>
  <c r="O256" i="2" s="1"/>
  <c r="N256" i="2" a="1"/>
  <c r="N256" i="2"/>
  <c r="M256" i="2" a="1"/>
  <c r="M256" i="2" s="1"/>
  <c r="L256" i="2" a="1"/>
  <c r="L256" i="2" s="1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E256" i="2" a="1"/>
  <c r="E256" i="2" s="1"/>
  <c r="O255" i="2" a="1"/>
  <c r="O255" i="2" s="1"/>
  <c r="N255" i="2" a="1"/>
  <c r="N255" i="2"/>
  <c r="M255" i="2" a="1"/>
  <c r="M255" i="2" s="1"/>
  <c r="L255" i="2" a="1"/>
  <c r="L255" i="2"/>
  <c r="K255" i="2" a="1"/>
  <c r="K255" i="2"/>
  <c r="J255" i="2" a="1"/>
  <c r="J255" i="2" s="1"/>
  <c r="I255" i="2" a="1"/>
  <c r="I255" i="2" s="1"/>
  <c r="H255" i="2" a="1"/>
  <c r="H255" i="2" s="1"/>
  <c r="G255" i="2" a="1"/>
  <c r="G255" i="2"/>
  <c r="F255" i="2" a="1"/>
  <c r="F255" i="2" s="1"/>
  <c r="E255" i="2" a="1"/>
  <c r="E255" i="2" s="1"/>
  <c r="O254" i="2" a="1"/>
  <c r="O254" i="2" s="1"/>
  <c r="N254" i="2" a="1"/>
  <c r="N254" i="2"/>
  <c r="M254" i="2" a="1"/>
  <c r="M254" i="2" s="1"/>
  <c r="L254" i="2" a="1"/>
  <c r="L254" i="2" s="1"/>
  <c r="K254" i="2" a="1"/>
  <c r="K254" i="2" s="1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E254" i="2" a="1"/>
  <c r="E254" i="2" s="1"/>
  <c r="O253" i="2" a="1"/>
  <c r="O253" i="2" s="1"/>
  <c r="N253" i="2" a="1"/>
  <c r="N253" i="2"/>
  <c r="M253" i="2" a="1"/>
  <c r="M253" i="2" s="1"/>
  <c r="L253" i="2" a="1"/>
  <c r="L253" i="2" s="1"/>
  <c r="K253" i="2" a="1"/>
  <c r="K253" i="2" s="1"/>
  <c r="J253" i="2" a="1"/>
  <c r="J253" i="2" s="1"/>
  <c r="I253" i="2" a="1"/>
  <c r="I253" i="2" s="1"/>
  <c r="H253" i="2" a="1"/>
  <c r="H253" i="2" s="1"/>
  <c r="G253" i="2" a="1"/>
  <c r="G253" i="2" s="1"/>
  <c r="F253" i="2" a="1"/>
  <c r="F253" i="2"/>
  <c r="E253" i="2" a="1"/>
  <c r="E253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 s="1"/>
  <c r="F252" i="2" a="1"/>
  <c r="F252" i="2" s="1"/>
  <c r="E252" i="2" a="1"/>
  <c r="E252" i="2" s="1"/>
  <c r="O251" i="2" a="1"/>
  <c r="O251" i="2" s="1"/>
  <c r="N251" i="2" a="1"/>
  <c r="N251" i="2" s="1"/>
  <c r="M251" i="2" a="1"/>
  <c r="M251" i="2" s="1"/>
  <c r="L251" i="2" a="1"/>
  <c r="L251" i="2" s="1"/>
  <c r="K251" i="2" a="1"/>
  <c r="K251" i="2" s="1"/>
  <c r="J251" i="2" a="1"/>
  <c r="J251" i="2" s="1"/>
  <c r="I251" i="2" a="1"/>
  <c r="I251" i="2"/>
  <c r="H251" i="2" a="1"/>
  <c r="H251" i="2" s="1"/>
  <c r="G251" i="2" a="1"/>
  <c r="G251" i="2" s="1"/>
  <c r="F251" i="2" a="1"/>
  <c r="F251" i="2" s="1"/>
  <c r="E251" i="2" a="1"/>
  <c r="E251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 s="1"/>
  <c r="H250" i="2" a="1"/>
  <c r="H250" i="2" s="1"/>
  <c r="G250" i="2" a="1"/>
  <c r="G250" i="2" s="1"/>
  <c r="F250" i="2" a="1"/>
  <c r="F250" i="2" s="1"/>
  <c r="E250" i="2" a="1"/>
  <c r="E250" i="2" s="1"/>
  <c r="O249" i="2" a="1"/>
  <c r="O249" i="2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/>
  <c r="H249" i="2" a="1"/>
  <c r="H249" i="2" s="1"/>
  <c r="G249" i="2" a="1"/>
  <c r="G249" i="2"/>
  <c r="F249" i="2" a="1"/>
  <c r="F249" i="2" s="1"/>
  <c r="E249" i="2" a="1"/>
  <c r="E249" i="2" s="1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/>
  <c r="I248" i="2" a="1"/>
  <c r="I248" i="2" s="1"/>
  <c r="H248" i="2" a="1"/>
  <c r="H248" i="2" s="1"/>
  <c r="G248" i="2" a="1"/>
  <c r="G248" i="2" s="1"/>
  <c r="F248" i="2" a="1"/>
  <c r="F248" i="2" s="1"/>
  <c r="E248" i="2" a="1"/>
  <c r="E248" i="2" s="1"/>
  <c r="O247" i="2" a="1"/>
  <c r="O247" i="2"/>
  <c r="N247" i="2" a="1"/>
  <c r="N247" i="2"/>
  <c r="M247" i="2" a="1"/>
  <c r="M247" i="2" s="1"/>
  <c r="L247" i="2" a="1"/>
  <c r="L247" i="2" s="1"/>
  <c r="K247" i="2" a="1"/>
  <c r="K247" i="2" s="1"/>
  <c r="J247" i="2" a="1"/>
  <c r="J247" i="2"/>
  <c r="I247" i="2" a="1"/>
  <c r="I247" i="2" s="1"/>
  <c r="H247" i="2" a="1"/>
  <c r="H247" i="2" s="1"/>
  <c r="G247" i="2" a="1"/>
  <c r="G247" i="2" s="1"/>
  <c r="F247" i="2" a="1"/>
  <c r="F247" i="2" s="1"/>
  <c r="E247" i="2" a="1"/>
  <c r="E247" i="2" s="1"/>
  <c r="O246" i="2" a="1"/>
  <c r="O246" i="2" s="1"/>
  <c r="N246" i="2" a="1"/>
  <c r="N246" i="2" s="1"/>
  <c r="M246" i="2" a="1"/>
  <c r="M246" i="2" s="1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 s="1"/>
  <c r="F246" i="2" a="1"/>
  <c r="F246" i="2" s="1"/>
  <c r="E246" i="2" a="1"/>
  <c r="E246" i="2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 s="1"/>
  <c r="G245" i="2" a="1"/>
  <c r="G245" i="2"/>
  <c r="F245" i="2" a="1"/>
  <c r="F245" i="2" s="1"/>
  <c r="E245" i="2" a="1"/>
  <c r="E245" i="2" s="1"/>
  <c r="O244" i="2" a="1"/>
  <c r="O244" i="2" s="1"/>
  <c r="N244" i="2" a="1"/>
  <c r="N244" i="2" s="1"/>
  <c r="M244" i="2" a="1"/>
  <c r="M244" i="2" s="1"/>
  <c r="L244" i="2" a="1"/>
  <c r="L244" i="2"/>
  <c r="K244" i="2" a="1"/>
  <c r="K244" i="2" s="1"/>
  <c r="J244" i="2" a="1"/>
  <c r="J244" i="2" s="1"/>
  <c r="I244" i="2" a="1"/>
  <c r="I244" i="2" s="1"/>
  <c r="H244" i="2" a="1"/>
  <c r="H244" i="2"/>
  <c r="G244" i="2" a="1"/>
  <c r="G244" i="2" s="1"/>
  <c r="F244" i="2" a="1"/>
  <c r="F244" i="2" s="1"/>
  <c r="E244" i="2" a="1"/>
  <c r="E244" i="2" s="1"/>
  <c r="O243" i="2" a="1"/>
  <c r="O243" i="2" s="1"/>
  <c r="N243" i="2" a="1"/>
  <c r="N243" i="2" s="1"/>
  <c r="M243" i="2" a="1"/>
  <c r="M243" i="2" s="1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 s="1"/>
  <c r="F243" i="2" a="1"/>
  <c r="F243" i="2"/>
  <c r="E243" i="2" a="1"/>
  <c r="E243" i="2" s="1"/>
  <c r="O242" i="2" a="1"/>
  <c r="O242" i="2" s="1"/>
  <c r="N242" i="2" a="1"/>
  <c r="N242" i="2" s="1"/>
  <c r="M242" i="2" a="1"/>
  <c r="M242" i="2" s="1"/>
  <c r="L242" i="2" a="1"/>
  <c r="L242" i="2" s="1"/>
  <c r="K242" i="2" a="1"/>
  <c r="K242" i="2"/>
  <c r="J242" i="2" a="1"/>
  <c r="J242" i="2" s="1"/>
  <c r="I242" i="2" a="1"/>
  <c r="I242" i="2" s="1"/>
  <c r="H242" i="2" a="1"/>
  <c r="H242" i="2" s="1"/>
  <c r="G242" i="2" a="1"/>
  <c r="G242" i="2" s="1"/>
  <c r="F242" i="2" a="1"/>
  <c r="F242" i="2" s="1"/>
  <c r="E242" i="2" a="1"/>
  <c r="E242" i="2" s="1"/>
  <c r="O241" i="2" a="1"/>
  <c r="O241" i="2"/>
  <c r="N241" i="2" a="1"/>
  <c r="N241" i="2" s="1"/>
  <c r="M241" i="2" a="1"/>
  <c r="M241" i="2" s="1"/>
  <c r="L241" i="2" a="1"/>
  <c r="L241" i="2" s="1"/>
  <c r="K241" i="2" a="1"/>
  <c r="K241" i="2"/>
  <c r="J241" i="2" a="1"/>
  <c r="J241" i="2" s="1"/>
  <c r="I241" i="2" a="1"/>
  <c r="I241" i="2"/>
  <c r="H241" i="2" a="1"/>
  <c r="H241" i="2" s="1"/>
  <c r="G241" i="2" a="1"/>
  <c r="G241" i="2"/>
  <c r="F241" i="2" a="1"/>
  <c r="F241" i="2" s="1"/>
  <c r="E241" i="2" a="1"/>
  <c r="E241" i="2" s="1"/>
  <c r="O240" i="2" a="1"/>
  <c r="O240" i="2"/>
  <c r="N240" i="2" a="1"/>
  <c r="N240" i="2" s="1"/>
  <c r="M240" i="2" a="1"/>
  <c r="M240" i="2" s="1"/>
  <c r="L240" i="2" a="1"/>
  <c r="L240" i="2" s="1"/>
  <c r="K240" i="2" a="1"/>
  <c r="K240" i="2"/>
  <c r="J240" i="2" a="1"/>
  <c r="J240" i="2" s="1"/>
  <c r="I240" i="2" a="1"/>
  <c r="I240" i="2" s="1"/>
  <c r="H240" i="2" a="1"/>
  <c r="H240" i="2" s="1"/>
  <c r="G240" i="2" a="1"/>
  <c r="G240" i="2" s="1"/>
  <c r="F240" i="2" a="1"/>
  <c r="F240" i="2"/>
  <c r="E240" i="2" a="1"/>
  <c r="E240" i="2" s="1"/>
  <c r="O239" i="2" a="1"/>
  <c r="O239" i="2" s="1"/>
  <c r="N239" i="2" a="1"/>
  <c r="N239" i="2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 s="1"/>
  <c r="F239" i="2" a="1"/>
  <c r="F239" i="2" s="1"/>
  <c r="E239" i="2" a="1"/>
  <c r="E239" i="2" s="1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 s="1"/>
  <c r="I238" i="2" a="1"/>
  <c r="I238" i="2" s="1"/>
  <c r="H238" i="2" a="1"/>
  <c r="H238" i="2" s="1"/>
  <c r="G238" i="2" a="1"/>
  <c r="G238" i="2" s="1"/>
  <c r="F238" i="2" a="1"/>
  <c r="F238" i="2" s="1"/>
  <c r="E238" i="2" a="1"/>
  <c r="E238" i="2"/>
  <c r="O237" i="2" a="1"/>
  <c r="O237" i="2" s="1"/>
  <c r="N237" i="2" a="1"/>
  <c r="N237" i="2" s="1"/>
  <c r="M237" i="2" a="1"/>
  <c r="M237" i="2"/>
  <c r="L237" i="2" a="1"/>
  <c r="L237" i="2" s="1"/>
  <c r="K237" i="2" a="1"/>
  <c r="K237" i="2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E237" i="2" a="1"/>
  <c r="E237" i="2"/>
  <c r="O236" i="2" a="1"/>
  <c r="O236" i="2" s="1"/>
  <c r="N236" i="2" a="1"/>
  <c r="N236" i="2" s="1"/>
  <c r="M236" i="2" a="1"/>
  <c r="M236" i="2"/>
  <c r="L236" i="2" a="1"/>
  <c r="L236" i="2"/>
  <c r="K236" i="2" a="1"/>
  <c r="K236" i="2" s="1"/>
  <c r="J236" i="2" a="1"/>
  <c r="J236" i="2"/>
  <c r="I236" i="2" a="1"/>
  <c r="I236" i="2" s="1"/>
  <c r="H236" i="2" a="1"/>
  <c r="H236" i="2" s="1"/>
  <c r="G236" i="2" a="1"/>
  <c r="G236" i="2" s="1"/>
  <c r="F236" i="2" a="1"/>
  <c r="F236" i="2" s="1"/>
  <c r="E236" i="2" a="1"/>
  <c r="E236" i="2" s="1"/>
  <c r="O235" i="2" a="1"/>
  <c r="O235" i="2" s="1"/>
  <c r="N235" i="2" a="1"/>
  <c r="N235" i="2" s="1"/>
  <c r="M235" i="2" a="1"/>
  <c r="M235" i="2" s="1"/>
  <c r="L235" i="2" a="1"/>
  <c r="L235" i="2" s="1"/>
  <c r="K235" i="2" a="1"/>
  <c r="K235" i="2" s="1"/>
  <c r="J235" i="2" a="1"/>
  <c r="J235" i="2"/>
  <c r="I235" i="2" a="1"/>
  <c r="I235" i="2" s="1"/>
  <c r="H235" i="2" a="1"/>
  <c r="H235" i="2" s="1"/>
  <c r="G235" i="2" a="1"/>
  <c r="G235" i="2" s="1"/>
  <c r="F235" i="2" a="1"/>
  <c r="F235" i="2"/>
  <c r="E235" i="2" a="1"/>
  <c r="E235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E234" i="2" a="1"/>
  <c r="E234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/>
  <c r="H233" i="2" a="1"/>
  <c r="H233" i="2" s="1"/>
  <c r="G233" i="2" a="1"/>
  <c r="G233" i="2" s="1"/>
  <c r="F233" i="2" a="1"/>
  <c r="F233" i="2" s="1"/>
  <c r="E233" i="2" a="1"/>
  <c r="E233" i="2" s="1"/>
  <c r="O232" i="2" a="1"/>
  <c r="O232" i="2"/>
  <c r="N232" i="2" a="1"/>
  <c r="N232" i="2" s="1"/>
  <c r="M232" i="2" a="1"/>
  <c r="M232" i="2" s="1"/>
  <c r="L232" i="2" a="1"/>
  <c r="L232" i="2" s="1"/>
  <c r="K232" i="2" a="1"/>
  <c r="K232" i="2" s="1"/>
  <c r="J232" i="2" a="1"/>
  <c r="J232" i="2" s="1"/>
  <c r="I232" i="2" a="1"/>
  <c r="I232" i="2" s="1"/>
  <c r="H232" i="2" a="1"/>
  <c r="H232" i="2" s="1"/>
  <c r="G232" i="2" a="1"/>
  <c r="G232" i="2" s="1"/>
  <c r="F232" i="2" a="1"/>
  <c r="F232" i="2" s="1"/>
  <c r="E232" i="2" a="1"/>
  <c r="E232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/>
  <c r="I231" i="2" a="1"/>
  <c r="I231" i="2" s="1"/>
  <c r="H231" i="2" a="1"/>
  <c r="H231" i="2" s="1"/>
  <c r="G231" i="2" a="1"/>
  <c r="G231" i="2" s="1"/>
  <c r="F231" i="2" a="1"/>
  <c r="F231" i="2" s="1"/>
  <c r="E231" i="2" a="1"/>
  <c r="E231" i="2" s="1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 s="1"/>
  <c r="G230" i="2" a="1"/>
  <c r="G230" i="2" s="1"/>
  <c r="F230" i="2" a="1"/>
  <c r="F230" i="2" s="1"/>
  <c r="E230" i="2" a="1"/>
  <c r="E230" i="2" s="1"/>
  <c r="O229" i="2" a="1"/>
  <c r="O229" i="2" s="1"/>
  <c r="N229" i="2" a="1"/>
  <c r="N229" i="2" s="1"/>
  <c r="M229" i="2" a="1"/>
  <c r="M229" i="2" s="1"/>
  <c r="L229" i="2" a="1"/>
  <c r="L229" i="2" s="1"/>
  <c r="K229" i="2" a="1"/>
  <c r="K229" i="2" s="1"/>
  <c r="J229" i="2" a="1"/>
  <c r="J229" i="2" s="1"/>
  <c r="I229" i="2" a="1"/>
  <c r="I229" i="2"/>
  <c r="H229" i="2" a="1"/>
  <c r="H229" i="2" s="1"/>
  <c r="G229" i="2" a="1"/>
  <c r="G229" i="2" s="1"/>
  <c r="F229" i="2" a="1"/>
  <c r="F229" i="2" s="1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 s="1"/>
  <c r="F228" i="2" a="1"/>
  <c r="F228" i="2" s="1"/>
  <c r="E228" i="2" a="1"/>
  <c r="E228" i="2" s="1"/>
  <c r="O227" i="2" a="1"/>
  <c r="O227" i="2" s="1"/>
  <c r="N227" i="2" a="1"/>
  <c r="N227" i="2" s="1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/>
  <c r="G227" i="2" a="1"/>
  <c r="G227" i="2" s="1"/>
  <c r="F227" i="2" a="1"/>
  <c r="F227" i="2" s="1"/>
  <c r="E227" i="2" a="1"/>
  <c r="E227" i="2" s="1"/>
  <c r="O226" i="2" a="1"/>
  <c r="O226" i="2" s="1"/>
  <c r="N226" i="2" a="1"/>
  <c r="N226" i="2" s="1"/>
  <c r="M226" i="2" a="1"/>
  <c r="M226" i="2" s="1"/>
  <c r="L226" i="2" a="1"/>
  <c r="L226" i="2"/>
  <c r="K226" i="2" a="1"/>
  <c r="K226" i="2" s="1"/>
  <c r="J226" i="2" a="1"/>
  <c r="J226" i="2" s="1"/>
  <c r="I226" i="2" a="1"/>
  <c r="I226" i="2" s="1"/>
  <c r="H226" i="2" a="1"/>
  <c r="H226" i="2" s="1"/>
  <c r="G226" i="2" a="1"/>
  <c r="G226" i="2"/>
  <c r="F226" i="2" a="1"/>
  <c r="F226" i="2" s="1"/>
  <c r="E226" i="2" a="1"/>
  <c r="E226" i="2" s="1"/>
  <c r="O225" i="2" a="1"/>
  <c r="O225" i="2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 s="1"/>
  <c r="G225" i="2" a="1"/>
  <c r="G225" i="2" s="1"/>
  <c r="F225" i="2" a="1"/>
  <c r="F225" i="2" s="1"/>
  <c r="E225" i="2" a="1"/>
  <c r="E225" i="2" s="1"/>
  <c r="O224" i="2" a="1"/>
  <c r="O224" i="2" s="1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E223" i="2" a="1"/>
  <c r="E223" i="2" s="1"/>
  <c r="O222" i="2" a="1"/>
  <c r="O222" i="2" s="1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E222" i="2" a="1"/>
  <c r="E222" i="2" s="1"/>
  <c r="O221" i="2" a="1"/>
  <c r="O221" i="2" s="1"/>
  <c r="N221" i="2" a="1"/>
  <c r="N221" i="2" s="1"/>
  <c r="M221" i="2" a="1"/>
  <c r="M221" i="2" s="1"/>
  <c r="L221" i="2" a="1"/>
  <c r="L221" i="2" s="1"/>
  <c r="K221" i="2" a="1"/>
  <c r="K221" i="2" s="1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E221" i="2" a="1"/>
  <c r="E221" i="2" s="1"/>
  <c r="O220" i="2" a="1"/>
  <c r="O220" i="2" s="1"/>
  <c r="N220" i="2" a="1"/>
  <c r="N220" i="2" s="1"/>
  <c r="M220" i="2" a="1"/>
  <c r="M220" i="2"/>
  <c r="L220" i="2" a="1"/>
  <c r="L220" i="2" s="1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 s="1"/>
  <c r="E220" i="2" a="1"/>
  <c r="E220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 s="1"/>
  <c r="G219" i="2" a="1"/>
  <c r="G219" i="2" s="1"/>
  <c r="F219" i="2" a="1"/>
  <c r="F219" i="2" s="1"/>
  <c r="E219" i="2" a="1"/>
  <c r="E219" i="2" s="1"/>
  <c r="O218" i="2" a="1"/>
  <c r="O218" i="2" s="1"/>
  <c r="N218" i="2" a="1"/>
  <c r="N218" i="2" s="1"/>
  <c r="M218" i="2" a="1"/>
  <c r="M218" i="2" s="1"/>
  <c r="L218" i="2" a="1"/>
  <c r="L218" i="2" s="1"/>
  <c r="K218" i="2" a="1"/>
  <c r="K218" i="2" s="1"/>
  <c r="J218" i="2" a="1"/>
  <c r="J218" i="2" s="1"/>
  <c r="I218" i="2" a="1"/>
  <c r="I218" i="2" s="1"/>
  <c r="H218" i="2" a="1"/>
  <c r="H218" i="2" s="1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E217" i="2" a="1"/>
  <c r="E217" i="2" s="1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 s="1"/>
  <c r="H216" i="2" a="1"/>
  <c r="H216" i="2" s="1"/>
  <c r="G216" i="2" a="1"/>
  <c r="G216" i="2"/>
  <c r="F216" i="2" a="1"/>
  <c r="F216" i="2" s="1"/>
  <c r="E216" i="2" a="1"/>
  <c r="E216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 s="1"/>
  <c r="H215" i="2" a="1"/>
  <c r="H215" i="2"/>
  <c r="G215" i="2" a="1"/>
  <c r="G215" i="2" s="1"/>
  <c r="F215" i="2" a="1"/>
  <c r="F215" i="2" s="1"/>
  <c r="E215" i="2" a="1"/>
  <c r="E215" i="2" s="1"/>
  <c r="O214" i="2" a="1"/>
  <c r="O214" i="2" s="1"/>
  <c r="N214" i="2" a="1"/>
  <c r="N214" i="2"/>
  <c r="M214" i="2" a="1"/>
  <c r="M214" i="2" s="1"/>
  <c r="L214" i="2" a="1"/>
  <c r="L214" i="2"/>
  <c r="K214" i="2" a="1"/>
  <c r="K214" i="2" s="1"/>
  <c r="J214" i="2" a="1"/>
  <c r="J214" i="2"/>
  <c r="I214" i="2" a="1"/>
  <c r="I214" i="2" s="1"/>
  <c r="H214" i="2" a="1"/>
  <c r="H214" i="2" s="1"/>
  <c r="G214" i="2" a="1"/>
  <c r="G214" i="2" s="1"/>
  <c r="F214" i="2" a="1"/>
  <c r="F214" i="2"/>
  <c r="E214" i="2" a="1"/>
  <c r="E214" i="2" s="1"/>
  <c r="O213" i="2" a="1"/>
  <c r="O213" i="2"/>
  <c r="N213" i="2" a="1"/>
  <c r="N213" i="2" s="1"/>
  <c r="M213" i="2" a="1"/>
  <c r="M213" i="2" s="1"/>
  <c r="L213" i="2" a="1"/>
  <c r="L213" i="2" s="1"/>
  <c r="K213" i="2" a="1"/>
  <c r="K213" i="2" s="1"/>
  <c r="J213" i="2" a="1"/>
  <c r="J213" i="2" s="1"/>
  <c r="I213" i="2" a="1"/>
  <c r="I213" i="2" s="1"/>
  <c r="H213" i="2" a="1"/>
  <c r="H213" i="2" s="1"/>
  <c r="G213" i="2" a="1"/>
  <c r="G213" i="2" s="1"/>
  <c r="F213" i="2" a="1"/>
  <c r="F213" i="2" s="1"/>
  <c r="E213" i="2" a="1"/>
  <c r="E213" i="2" s="1"/>
  <c r="O212" i="2" a="1"/>
  <c r="O212" i="2" s="1"/>
  <c r="N212" i="2" a="1"/>
  <c r="N212" i="2" s="1"/>
  <c r="M212" i="2" a="1"/>
  <c r="M212" i="2" s="1"/>
  <c r="L212" i="2" a="1"/>
  <c r="L212" i="2" s="1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 s="1"/>
  <c r="E212" i="2" a="1"/>
  <c r="E212" i="2" s="1"/>
  <c r="O211" i="2" a="1"/>
  <c r="O211" i="2" s="1"/>
  <c r="N211" i="2" a="1"/>
  <c r="N211" i="2" s="1"/>
  <c r="M211" i="2" a="1"/>
  <c r="M211" i="2" s="1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 s="1"/>
  <c r="F211" i="2" a="1"/>
  <c r="F211" i="2" s="1"/>
  <c r="E211" i="2" a="1"/>
  <c r="E211" i="2" s="1"/>
  <c r="O210" i="2" a="1"/>
  <c r="O210" i="2" s="1"/>
  <c r="N210" i="2" a="1"/>
  <c r="N210" i="2" s="1"/>
  <c r="M210" i="2" a="1"/>
  <c r="M210" i="2" s="1"/>
  <c r="L210" i="2" a="1"/>
  <c r="L210" i="2"/>
  <c r="K210" i="2" a="1"/>
  <c r="K210" i="2" s="1"/>
  <c r="J210" i="2" a="1"/>
  <c r="J210" i="2" s="1"/>
  <c r="I210" i="2" a="1"/>
  <c r="I210" i="2" s="1"/>
  <c r="H210" i="2" a="1"/>
  <c r="H210" i="2" s="1"/>
  <c r="G210" i="2" a="1"/>
  <c r="G210" i="2" s="1"/>
  <c r="F210" i="2" a="1"/>
  <c r="F210" i="2" s="1"/>
  <c r="E210" i="2" a="1"/>
  <c r="E210" i="2" s="1"/>
  <c r="O209" i="2" a="1"/>
  <c r="O209" i="2" s="1"/>
  <c r="N209" i="2" a="1"/>
  <c r="N209" i="2" s="1"/>
  <c r="M209" i="2" a="1"/>
  <c r="M209" i="2" s="1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E209" i="2" a="1"/>
  <c r="E209" i="2" s="1"/>
  <c r="O208" i="2" a="1"/>
  <c r="O208" i="2" s="1"/>
  <c r="N208" i="2" a="1"/>
  <c r="N208" i="2" s="1"/>
  <c r="M208" i="2" a="1"/>
  <c r="M208" i="2" s="1"/>
  <c r="L208" i="2" a="1"/>
  <c r="L208" i="2" s="1"/>
  <c r="K208" i="2" a="1"/>
  <c r="K208" i="2" s="1"/>
  <c r="J208" i="2" a="1"/>
  <c r="J208" i="2" s="1"/>
  <c r="I208" i="2" a="1"/>
  <c r="I208" i="2" s="1"/>
  <c r="H208" i="2" a="1"/>
  <c r="H208" i="2" s="1"/>
  <c r="G208" i="2" a="1"/>
  <c r="G208" i="2"/>
  <c r="F208" i="2" a="1"/>
  <c r="F208" i="2" s="1"/>
  <c r="E208" i="2" a="1"/>
  <c r="E208" i="2" s="1"/>
  <c r="O207" i="2" a="1"/>
  <c r="O207" i="2" s="1"/>
  <c r="N207" i="2" a="1"/>
  <c r="N207" i="2" s="1"/>
  <c r="M207" i="2" a="1"/>
  <c r="M207" i="2" s="1"/>
  <c r="L207" i="2" a="1"/>
  <c r="L207" i="2" s="1"/>
  <c r="K207" i="2" a="1"/>
  <c r="K207" i="2" s="1"/>
  <c r="J207" i="2" a="1"/>
  <c r="J207" i="2" s="1"/>
  <c r="I207" i="2" a="1"/>
  <c r="I207" i="2" s="1"/>
  <c r="H207" i="2" a="1"/>
  <c r="H207" i="2"/>
  <c r="G207" i="2" a="1"/>
  <c r="G207" i="2" s="1"/>
  <c r="F207" i="2" a="1"/>
  <c r="F207" i="2" s="1"/>
  <c r="E207" i="2" a="1"/>
  <c r="E207" i="2" s="1"/>
  <c r="O206" i="2" a="1"/>
  <c r="O206" i="2" s="1"/>
  <c r="N206" i="2" a="1"/>
  <c r="N206" i="2"/>
  <c r="M206" i="2" a="1"/>
  <c r="M206" i="2"/>
  <c r="L206" i="2" a="1"/>
  <c r="L206" i="2" s="1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 s="1"/>
  <c r="E206" i="2" a="1"/>
  <c r="E206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 s="1"/>
  <c r="G205" i="2" a="1"/>
  <c r="G205" i="2" s="1"/>
  <c r="F205" i="2" a="1"/>
  <c r="F205" i="2" s="1"/>
  <c r="E205" i="2" a="1"/>
  <c r="E205" i="2" s="1"/>
  <c r="O204" i="2" a="1"/>
  <c r="O204" i="2" s="1"/>
  <c r="N204" i="2" a="1"/>
  <c r="N204" i="2" s="1"/>
  <c r="M204" i="2" a="1"/>
  <c r="M204" i="2" s="1"/>
  <c r="L204" i="2" a="1"/>
  <c r="L204" i="2" s="1"/>
  <c r="K204" i="2" a="1"/>
  <c r="K204" i="2" s="1"/>
  <c r="J204" i="2" a="1"/>
  <c r="J204" i="2" s="1"/>
  <c r="I204" i="2" a="1"/>
  <c r="I204" i="2" s="1"/>
  <c r="H204" i="2" a="1"/>
  <c r="H204" i="2" s="1"/>
  <c r="G204" i="2" a="1"/>
  <c r="G204" i="2" s="1"/>
  <c r="F204" i="2" a="1"/>
  <c r="F204" i="2" s="1"/>
  <c r="E204" i="2" a="1"/>
  <c r="E204" i="2"/>
  <c r="O203" i="2" a="1"/>
  <c r="O203" i="2" s="1"/>
  <c r="N203" i="2" a="1"/>
  <c r="N203" i="2" s="1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 s="1"/>
  <c r="F203" i="2" a="1"/>
  <c r="F203" i="2" s="1"/>
  <c r="E203" i="2" a="1"/>
  <c r="E203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E202" i="2" a="1"/>
  <c r="E202" i="2" s="1"/>
  <c r="O201" i="2" a="1"/>
  <c r="O201" i="2" s="1"/>
  <c r="N201" i="2" a="1"/>
  <c r="N201" i="2" s="1"/>
  <c r="M201" i="2" a="1"/>
  <c r="M201" i="2" s="1"/>
  <c r="L201" i="2" a="1"/>
  <c r="L201" i="2" s="1"/>
  <c r="K201" i="2" a="1"/>
  <c r="K201" i="2" s="1"/>
  <c r="J201" i="2" a="1"/>
  <c r="J201" i="2" s="1"/>
  <c r="I201" i="2" a="1"/>
  <c r="I201" i="2"/>
  <c r="H201" i="2" a="1"/>
  <c r="H201" i="2" s="1"/>
  <c r="G201" i="2" a="1"/>
  <c r="G201" i="2" s="1"/>
  <c r="F201" i="2" a="1"/>
  <c r="F201" i="2" s="1"/>
  <c r="E201" i="2" a="1"/>
  <c r="E201" i="2" s="1"/>
  <c r="O200" i="2" a="1"/>
  <c r="O200" i="2" s="1"/>
  <c r="N200" i="2" a="1"/>
  <c r="N200" i="2" s="1"/>
  <c r="M200" i="2" a="1"/>
  <c r="M200" i="2" s="1"/>
  <c r="L200" i="2" a="1"/>
  <c r="L200" i="2" s="1"/>
  <c r="K200" i="2" a="1"/>
  <c r="K200" i="2" s="1"/>
  <c r="J200" i="2" a="1"/>
  <c r="J200" i="2" s="1"/>
  <c r="I200" i="2" a="1"/>
  <c r="I200" i="2" s="1"/>
  <c r="H200" i="2" a="1"/>
  <c r="H200" i="2" s="1"/>
  <c r="G200" i="2" a="1"/>
  <c r="G200" i="2"/>
  <c r="F200" i="2" a="1"/>
  <c r="F200" i="2" s="1"/>
  <c r="E200" i="2" a="1"/>
  <c r="E200" i="2" s="1"/>
  <c r="O199" i="2" a="1"/>
  <c r="O199" i="2" s="1"/>
  <c r="N199" i="2" a="1"/>
  <c r="N199" i="2" s="1"/>
  <c r="M199" i="2" a="1"/>
  <c r="M199" i="2" s="1"/>
  <c r="L199" i="2" a="1"/>
  <c r="L199" i="2" s="1"/>
  <c r="K199" i="2" a="1"/>
  <c r="K199" i="2" s="1"/>
  <c r="J199" i="2" a="1"/>
  <c r="J199" i="2" s="1"/>
  <c r="I199" i="2" a="1"/>
  <c r="I199" i="2" s="1"/>
  <c r="H199" i="2" a="1"/>
  <c r="H199" i="2" s="1"/>
  <c r="G199" i="2" a="1"/>
  <c r="G199" i="2" s="1"/>
  <c r="F199" i="2" a="1"/>
  <c r="F199" i="2" s="1"/>
  <c r="E199" i="2" a="1"/>
  <c r="E199" i="2" s="1"/>
  <c r="O198" i="2" a="1"/>
  <c r="O198" i="2" s="1"/>
  <c r="N198" i="2" a="1"/>
  <c r="N198" i="2" s="1"/>
  <c r="M198" i="2" a="1"/>
  <c r="M198" i="2" s="1"/>
  <c r="L198" i="2" a="1"/>
  <c r="L198" i="2" s="1"/>
  <c r="K198" i="2" a="1"/>
  <c r="K198" i="2" s="1"/>
  <c r="J198" i="2" a="1"/>
  <c r="J198" i="2"/>
  <c r="I198" i="2" a="1"/>
  <c r="I198" i="2" s="1"/>
  <c r="H198" i="2" a="1"/>
  <c r="H198" i="2" s="1"/>
  <c r="G198" i="2" a="1"/>
  <c r="G198" i="2" s="1"/>
  <c r="F198" i="2" a="1"/>
  <c r="F198" i="2"/>
  <c r="E198" i="2" a="1"/>
  <c r="E198" i="2" s="1"/>
  <c r="O197" i="2" a="1"/>
  <c r="O197" i="2"/>
  <c r="N197" i="2" a="1"/>
  <c r="N197" i="2" s="1"/>
  <c r="M197" i="2" a="1"/>
  <c r="M197" i="2" s="1"/>
  <c r="L197" i="2" a="1"/>
  <c r="L197" i="2" s="1"/>
  <c r="K197" i="2" a="1"/>
  <c r="K197" i="2" s="1"/>
  <c r="J197" i="2" a="1"/>
  <c r="J197" i="2" s="1"/>
  <c r="I197" i="2" a="1"/>
  <c r="I197" i="2" s="1"/>
  <c r="H197" i="2" a="1"/>
  <c r="H197" i="2" s="1"/>
  <c r="G197" i="2" a="1"/>
  <c r="G197" i="2"/>
  <c r="F197" i="2" a="1"/>
  <c r="F197" i="2" s="1"/>
  <c r="E197" i="2" a="1"/>
  <c r="E197" i="2" s="1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J196" i="2" a="1"/>
  <c r="J196" i="2" s="1"/>
  <c r="I196" i="2" a="1"/>
  <c r="I196" i="2"/>
  <c r="H196" i="2" a="1"/>
  <c r="H196" i="2" s="1"/>
  <c r="G196" i="2" a="1"/>
  <c r="G196" i="2" s="1"/>
  <c r="F196" i="2" a="1"/>
  <c r="F196" i="2" s="1"/>
  <c r="E196" i="2" a="1"/>
  <c r="E196" i="2" s="1"/>
  <c r="O195" i="2" a="1"/>
  <c r="O195" i="2" s="1"/>
  <c r="N195" i="2" a="1"/>
  <c r="N195" i="2" s="1"/>
  <c r="M195" i="2" a="1"/>
  <c r="M195" i="2" s="1"/>
  <c r="L195" i="2" a="1"/>
  <c r="L195" i="2" s="1"/>
  <c r="K195" i="2" a="1"/>
  <c r="K195" i="2" s="1"/>
  <c r="J195" i="2" a="1"/>
  <c r="J195" i="2" s="1"/>
  <c r="I195" i="2" a="1"/>
  <c r="I195" i="2" s="1"/>
  <c r="H195" i="2" a="1"/>
  <c r="H195" i="2" s="1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 s="1"/>
  <c r="L194" i="2" a="1"/>
  <c r="L194" i="2" s="1"/>
  <c r="K194" i="2" a="1"/>
  <c r="K194" i="2" s="1"/>
  <c r="J194" i="2" a="1"/>
  <c r="J194" i="2" s="1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 s="1"/>
  <c r="J193" i="2" a="1"/>
  <c r="J193" i="2" s="1"/>
  <c r="I193" i="2" a="1"/>
  <c r="I193" i="2" s="1"/>
  <c r="H193" i="2" a="1"/>
  <c r="H193" i="2" s="1"/>
  <c r="G193" i="2" a="1"/>
  <c r="G193" i="2" s="1"/>
  <c r="F193" i="2" a="1"/>
  <c r="F193" i="2" s="1"/>
  <c r="E193" i="2" a="1"/>
  <c r="E193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 s="1"/>
  <c r="I192" i="2" a="1"/>
  <c r="I192" i="2" s="1"/>
  <c r="H192" i="2" a="1"/>
  <c r="H192" i="2" s="1"/>
  <c r="G192" i="2" a="1"/>
  <c r="G192" i="2"/>
  <c r="F192" i="2" a="1"/>
  <c r="F192" i="2" s="1"/>
  <c r="E192" i="2" a="1"/>
  <c r="E192" i="2" s="1"/>
  <c r="O191" i="2" a="1"/>
  <c r="O191" i="2" s="1"/>
  <c r="N191" i="2" a="1"/>
  <c r="N191" i="2" s="1"/>
  <c r="M191" i="2" a="1"/>
  <c r="M191" i="2" s="1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O190" i="2" a="1"/>
  <c r="O190" i="2" s="1"/>
  <c r="N190" i="2" a="1"/>
  <c r="N190" i="2"/>
  <c r="M190" i="2" a="1"/>
  <c r="M190" i="2" s="1"/>
  <c r="L190" i="2" a="1"/>
  <c r="L190" i="2" s="1"/>
  <c r="K190" i="2" a="1"/>
  <c r="K190" i="2" s="1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E190" i="2" a="1"/>
  <c r="E190" i="2" s="1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E189" i="2" a="1"/>
  <c r="E189" i="2" s="1"/>
  <c r="O188" i="2" a="1"/>
  <c r="O188" i="2" s="1"/>
  <c r="N188" i="2" a="1"/>
  <c r="N188" i="2" s="1"/>
  <c r="M188" i="2" a="1"/>
  <c r="M188" i="2" s="1"/>
  <c r="L188" i="2" a="1"/>
  <c r="L188" i="2" s="1"/>
  <c r="K188" i="2" a="1"/>
  <c r="K188" i="2" s="1"/>
  <c r="J188" i="2" a="1"/>
  <c r="J188" i="2" s="1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O186" i="2" a="1"/>
  <c r="O186" i="2" s="1"/>
  <c r="N186" i="2" a="1"/>
  <c r="N186" i="2" s="1"/>
  <c r="M186" i="2" a="1"/>
  <c r="M186" i="2" s="1"/>
  <c r="L186" i="2" a="1"/>
  <c r="L186" i="2"/>
  <c r="K186" i="2" a="1"/>
  <c r="K186" i="2" s="1"/>
  <c r="J186" i="2" a="1"/>
  <c r="J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/>
  <c r="H185" i="2" a="1"/>
  <c r="H185" i="2" s="1"/>
  <c r="G185" i="2" a="1"/>
  <c r="G185" i="2" s="1"/>
  <c r="F185" i="2" a="1"/>
  <c r="F185" i="2" s="1"/>
  <c r="E185" i="2" a="1"/>
  <c r="E185" i="2" s="1"/>
  <c r="O184" i="2" a="1"/>
  <c r="O184" i="2"/>
  <c r="N184" i="2" a="1"/>
  <c r="N184" i="2" s="1"/>
  <c r="M184" i="2" a="1"/>
  <c r="M184" i="2" s="1"/>
  <c r="L184" i="2" a="1"/>
  <c r="L184" i="2" s="1"/>
  <c r="K184" i="2" a="1"/>
  <c r="K184" i="2" s="1"/>
  <c r="J184" i="2" a="1"/>
  <c r="J184" i="2" s="1"/>
  <c r="I184" i="2" a="1"/>
  <c r="I184" i="2" s="1"/>
  <c r="H184" i="2" a="1"/>
  <c r="H184" i="2" s="1"/>
  <c r="G184" i="2" a="1"/>
  <c r="G184" i="2"/>
  <c r="F184" i="2" a="1"/>
  <c r="F184" i="2" s="1"/>
  <c r="E184" i="2" a="1"/>
  <c r="E184" i="2" s="1"/>
  <c r="O183" i="2" a="1"/>
  <c r="O183" i="2" s="1"/>
  <c r="N183" i="2" a="1"/>
  <c r="N183" i="2" s="1"/>
  <c r="M183" i="2" a="1"/>
  <c r="M183" i="2"/>
  <c r="L183" i="2" a="1"/>
  <c r="L183" i="2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J182" i="2" a="1"/>
  <c r="J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O180" i="2" a="1"/>
  <c r="O180" i="2" s="1"/>
  <c r="N180" i="2" a="1"/>
  <c r="N180" i="2" s="1"/>
  <c r="M180" i="2" a="1"/>
  <c r="M180" i="2" s="1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 s="1"/>
  <c r="E180" i="2" a="1"/>
  <c r="E180" i="2" s="1"/>
  <c r="O179" i="2" a="1"/>
  <c r="O179" i="2" s="1"/>
  <c r="N179" i="2" a="1"/>
  <c r="N179" i="2" s="1"/>
  <c r="M179" i="2" a="1"/>
  <c r="M179" i="2" s="1"/>
  <c r="L179" i="2" a="1"/>
  <c r="L179" i="2" s="1"/>
  <c r="K179" i="2" a="1"/>
  <c r="K179" i="2" s="1"/>
  <c r="J179" i="2" a="1"/>
  <c r="J179" i="2" s="1"/>
  <c r="I179" i="2" a="1"/>
  <c r="I179" i="2" s="1"/>
  <c r="H179" i="2" a="1"/>
  <c r="H179" i="2" s="1"/>
  <c r="G179" i="2" a="1"/>
  <c r="G179" i="2" s="1"/>
  <c r="F179" i="2" a="1"/>
  <c r="F179" i="2" s="1"/>
  <c r="E179" i="2" a="1"/>
  <c r="E179" i="2" s="1"/>
  <c r="O178" i="2" a="1"/>
  <c r="O178" i="2" s="1"/>
  <c r="N178" i="2" a="1"/>
  <c r="N178" i="2" s="1"/>
  <c r="M178" i="2" a="1"/>
  <c r="M178" i="2" s="1"/>
  <c r="L178" i="2" a="1"/>
  <c r="L178" i="2" s="1"/>
  <c r="K178" i="2" a="1"/>
  <c r="K178" i="2" s="1"/>
  <c r="J178" i="2" a="1"/>
  <c r="J178" i="2" s="1"/>
  <c r="I178" i="2" a="1"/>
  <c r="I178" i="2" s="1"/>
  <c r="H178" i="2" a="1"/>
  <c r="H178" i="2" s="1"/>
  <c r="G178" i="2" a="1"/>
  <c r="G178" i="2" s="1"/>
  <c r="F178" i="2" a="1"/>
  <c r="F178" i="2" s="1"/>
  <c r="E178" i="2" a="1"/>
  <c r="E178" i="2" s="1"/>
  <c r="O177" i="2" a="1"/>
  <c r="O177" i="2" s="1"/>
  <c r="N177" i="2" a="1"/>
  <c r="N177" i="2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 s="1"/>
  <c r="J176" i="2" a="1"/>
  <c r="J176" i="2" s="1"/>
  <c r="I176" i="2" a="1"/>
  <c r="I176" i="2" s="1"/>
  <c r="H176" i="2" a="1"/>
  <c r="H176" i="2" s="1"/>
  <c r="G176" i="2" a="1"/>
  <c r="G176" i="2" s="1"/>
  <c r="F176" i="2" a="1"/>
  <c r="F176" i="2" s="1"/>
  <c r="E176" i="2" a="1"/>
  <c r="E176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E175" i="2" a="1"/>
  <c r="E175" i="2" s="1"/>
  <c r="O174" i="2" a="1"/>
  <c r="O174" i="2" s="1"/>
  <c r="N174" i="2" a="1"/>
  <c r="N174" i="2" s="1"/>
  <c r="M174" i="2" a="1"/>
  <c r="M174" i="2" s="1"/>
  <c r="L174" i="2" a="1"/>
  <c r="L174" i="2" s="1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/>
  <c r="E174" i="2" a="1"/>
  <c r="E174" i="2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 s="1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I172" i="2" a="1"/>
  <c r="I172" i="2" s="1"/>
  <c r="H172" i="2" a="1"/>
  <c r="H172" i="2" s="1"/>
  <c r="G172" i="2" a="1"/>
  <c r="G172" i="2" s="1"/>
  <c r="F172" i="2" a="1"/>
  <c r="F172" i="2" s="1"/>
  <c r="E172" i="2" a="1"/>
  <c r="E172" i="2" s="1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 s="1"/>
  <c r="M170" i="2" a="1"/>
  <c r="M170" i="2" s="1"/>
  <c r="L170" i="2" a="1"/>
  <c r="L170" i="2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 s="1"/>
  <c r="N168" i="2" a="1"/>
  <c r="N168" i="2" s="1"/>
  <c r="M168" i="2" a="1"/>
  <c r="M168" i="2" s="1"/>
  <c r="L168" i="2" a="1"/>
  <c r="L168" i="2" s="1"/>
  <c r="K168" i="2" a="1"/>
  <c r="K168" i="2" s="1"/>
  <c r="J168" i="2" a="1"/>
  <c r="J168" i="2" s="1"/>
  <c r="I168" i="2" a="1"/>
  <c r="I168" i="2" s="1"/>
  <c r="H168" i="2" a="1"/>
  <c r="H168" i="2" s="1"/>
  <c r="G168" i="2" a="1"/>
  <c r="G168" i="2" s="1"/>
  <c r="F168" i="2" a="1"/>
  <c r="F168" i="2" s="1"/>
  <c r="E168" i="2" a="1"/>
  <c r="E168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E166" i="2" a="1"/>
  <c r="E166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 s="1"/>
  <c r="O164" i="2" a="1"/>
  <c r="O164" i="2"/>
  <c r="N164" i="2" a="1"/>
  <c r="N164" i="2" s="1"/>
  <c r="M164" i="2" a="1"/>
  <c r="M164" i="2" s="1"/>
  <c r="L164" i="2" a="1"/>
  <c r="L164" i="2" s="1"/>
  <c r="K164" i="2" a="1"/>
  <c r="K164" i="2" s="1"/>
  <c r="J164" i="2" a="1"/>
  <c r="J164" i="2" s="1"/>
  <c r="I164" i="2" a="1"/>
  <c r="I164" i="2" s="1"/>
  <c r="H164" i="2" a="1"/>
  <c r="H164" i="2" s="1"/>
  <c r="G164" i="2" a="1"/>
  <c r="G164" i="2"/>
  <c r="F164" i="2" a="1"/>
  <c r="F164" i="2" s="1"/>
  <c r="E164" i="2" a="1"/>
  <c r="E164" i="2" s="1"/>
  <c r="O163" i="2" a="1"/>
  <c r="O163" i="2" s="1"/>
  <c r="N163" i="2" a="1"/>
  <c r="N163" i="2"/>
  <c r="M163" i="2" a="1"/>
  <c r="M163" i="2" s="1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E163" i="2" a="1"/>
  <c r="E163" i="2" s="1"/>
  <c r="O162" i="2" a="1"/>
  <c r="O162" i="2" s="1"/>
  <c r="N162" i="2" a="1"/>
  <c r="N162" i="2" s="1"/>
  <c r="M162" i="2" a="1"/>
  <c r="M162" i="2" s="1"/>
  <c r="L162" i="2" a="1"/>
  <c r="L162" i="2" s="1"/>
  <c r="K162" i="2" a="1"/>
  <c r="K162" i="2" s="1"/>
  <c r="J162" i="2" a="1"/>
  <c r="J162" i="2"/>
  <c r="I162" i="2" a="1"/>
  <c r="I162" i="2" s="1"/>
  <c r="H162" i="2" a="1"/>
  <c r="H162" i="2" s="1"/>
  <c r="G162" i="2" a="1"/>
  <c r="G162" i="2" s="1"/>
  <c r="F162" i="2" a="1"/>
  <c r="F162" i="2" s="1"/>
  <c r="E162" i="2" a="1"/>
  <c r="E162" i="2" s="1"/>
  <c r="O161" i="2" a="1"/>
  <c r="O161" i="2" s="1"/>
  <c r="N161" i="2" a="1"/>
  <c r="N161" i="2" s="1"/>
  <c r="M161" i="2" a="1"/>
  <c r="M161" i="2"/>
  <c r="L161" i="2" a="1"/>
  <c r="L161" i="2" s="1"/>
  <c r="K161" i="2" a="1"/>
  <c r="K161" i="2" s="1"/>
  <c r="J161" i="2" a="1"/>
  <c r="J161" i="2" s="1"/>
  <c r="I161" i="2" a="1"/>
  <c r="I161" i="2"/>
  <c r="H161" i="2" a="1"/>
  <c r="H161" i="2" s="1"/>
  <c r="G161" i="2" a="1"/>
  <c r="G161" i="2" s="1"/>
  <c r="F161" i="2" a="1"/>
  <c r="F161" i="2" s="1"/>
  <c r="E161" i="2" a="1"/>
  <c r="E161" i="2" s="1"/>
  <c r="O160" i="2" a="1"/>
  <c r="O160" i="2" s="1"/>
  <c r="N160" i="2" a="1"/>
  <c r="N160" i="2" s="1"/>
  <c r="M160" i="2" a="1"/>
  <c r="M160" i="2" s="1"/>
  <c r="L160" i="2" a="1"/>
  <c r="L160" i="2" s="1"/>
  <c r="K160" i="2" a="1"/>
  <c r="K160" i="2"/>
  <c r="J160" i="2" a="1"/>
  <c r="J160" i="2" s="1"/>
  <c r="I160" i="2" a="1"/>
  <c r="I160" i="2" s="1"/>
  <c r="H160" i="2" a="1"/>
  <c r="H160" i="2" s="1"/>
  <c r="G160" i="2" a="1"/>
  <c r="G160" i="2" s="1"/>
  <c r="F160" i="2" a="1"/>
  <c r="F160" i="2" s="1"/>
  <c r="E160" i="2" a="1"/>
  <c r="E160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E159" i="2" a="1"/>
  <c r="E159" i="2"/>
  <c r="O158" i="2" a="1"/>
  <c r="O158" i="2"/>
  <c r="N158" i="2" a="1"/>
  <c r="N158" i="2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/>
  <c r="F158" i="2" a="1"/>
  <c r="F158" i="2"/>
  <c r="E158" i="2" a="1"/>
  <c r="E158" i="2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E157" i="2" a="1"/>
  <c r="E157" i="2" s="1"/>
  <c r="O156" i="2" a="1"/>
  <c r="O156" i="2" s="1"/>
  <c r="N156" i="2" a="1"/>
  <c r="N156" i="2" s="1"/>
  <c r="M156" i="2" a="1"/>
  <c r="M156" i="2" s="1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/>
  <c r="E156" i="2" a="1"/>
  <c r="E156" i="2" s="1"/>
  <c r="O155" i="2" a="1"/>
  <c r="O155" i="2" s="1"/>
  <c r="N155" i="2" a="1"/>
  <c r="N155" i="2" s="1"/>
  <c r="M155" i="2" a="1"/>
  <c r="M155" i="2" s="1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/>
  <c r="O154" i="2" a="1"/>
  <c r="O154" i="2" s="1"/>
  <c r="N154" i="2" a="1"/>
  <c r="N154" i="2" s="1"/>
  <c r="M154" i="2" a="1"/>
  <c r="M154" i="2" s="1"/>
  <c r="L154" i="2" a="1"/>
  <c r="L154" i="2" s="1"/>
  <c r="K154" i="2" a="1"/>
  <c r="K154" i="2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 s="1"/>
  <c r="N153" i="2" a="1"/>
  <c r="N153" i="2" s="1"/>
  <c r="M153" i="2" a="1"/>
  <c r="M153" i="2" s="1"/>
  <c r="L153" i="2" a="1"/>
  <c r="L153" i="2" s="1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 s="1"/>
  <c r="N152" i="2" a="1"/>
  <c r="N152" i="2" s="1"/>
  <c r="M152" i="2" a="1"/>
  <c r="M152" i="2" s="1"/>
  <c r="L152" i="2" a="1"/>
  <c r="L152" i="2" s="1"/>
  <c r="K152" i="2" a="1"/>
  <c r="K152" i="2" s="1"/>
  <c r="J152" i="2" a="1"/>
  <c r="J152" i="2" s="1"/>
  <c r="I152" i="2" a="1"/>
  <c r="I152" i="2" s="1"/>
  <c r="H152" i="2" a="1"/>
  <c r="H152" i="2" s="1"/>
  <c r="G152" i="2" a="1"/>
  <c r="G152" i="2" s="1"/>
  <c r="F152" i="2" a="1"/>
  <c r="F152" i="2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 s="1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 s="1"/>
  <c r="F150" i="2" a="1"/>
  <c r="F150" i="2" s="1"/>
  <c r="E150" i="2" a="1"/>
  <c r="E150" i="2"/>
  <c r="O149" i="2" a="1"/>
  <c r="O149" i="2" s="1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 s="1"/>
  <c r="H149" i="2" a="1"/>
  <c r="H149" i="2" s="1"/>
  <c r="G149" i="2" a="1"/>
  <c r="G149" i="2" s="1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E148" i="2" a="1"/>
  <c r="E148" i="2" s="1"/>
  <c r="O147" i="2" a="1"/>
  <c r="O147" i="2" s="1"/>
  <c r="N147" i="2" a="1"/>
  <c r="N147" i="2" s="1"/>
  <c r="M147" i="2" a="1"/>
  <c r="M147" i="2"/>
  <c r="L147" i="2" a="1"/>
  <c r="L147" i="2" s="1"/>
  <c r="K147" i="2" a="1"/>
  <c r="K147" i="2" s="1"/>
  <c r="J147" i="2" a="1"/>
  <c r="J147" i="2" s="1"/>
  <c r="I147" i="2" a="1"/>
  <c r="I147" i="2"/>
  <c r="H147" i="2" a="1"/>
  <c r="H147" i="2" s="1"/>
  <c r="G147" i="2" a="1"/>
  <c r="G147" i="2" s="1"/>
  <c r="F147" i="2" a="1"/>
  <c r="F147" i="2" s="1"/>
  <c r="E147" i="2" a="1"/>
  <c r="E147" i="2" s="1"/>
  <c r="O146" i="2" a="1"/>
  <c r="O146" i="2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 s="1"/>
  <c r="O144" i="2" a="1"/>
  <c r="O144" i="2" s="1"/>
  <c r="N144" i="2" a="1"/>
  <c r="N144" i="2" s="1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E144" i="2" a="1"/>
  <c r="E144" i="2" s="1"/>
  <c r="O143" i="2" a="1"/>
  <c r="O143" i="2" s="1"/>
  <c r="N143" i="2" a="1"/>
  <c r="N143" i="2" s="1"/>
  <c r="M143" i="2" a="1"/>
  <c r="M143" i="2"/>
  <c r="L143" i="2" a="1"/>
  <c r="L143" i="2" s="1"/>
  <c r="K143" i="2" a="1"/>
  <c r="K143" i="2" s="1"/>
  <c r="J143" i="2" a="1"/>
  <c r="J143" i="2" s="1"/>
  <c r="I143" i="2" a="1"/>
  <c r="I143" i="2" s="1"/>
  <c r="H143" i="2" a="1"/>
  <c r="H143" i="2" s="1"/>
  <c r="G143" i="2" a="1"/>
  <c r="G143" i="2" s="1"/>
  <c r="F143" i="2" a="1"/>
  <c r="F143" i="2" s="1"/>
  <c r="E143" i="2" a="1"/>
  <c r="E143" i="2" s="1"/>
  <c r="O142" i="2" a="1"/>
  <c r="O142" i="2" s="1"/>
  <c r="N142" i="2" a="1"/>
  <c r="N142" i="2" s="1"/>
  <c r="M142" i="2" a="1"/>
  <c r="M142" i="2" s="1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 s="1"/>
  <c r="E142" i="2" a="1"/>
  <c r="E142" i="2"/>
  <c r="O141" i="2" a="1"/>
  <c r="O141" i="2" s="1"/>
  <c r="N141" i="2" a="1"/>
  <c r="N141" i="2" s="1"/>
  <c r="M141" i="2" a="1"/>
  <c r="M141" i="2" s="1"/>
  <c r="L141" i="2" a="1"/>
  <c r="L141" i="2" s="1"/>
  <c r="K141" i="2" a="1"/>
  <c r="K141" i="2" s="1"/>
  <c r="J141" i="2" a="1"/>
  <c r="J141" i="2" s="1"/>
  <c r="I141" i="2" a="1"/>
  <c r="I141" i="2" s="1"/>
  <c r="H141" i="2" a="1"/>
  <c r="H141" i="2" s="1"/>
  <c r="G141" i="2" a="1"/>
  <c r="G141" i="2" s="1"/>
  <c r="F141" i="2" a="1"/>
  <c r="F141" i="2" s="1"/>
  <c r="E141" i="2" a="1"/>
  <c r="E141" i="2" s="1"/>
  <c r="O140" i="2" a="1"/>
  <c r="O140" i="2" s="1"/>
  <c r="N140" i="2" a="1"/>
  <c r="N140" i="2"/>
  <c r="M140" i="2" a="1"/>
  <c r="M140" i="2" s="1"/>
  <c r="L140" i="2" a="1"/>
  <c r="L140" i="2" s="1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E140" i="2" a="1"/>
  <c r="E140" i="2" s="1"/>
  <c r="O139" i="2" a="1"/>
  <c r="O139" i="2" s="1"/>
  <c r="N139" i="2" a="1"/>
  <c r="N139" i="2" s="1"/>
  <c r="M139" i="2" a="1"/>
  <c r="M139" i="2" s="1"/>
  <c r="L139" i="2" a="1"/>
  <c r="L139" i="2" s="1"/>
  <c r="K139" i="2" a="1"/>
  <c r="K139" i="2"/>
  <c r="J139" i="2" a="1"/>
  <c r="J139" i="2" s="1"/>
  <c r="I139" i="2" a="1"/>
  <c r="I139" i="2" s="1"/>
  <c r="H139" i="2" a="1"/>
  <c r="H139" i="2" s="1"/>
  <c r="G139" i="2" a="1"/>
  <c r="G139" i="2" s="1"/>
  <c r="F139" i="2" a="1"/>
  <c r="F139" i="2" s="1"/>
  <c r="E139" i="2" a="1"/>
  <c r="E139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 s="1"/>
  <c r="I138" i="2" a="1"/>
  <c r="I138" i="2" s="1"/>
  <c r="H138" i="2" a="1"/>
  <c r="H138" i="2" s="1"/>
  <c r="G138" i="2" a="1"/>
  <c r="G138" i="2" s="1"/>
  <c r="F138" i="2" a="1"/>
  <c r="F138" i="2" s="1"/>
  <c r="E138" i="2" a="1"/>
  <c r="E138" i="2"/>
  <c r="O137" i="2" a="1"/>
  <c r="O137" i="2" s="1"/>
  <c r="N137" i="2" a="1"/>
  <c r="N137" i="2" s="1"/>
  <c r="M137" i="2" a="1"/>
  <c r="M137" i="2" s="1"/>
  <c r="L137" i="2" a="1"/>
  <c r="L137" i="2" s="1"/>
  <c r="K137" i="2" a="1"/>
  <c r="K137" i="2" s="1"/>
  <c r="J137" i="2" a="1"/>
  <c r="J137" i="2" s="1"/>
  <c r="I137" i="2" a="1"/>
  <c r="I137" i="2" s="1"/>
  <c r="H137" i="2" a="1"/>
  <c r="H137" i="2" s="1"/>
  <c r="G137" i="2" a="1"/>
  <c r="G137" i="2" s="1"/>
  <c r="F137" i="2" a="1"/>
  <c r="F137" i="2" s="1"/>
  <c r="E137" i="2" a="1"/>
  <c r="E137" i="2" s="1"/>
  <c r="O136" i="2" a="1"/>
  <c r="O136" i="2" s="1"/>
  <c r="N136" i="2" a="1"/>
  <c r="N136" i="2" s="1"/>
  <c r="M136" i="2" a="1"/>
  <c r="M136" i="2" s="1"/>
  <c r="L136" i="2" a="1"/>
  <c r="L136" i="2" s="1"/>
  <c r="K136" i="2" a="1"/>
  <c r="K136" i="2" s="1"/>
  <c r="J136" i="2" a="1"/>
  <c r="J136" i="2" s="1"/>
  <c r="I136" i="2" a="1"/>
  <c r="I136" i="2" s="1"/>
  <c r="H136" i="2" a="1"/>
  <c r="H136" i="2" s="1"/>
  <c r="G136" i="2" a="1"/>
  <c r="G136" i="2" s="1"/>
  <c r="F136" i="2" a="1"/>
  <c r="F136" i="2" s="1"/>
  <c r="E136" i="2" a="1"/>
  <c r="E136" i="2" s="1"/>
  <c r="O135" i="2" a="1"/>
  <c r="O135" i="2" s="1"/>
  <c r="N135" i="2" a="1"/>
  <c r="N135" i="2" s="1"/>
  <c r="M135" i="2" a="1"/>
  <c r="M135" i="2" s="1"/>
  <c r="L135" i="2" a="1"/>
  <c r="L135" i="2" s="1"/>
  <c r="K135" i="2" a="1"/>
  <c r="K135" i="2"/>
  <c r="J135" i="2" a="1"/>
  <c r="J135" i="2" s="1"/>
  <c r="I135" i="2" a="1"/>
  <c r="I135" i="2" s="1"/>
  <c r="H135" i="2" a="1"/>
  <c r="H135" i="2" s="1"/>
  <c r="G135" i="2" a="1"/>
  <c r="G135" i="2" s="1"/>
  <c r="F135" i="2" a="1"/>
  <c r="F135" i="2" s="1"/>
  <c r="E135" i="2" a="1"/>
  <c r="E135" i="2" s="1"/>
  <c r="O134" i="2" a="1"/>
  <c r="O134" i="2" s="1"/>
  <c r="N134" i="2" a="1"/>
  <c r="N134" i="2" s="1"/>
  <c r="M134" i="2" a="1"/>
  <c r="M134" i="2" s="1"/>
  <c r="L134" i="2" a="1"/>
  <c r="L134" i="2" s="1"/>
  <c r="K134" i="2" a="1"/>
  <c r="K134" i="2" s="1"/>
  <c r="J134" i="2" a="1"/>
  <c r="J134" i="2" s="1"/>
  <c r="I134" i="2" a="1"/>
  <c r="I134" i="2"/>
  <c r="H134" i="2" a="1"/>
  <c r="H134" i="2" s="1"/>
  <c r="G134" i="2" a="1"/>
  <c r="G134" i="2" s="1"/>
  <c r="F134" i="2" a="1"/>
  <c r="F134" i="2" s="1"/>
  <c r="E134" i="2" a="1"/>
  <c r="E134" i="2" s="1"/>
  <c r="O133" i="2" a="1"/>
  <c r="O133" i="2" s="1"/>
  <c r="N133" i="2" a="1"/>
  <c r="N133" i="2" s="1"/>
  <c r="M133" i="2" a="1"/>
  <c r="M133" i="2" s="1"/>
  <c r="L133" i="2" a="1"/>
  <c r="L133" i="2"/>
  <c r="K133" i="2" a="1"/>
  <c r="K133" i="2" s="1"/>
  <c r="J133" i="2" a="1"/>
  <c r="J133" i="2" s="1"/>
  <c r="I133" i="2" a="1"/>
  <c r="I133" i="2" s="1"/>
  <c r="H133" i="2" a="1"/>
  <c r="H133" i="2"/>
  <c r="G133" i="2" a="1"/>
  <c r="G133" i="2" s="1"/>
  <c r="F133" i="2" a="1"/>
  <c r="F133" i="2" s="1"/>
  <c r="E133" i="2" a="1"/>
  <c r="E133" i="2" s="1"/>
  <c r="O132" i="2" a="1"/>
  <c r="O132" i="2" s="1"/>
  <c r="N132" i="2" a="1"/>
  <c r="N132" i="2" s="1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E132" i="2" a="1"/>
  <c r="E132" i="2" s="1"/>
  <c r="O131" i="2" a="1"/>
  <c r="O131" i="2" s="1"/>
  <c r="N131" i="2" a="1"/>
  <c r="N131" i="2" s="1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 s="1"/>
  <c r="E131" i="2" a="1"/>
  <c r="E131" i="2" s="1"/>
  <c r="O130" i="2" a="1"/>
  <c r="O130" i="2" s="1"/>
  <c r="N130" i="2" a="1"/>
  <c r="N130" i="2" s="1"/>
  <c r="M130" i="2" a="1"/>
  <c r="M130" i="2" s="1"/>
  <c r="L130" i="2" a="1"/>
  <c r="L130" i="2" s="1"/>
  <c r="K130" i="2" a="1"/>
  <c r="K130" i="2" s="1"/>
  <c r="J130" i="2" a="1"/>
  <c r="J130" i="2" s="1"/>
  <c r="I130" i="2" a="1"/>
  <c r="I130" i="2" s="1"/>
  <c r="H130" i="2" a="1"/>
  <c r="H130" i="2" s="1"/>
  <c r="G130" i="2" a="1"/>
  <c r="G130" i="2"/>
  <c r="F130" i="2" a="1"/>
  <c r="F130" i="2" s="1"/>
  <c r="E130" i="2" a="1"/>
  <c r="E130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 s="1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 s="1"/>
  <c r="O128" i="2" a="1"/>
  <c r="O128" i="2" s="1"/>
  <c r="N128" i="2" a="1"/>
  <c r="N128" i="2" s="1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 s="1"/>
  <c r="F128" i="2" a="1"/>
  <c r="F128" i="2" s="1"/>
  <c r="E128" i="2" a="1"/>
  <c r="E128" i="2" s="1"/>
  <c r="O127" i="2" a="1"/>
  <c r="O127" i="2" s="1"/>
  <c r="N127" i="2" a="1"/>
  <c r="N127" i="2" s="1"/>
  <c r="M127" i="2" a="1"/>
  <c r="M127" i="2" s="1"/>
  <c r="L127" i="2" a="1"/>
  <c r="L127" i="2" s="1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 s="1"/>
  <c r="N126" i="2" a="1"/>
  <c r="N126" i="2" s="1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E126" i="2" a="1"/>
  <c r="E126" i="2" s="1"/>
  <c r="O125" i="2" a="1"/>
  <c r="O125" i="2" s="1"/>
  <c r="N125" i="2" a="1"/>
  <c r="N125" i="2" s="1"/>
  <c r="M125" i="2" a="1"/>
  <c r="M125" i="2" s="1"/>
  <c r="L125" i="2" a="1"/>
  <c r="L125" i="2" s="1"/>
  <c r="K125" i="2" a="1"/>
  <c r="K125" i="2" s="1"/>
  <c r="J125" i="2" a="1"/>
  <c r="J125" i="2" s="1"/>
  <c r="I125" i="2" a="1"/>
  <c r="I125" i="2" s="1"/>
  <c r="H125" i="2" a="1"/>
  <c r="H125" i="2"/>
  <c r="G125" i="2" a="1"/>
  <c r="G125" i="2" s="1"/>
  <c r="F125" i="2" a="1"/>
  <c r="F125" i="2" s="1"/>
  <c r="E125" i="2" a="1"/>
  <c r="E125" i="2" s="1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 s="1"/>
  <c r="I124" i="2" a="1"/>
  <c r="I124" i="2" s="1"/>
  <c r="H124" i="2" a="1"/>
  <c r="H124" i="2"/>
  <c r="G124" i="2" a="1"/>
  <c r="G124" i="2" s="1"/>
  <c r="F124" i="2" a="1"/>
  <c r="F124" i="2" s="1"/>
  <c r="E124" i="2" a="1"/>
  <c r="E124" i="2" s="1"/>
  <c r="O123" i="2" a="1"/>
  <c r="O123" i="2" s="1"/>
  <c r="N123" i="2" a="1"/>
  <c r="N123" i="2" s="1"/>
  <c r="M123" i="2" a="1"/>
  <c r="M123" i="2"/>
  <c r="L123" i="2" a="1"/>
  <c r="L123" i="2" s="1"/>
  <c r="K123" i="2" a="1"/>
  <c r="K123" i="2" s="1"/>
  <c r="J123" i="2" a="1"/>
  <c r="J123" i="2" s="1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 s="1"/>
  <c r="N122" i="2" a="1"/>
  <c r="N122" i="2" s="1"/>
  <c r="M122" i="2" a="1"/>
  <c r="M122" i="2" s="1"/>
  <c r="L122" i="2" a="1"/>
  <c r="L122" i="2" s="1"/>
  <c r="K122" i="2" a="1"/>
  <c r="K122" i="2" s="1"/>
  <c r="J122" i="2" a="1"/>
  <c r="J122" i="2" s="1"/>
  <c r="I122" i="2" a="1"/>
  <c r="I122" i="2" s="1"/>
  <c r="H122" i="2" a="1"/>
  <c r="H122" i="2" s="1"/>
  <c r="G122" i="2" a="1"/>
  <c r="G122" i="2" s="1"/>
  <c r="F122" i="2" a="1"/>
  <c r="F122" i="2" s="1"/>
  <c r="E122" i="2" a="1"/>
  <c r="E122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 s="1"/>
  <c r="J121" i="2" a="1"/>
  <c r="J121" i="2" s="1"/>
  <c r="I121" i="2" a="1"/>
  <c r="I121" i="2" s="1"/>
  <c r="H121" i="2" a="1"/>
  <c r="H121" i="2"/>
  <c r="G121" i="2" a="1"/>
  <c r="G121" i="2" s="1"/>
  <c r="F121" i="2" a="1"/>
  <c r="F121" i="2" s="1"/>
  <c r="E121" i="2" a="1"/>
  <c r="E121" i="2" s="1"/>
  <c r="O120" i="2" a="1"/>
  <c r="O120" i="2" s="1"/>
  <c r="N120" i="2" a="1"/>
  <c r="N120" i="2" s="1"/>
  <c r="M120" i="2" a="1"/>
  <c r="M120" i="2" s="1"/>
  <c r="L120" i="2" a="1"/>
  <c r="L120" i="2" s="1"/>
  <c r="K120" i="2" a="1"/>
  <c r="K120" i="2" s="1"/>
  <c r="J120" i="2" a="1"/>
  <c r="J120" i="2" s="1"/>
  <c r="I120" i="2" a="1"/>
  <c r="I120" i="2" s="1"/>
  <c r="H120" i="2" a="1"/>
  <c r="H120" i="2" s="1"/>
  <c r="G120" i="2" a="1"/>
  <c r="G120" i="2" s="1"/>
  <c r="F120" i="2" a="1"/>
  <c r="F120" i="2" s="1"/>
  <c r="E120" i="2" a="1"/>
  <c r="E120" i="2" s="1"/>
  <c r="O119" i="2" a="1"/>
  <c r="O119" i="2"/>
  <c r="N119" i="2" a="1"/>
  <c r="N119" i="2" s="1"/>
  <c r="M119" i="2" a="1"/>
  <c r="M119" i="2" s="1"/>
  <c r="L119" i="2" a="1"/>
  <c r="L119" i="2" s="1"/>
  <c r="K119" i="2" a="1"/>
  <c r="K119" i="2"/>
  <c r="J119" i="2" a="1"/>
  <c r="J119" i="2" s="1"/>
  <c r="I119" i="2" a="1"/>
  <c r="I119" i="2" s="1"/>
  <c r="H119" i="2" a="1"/>
  <c r="H119" i="2" s="1"/>
  <c r="G119" i="2" a="1"/>
  <c r="G119" i="2" s="1"/>
  <c r="F119" i="2" a="1"/>
  <c r="F119" i="2" s="1"/>
  <c r="E119" i="2" a="1"/>
  <c r="E119" i="2" s="1"/>
  <c r="O118" i="2" a="1"/>
  <c r="O118" i="2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 s="1"/>
  <c r="H118" i="2" a="1"/>
  <c r="H118" i="2" s="1"/>
  <c r="G118" i="2" a="1"/>
  <c r="G118" i="2" s="1"/>
  <c r="F118" i="2" a="1"/>
  <c r="F118" i="2" s="1"/>
  <c r="E118" i="2" a="1"/>
  <c r="E118" i="2" s="1"/>
  <c r="O117" i="2" a="1"/>
  <c r="O117" i="2" s="1"/>
  <c r="N117" i="2" a="1"/>
  <c r="N117" i="2" s="1"/>
  <c r="M117" i="2" a="1"/>
  <c r="M117" i="2" s="1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/>
  <c r="E117" i="2" a="1"/>
  <c r="E117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 s="1"/>
  <c r="J116" i="2" a="1"/>
  <c r="J116" i="2" s="1"/>
  <c r="I116" i="2" a="1"/>
  <c r="I116" i="2" s="1"/>
  <c r="H116" i="2" a="1"/>
  <c r="H116" i="2"/>
  <c r="G116" i="2" a="1"/>
  <c r="G116" i="2" s="1"/>
  <c r="F116" i="2" a="1"/>
  <c r="F116" i="2" s="1"/>
  <c r="E116" i="2" a="1"/>
  <c r="E116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E115" i="2" a="1"/>
  <c r="E115" i="2"/>
  <c r="O114" i="2" a="1"/>
  <c r="O114" i="2" s="1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 s="1"/>
  <c r="H114" i="2" a="1"/>
  <c r="H114" i="2" s="1"/>
  <c r="G114" i="2" a="1"/>
  <c r="G114" i="2"/>
  <c r="F114" i="2" a="1"/>
  <c r="F114" i="2" s="1"/>
  <c r="E114" i="2" a="1"/>
  <c r="E114" i="2" s="1"/>
  <c r="O113" i="2" a="1"/>
  <c r="O113" i="2" s="1"/>
  <c r="N113" i="2" a="1"/>
  <c r="N113" i="2" s="1"/>
  <c r="M113" i="2" a="1"/>
  <c r="M113" i="2" s="1"/>
  <c r="L113" i="2" a="1"/>
  <c r="L113" i="2" s="1"/>
  <c r="K113" i="2" a="1"/>
  <c r="K113" i="2" s="1"/>
  <c r="J113" i="2" a="1"/>
  <c r="J113" i="2" s="1"/>
  <c r="I113" i="2" a="1"/>
  <c r="I113" i="2" s="1"/>
  <c r="H113" i="2" a="1"/>
  <c r="H113" i="2" s="1"/>
  <c r="G113" i="2" a="1"/>
  <c r="G113" i="2" s="1"/>
  <c r="F113" i="2" a="1"/>
  <c r="F113" i="2" s="1"/>
  <c r="E113" i="2" a="1"/>
  <c r="E113" i="2" s="1"/>
  <c r="O112" i="2" a="1"/>
  <c r="O112" i="2" s="1"/>
  <c r="N112" i="2" a="1"/>
  <c r="N112" i="2" s="1"/>
  <c r="M112" i="2" a="1"/>
  <c r="M112" i="2" s="1"/>
  <c r="L112" i="2" a="1"/>
  <c r="L112" i="2" s="1"/>
  <c r="K112" i="2" a="1"/>
  <c r="K112" i="2" s="1"/>
  <c r="J112" i="2" a="1"/>
  <c r="J112" i="2"/>
  <c r="I112" i="2" a="1"/>
  <c r="I112" i="2" s="1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 s="1"/>
  <c r="M111" i="2" a="1"/>
  <c r="M111" i="2" s="1"/>
  <c r="L111" i="2" a="1"/>
  <c r="L111" i="2" s="1"/>
  <c r="K111" i="2" a="1"/>
  <c r="K111" i="2" s="1"/>
  <c r="J111" i="2" a="1"/>
  <c r="J111" i="2" s="1"/>
  <c r="I111" i="2" a="1"/>
  <c r="I111" i="2" s="1"/>
  <c r="H111" i="2" a="1"/>
  <c r="H111" i="2" s="1"/>
  <c r="G111" i="2" a="1"/>
  <c r="G111" i="2" s="1"/>
  <c r="F111" i="2" a="1"/>
  <c r="F111" i="2" s="1"/>
  <c r="E111" i="2" a="1"/>
  <c r="E111" i="2"/>
  <c r="O110" i="2" a="1"/>
  <c r="O110" i="2"/>
  <c r="N110" i="2" a="1"/>
  <c r="N110" i="2" s="1"/>
  <c r="M110" i="2" a="1"/>
  <c r="M110" i="2" s="1"/>
  <c r="L110" i="2" a="1"/>
  <c r="L110" i="2" s="1"/>
  <c r="K110" i="2" a="1"/>
  <c r="K110" i="2" s="1"/>
  <c r="J110" i="2" a="1"/>
  <c r="J110" i="2" s="1"/>
  <c r="I110" i="2" a="1"/>
  <c r="I110" i="2"/>
  <c r="H110" i="2" a="1"/>
  <c r="H110" i="2" s="1"/>
  <c r="G110" i="2" a="1"/>
  <c r="G110" i="2" s="1"/>
  <c r="F110" i="2" a="1"/>
  <c r="F110" i="2" s="1"/>
  <c r="E110" i="2" a="1"/>
  <c r="E110" i="2"/>
  <c r="O109" i="2" a="1"/>
  <c r="O109" i="2"/>
  <c r="N109" i="2" a="1"/>
  <c r="N109" i="2" s="1"/>
  <c r="M109" i="2" a="1"/>
  <c r="M109" i="2" s="1"/>
  <c r="L109" i="2" a="1"/>
  <c r="L109" i="2" s="1"/>
  <c r="K109" i="2" a="1"/>
  <c r="K109" i="2" s="1"/>
  <c r="J109" i="2" a="1"/>
  <c r="J109" i="2"/>
  <c r="I109" i="2" a="1"/>
  <c r="I109" i="2" s="1"/>
  <c r="H109" i="2" a="1"/>
  <c r="H109" i="2" s="1"/>
  <c r="G109" i="2" a="1"/>
  <c r="G109" i="2"/>
  <c r="F109" i="2" a="1"/>
  <c r="F109" i="2"/>
  <c r="E109" i="2" a="1"/>
  <c r="E109" i="2" s="1"/>
  <c r="O108" i="2" a="1"/>
  <c r="O108" i="2" s="1"/>
  <c r="N108" i="2" a="1"/>
  <c r="N108" i="2" s="1"/>
  <c r="M108" i="2" a="1"/>
  <c r="M108" i="2" s="1"/>
  <c r="L108" i="2" a="1"/>
  <c r="L108" i="2" s="1"/>
  <c r="K108" i="2" a="1"/>
  <c r="K108" i="2" s="1"/>
  <c r="J108" i="2" a="1"/>
  <c r="J108" i="2" s="1"/>
  <c r="I108" i="2" a="1"/>
  <c r="I108" i="2" s="1"/>
  <c r="H108" i="2" a="1"/>
  <c r="H108" i="2" s="1"/>
  <c r="G108" i="2" a="1"/>
  <c r="G108" i="2" s="1"/>
  <c r="F108" i="2" a="1"/>
  <c r="F108" i="2" s="1"/>
  <c r="E108" i="2" a="1"/>
  <c r="E108" i="2" s="1"/>
  <c r="O107" i="2" a="1"/>
  <c r="O107" i="2" s="1"/>
  <c r="N107" i="2" a="1"/>
  <c r="N107" i="2" s="1"/>
  <c r="M107" i="2" a="1"/>
  <c r="M107" i="2" s="1"/>
  <c r="L107" i="2" a="1"/>
  <c r="L107" i="2"/>
  <c r="K107" i="2" a="1"/>
  <c r="K107" i="2" s="1"/>
  <c r="J107" i="2" a="1"/>
  <c r="J107" i="2" s="1"/>
  <c r="I107" i="2" a="1"/>
  <c r="I107" i="2" s="1"/>
  <c r="H107" i="2" a="1"/>
  <c r="H107" i="2" s="1"/>
  <c r="G107" i="2" a="1"/>
  <c r="G107" i="2" s="1"/>
  <c r="F107" i="2" a="1"/>
  <c r="F107" i="2" s="1"/>
  <c r="E107" i="2" a="1"/>
  <c r="E107" i="2" s="1"/>
  <c r="O106" i="2" a="1"/>
  <c r="O106" i="2" s="1"/>
  <c r="N106" i="2" a="1"/>
  <c r="N106" i="2" s="1"/>
  <c r="M106" i="2" a="1"/>
  <c r="M106" i="2" s="1"/>
  <c r="L106" i="2" a="1"/>
  <c r="L106" i="2"/>
  <c r="K106" i="2" a="1"/>
  <c r="K106" i="2" s="1"/>
  <c r="J106" i="2" a="1"/>
  <c r="J106" i="2" s="1"/>
  <c r="I106" i="2" a="1"/>
  <c r="I106" i="2"/>
  <c r="H106" i="2" a="1"/>
  <c r="H106" i="2" s="1"/>
  <c r="G106" i="2" a="1"/>
  <c r="G106" i="2" s="1"/>
  <c r="F106" i="2" a="1"/>
  <c r="F106" i="2" s="1"/>
  <c r="E106" i="2" a="1"/>
  <c r="E106" i="2" s="1"/>
  <c r="O105" i="2" a="1"/>
  <c r="O105" i="2" s="1"/>
  <c r="N105" i="2" a="1"/>
  <c r="N105" i="2" s="1"/>
  <c r="M105" i="2" a="1"/>
  <c r="M105" i="2" s="1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E105" i="2" a="1"/>
  <c r="E105" i="2"/>
  <c r="O104" i="2" a="1"/>
  <c r="O104" i="2"/>
  <c r="N104" i="2" a="1"/>
  <c r="N104" i="2" s="1"/>
  <c r="M104" i="2" a="1"/>
  <c r="M104" i="2" s="1"/>
  <c r="L104" i="2" a="1"/>
  <c r="L104" i="2" s="1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E104" i="2" a="1"/>
  <c r="E104" i="2" s="1"/>
  <c r="O103" i="2" a="1"/>
  <c r="O103" i="2" s="1"/>
  <c r="N103" i="2" a="1"/>
  <c r="N103" i="2" s="1"/>
  <c r="M103" i="2" a="1"/>
  <c r="M103" i="2" s="1"/>
  <c r="L103" i="2" a="1"/>
  <c r="L103" i="2"/>
  <c r="K103" i="2" a="1"/>
  <c r="K103" i="2" s="1"/>
  <c r="J103" i="2" a="1"/>
  <c r="J103" i="2" s="1"/>
  <c r="I103" i="2" a="1"/>
  <c r="I103" i="2" s="1"/>
  <c r="H103" i="2" a="1"/>
  <c r="H103" i="2" s="1"/>
  <c r="G103" i="2" a="1"/>
  <c r="G103" i="2" s="1"/>
  <c r="F103" i="2" a="1"/>
  <c r="F103" i="2" s="1"/>
  <c r="E103" i="2" a="1"/>
  <c r="E103" i="2" s="1"/>
  <c r="O102" i="2" a="1"/>
  <c r="O102" i="2" s="1"/>
  <c r="N102" i="2" a="1"/>
  <c r="N102" i="2" s="1"/>
  <c r="M102" i="2" a="1"/>
  <c r="M102" i="2" s="1"/>
  <c r="L102" i="2" a="1"/>
  <c r="L102" i="2" s="1"/>
  <c r="K102" i="2" a="1"/>
  <c r="K102" i="2"/>
  <c r="J102" i="2" a="1"/>
  <c r="J102" i="2"/>
  <c r="I102" i="2" a="1"/>
  <c r="I102" i="2" s="1"/>
  <c r="H102" i="2" a="1"/>
  <c r="H102" i="2" s="1"/>
  <c r="G102" i="2" a="1"/>
  <c r="G102" i="2" s="1"/>
  <c r="F102" i="2" a="1"/>
  <c r="F102" i="2"/>
  <c r="E102" i="2" a="1"/>
  <c r="E102" i="2" s="1"/>
  <c r="O101" i="2" a="1"/>
  <c r="O101" i="2" s="1"/>
  <c r="N101" i="2" a="1"/>
  <c r="N101" i="2" s="1"/>
  <c r="M101" i="2" a="1"/>
  <c r="M101" i="2" s="1"/>
  <c r="L101" i="2" a="1"/>
  <c r="L101" i="2" s="1"/>
  <c r="K101" i="2" a="1"/>
  <c r="K101" i="2" s="1"/>
  <c r="J101" i="2" a="1"/>
  <c r="J101" i="2" s="1"/>
  <c r="I101" i="2" a="1"/>
  <c r="I101" i="2" s="1"/>
  <c r="H101" i="2" a="1"/>
  <c r="H101" i="2" s="1"/>
  <c r="G101" i="2" a="1"/>
  <c r="G101" i="2" s="1"/>
  <c r="F101" i="2" a="1"/>
  <c r="F101" i="2" s="1"/>
  <c r="E101" i="2" a="1"/>
  <c r="E101" i="2"/>
  <c r="O100" i="2" a="1"/>
  <c r="O100" i="2" s="1"/>
  <c r="N100" i="2" a="1"/>
  <c r="N100" i="2" s="1"/>
  <c r="M100" i="2" a="1"/>
  <c r="M100" i="2"/>
  <c r="L100" i="2" a="1"/>
  <c r="L100" i="2" s="1"/>
  <c r="K100" i="2" a="1"/>
  <c r="K100" i="2" s="1"/>
  <c r="J100" i="2" a="1"/>
  <c r="J100" i="2"/>
  <c r="I100" i="2" a="1"/>
  <c r="I100" i="2" s="1"/>
  <c r="H100" i="2" a="1"/>
  <c r="H100" i="2" s="1"/>
  <c r="G100" i="2" a="1"/>
  <c r="G100" i="2" s="1"/>
  <c r="F100" i="2" a="1"/>
  <c r="F100" i="2" s="1"/>
  <c r="E100" i="2" a="1"/>
  <c r="E100" i="2" s="1"/>
  <c r="O99" i="2" a="1"/>
  <c r="O99" i="2" s="1"/>
  <c r="N99" i="2" a="1"/>
  <c r="N99" i="2" s="1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/>
  <c r="G99" i="2" a="1"/>
  <c r="G99" i="2" s="1"/>
  <c r="F99" i="2" a="1"/>
  <c r="F99" i="2" s="1"/>
  <c r="E99" i="2" a="1"/>
  <c r="E99" i="2" s="1"/>
  <c r="O98" i="2" a="1"/>
  <c r="O98" i="2" s="1"/>
  <c r="N98" i="2" a="1"/>
  <c r="N98" i="2" s="1"/>
  <c r="M98" i="2" a="1"/>
  <c r="M98" i="2"/>
  <c r="L98" i="2" a="1"/>
  <c r="L98" i="2" s="1"/>
  <c r="K98" i="2" a="1"/>
  <c r="K98" i="2" s="1"/>
  <c r="J98" i="2" a="1"/>
  <c r="J98" i="2" s="1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O97" i="2" a="1"/>
  <c r="O97" i="2" s="1"/>
  <c r="N97" i="2" a="1"/>
  <c r="N97" i="2" s="1"/>
  <c r="M97" i="2" a="1"/>
  <c r="M97" i="2" s="1"/>
  <c r="L97" i="2" a="1"/>
  <c r="L97" i="2" s="1"/>
  <c r="K97" i="2" a="1"/>
  <c r="K97" i="2" s="1"/>
  <c r="J97" i="2" a="1"/>
  <c r="J97" i="2" s="1"/>
  <c r="I97" i="2" a="1"/>
  <c r="I97" i="2" s="1"/>
  <c r="H97" i="2" a="1"/>
  <c r="H97" i="2" s="1"/>
  <c r="G97" i="2" a="1"/>
  <c r="G97" i="2" s="1"/>
  <c r="F97" i="2" a="1"/>
  <c r="F97" i="2" s="1"/>
  <c r="E97" i="2" a="1"/>
  <c r="E97" i="2"/>
  <c r="O96" i="2" a="1"/>
  <c r="O96" i="2" s="1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/>
  <c r="G96" i="2" a="1"/>
  <c r="G96" i="2" s="1"/>
  <c r="F96" i="2" a="1"/>
  <c r="F96" i="2" s="1"/>
  <c r="E96" i="2" a="1"/>
  <c r="E96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/>
  <c r="I95" i="2" a="1"/>
  <c r="I95" i="2" s="1"/>
  <c r="H95" i="2" a="1"/>
  <c r="H95" i="2" s="1"/>
  <c r="G95" i="2" a="1"/>
  <c r="G95" i="2" s="1"/>
  <c r="F95" i="2" a="1"/>
  <c r="F95" i="2" s="1"/>
  <c r="E95" i="2" a="1"/>
  <c r="E95" i="2" s="1"/>
  <c r="O94" i="2" a="1"/>
  <c r="O94" i="2" s="1"/>
  <c r="N94" i="2" a="1"/>
  <c r="N94" i="2" s="1"/>
  <c r="M94" i="2" a="1"/>
  <c r="M94" i="2" s="1"/>
  <c r="L94" i="2" a="1"/>
  <c r="L94" i="2" s="1"/>
  <c r="K94" i="2" a="1"/>
  <c r="K94" i="2"/>
  <c r="J94" i="2" a="1"/>
  <c r="J94" i="2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 s="1"/>
  <c r="N93" i="2" a="1"/>
  <c r="N93" i="2" s="1"/>
  <c r="M93" i="2" a="1"/>
  <c r="M93" i="2"/>
  <c r="L93" i="2" a="1"/>
  <c r="L93" i="2" s="1"/>
  <c r="K93" i="2" a="1"/>
  <c r="K93" i="2" s="1"/>
  <c r="J93" i="2" a="1"/>
  <c r="J93" i="2" s="1"/>
  <c r="I93" i="2" a="1"/>
  <c r="I93" i="2" s="1"/>
  <c r="H93" i="2" a="1"/>
  <c r="H93" i="2" s="1"/>
  <c r="G93" i="2" a="1"/>
  <c r="G93" i="2" s="1"/>
  <c r="F93" i="2" a="1"/>
  <c r="F93" i="2" s="1"/>
  <c r="E93" i="2" a="1"/>
  <c r="E93" i="2" s="1"/>
  <c r="O92" i="2" a="1"/>
  <c r="O92" i="2" s="1"/>
  <c r="N92" i="2" a="1"/>
  <c r="N92" i="2" s="1"/>
  <c r="M92" i="2" a="1"/>
  <c r="M92" i="2" s="1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 s="1"/>
  <c r="F92" i="2" a="1"/>
  <c r="F92" i="2"/>
  <c r="E92" i="2" a="1"/>
  <c r="E92" i="2" s="1"/>
  <c r="O91" i="2" a="1"/>
  <c r="O91" i="2" s="1"/>
  <c r="N91" i="2" a="1"/>
  <c r="N91" i="2" s="1"/>
  <c r="M91" i="2" a="1"/>
  <c r="M91" i="2" s="1"/>
  <c r="L91" i="2" a="1"/>
  <c r="L91" i="2" s="1"/>
  <c r="K91" i="2" a="1"/>
  <c r="K91" i="2" s="1"/>
  <c r="J91" i="2" a="1"/>
  <c r="J91" i="2"/>
  <c r="I91" i="2" a="1"/>
  <c r="I91" i="2" s="1"/>
  <c r="H91" i="2" a="1"/>
  <c r="H91" i="2" s="1"/>
  <c r="G91" i="2" a="1"/>
  <c r="G91" i="2" s="1"/>
  <c r="F91" i="2" a="1"/>
  <c r="F91" i="2"/>
  <c r="E91" i="2" a="1"/>
  <c r="E91" i="2" s="1"/>
  <c r="O90" i="2" a="1"/>
  <c r="O90" i="2" s="1"/>
  <c r="N90" i="2" a="1"/>
  <c r="N90" i="2" s="1"/>
  <c r="M90" i="2" a="1"/>
  <c r="M90" i="2" s="1"/>
  <c r="L90" i="2" a="1"/>
  <c r="L90" i="2" s="1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/>
  <c r="N89" i="2" a="1"/>
  <c r="N89" i="2" s="1"/>
  <c r="M89" i="2" a="1"/>
  <c r="M89" i="2" s="1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 s="1"/>
  <c r="F89" i="2" a="1"/>
  <c r="F89" i="2" s="1"/>
  <c r="E89" i="2" a="1"/>
  <c r="E89" i="2" s="1"/>
  <c r="O88" i="2" a="1"/>
  <c r="O88" i="2" s="1"/>
  <c r="N88" i="2" a="1"/>
  <c r="N88" i="2" s="1"/>
  <c r="M88" i="2" a="1"/>
  <c r="M88" i="2" s="1"/>
  <c r="L88" i="2" a="1"/>
  <c r="L88" i="2" s="1"/>
  <c r="K88" i="2" a="1"/>
  <c r="K88" i="2" s="1"/>
  <c r="J88" i="2" a="1"/>
  <c r="J88" i="2" s="1"/>
  <c r="I88" i="2" a="1"/>
  <c r="I88" i="2" s="1"/>
  <c r="H88" i="2" a="1"/>
  <c r="H88" i="2" s="1"/>
  <c r="G88" i="2" a="1"/>
  <c r="G88" i="2" s="1"/>
  <c r="F88" i="2" a="1"/>
  <c r="F88" i="2" s="1"/>
  <c r="E88" i="2" a="1"/>
  <c r="E88" i="2" s="1"/>
  <c r="O87" i="2" a="1"/>
  <c r="O87" i="2" s="1"/>
  <c r="N87" i="2" a="1"/>
  <c r="N87" i="2"/>
  <c r="M87" i="2" a="1"/>
  <c r="M87" i="2" s="1"/>
  <c r="L87" i="2" a="1"/>
  <c r="L87" i="2" s="1"/>
  <c r="K87" i="2" a="1"/>
  <c r="K87" i="2" s="1"/>
  <c r="J87" i="2" a="1"/>
  <c r="J87" i="2"/>
  <c r="I87" i="2" a="1"/>
  <c r="I87" i="2" s="1"/>
  <c r="H87" i="2" a="1"/>
  <c r="H87" i="2" s="1"/>
  <c r="G87" i="2" a="1"/>
  <c r="G87" i="2" s="1"/>
  <c r="F87" i="2" a="1"/>
  <c r="F87" i="2" s="1"/>
  <c r="E87" i="2" a="1"/>
  <c r="E87" i="2" s="1"/>
  <c r="O86" i="2" a="1"/>
  <c r="O86" i="2" s="1"/>
  <c r="N86" i="2" a="1"/>
  <c r="N86" i="2" s="1"/>
  <c r="M86" i="2" a="1"/>
  <c r="M86" i="2" s="1"/>
  <c r="L86" i="2" a="1"/>
  <c r="L86" i="2" s="1"/>
  <c r="K86" i="2" a="1"/>
  <c r="K86" i="2" s="1"/>
  <c r="J86" i="2" a="1"/>
  <c r="J86" i="2" s="1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 s="1"/>
  <c r="N85" i="2" a="1"/>
  <c r="N85" i="2" s="1"/>
  <c r="M85" i="2" a="1"/>
  <c r="M85" i="2" s="1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E85" i="2" a="1"/>
  <c r="E85" i="2" s="1"/>
  <c r="O84" i="2" a="1"/>
  <c r="O84" i="2" s="1"/>
  <c r="N84" i="2" a="1"/>
  <c r="N84" i="2"/>
  <c r="M84" i="2" a="1"/>
  <c r="M84" i="2" s="1"/>
  <c r="L84" i="2" a="1"/>
  <c r="L84" i="2" s="1"/>
  <c r="K84" i="2" a="1"/>
  <c r="K84" i="2" s="1"/>
  <c r="J84" i="2" a="1"/>
  <c r="J84" i="2" s="1"/>
  <c r="I84" i="2" a="1"/>
  <c r="I84" i="2" s="1"/>
  <c r="H84" i="2" a="1"/>
  <c r="H84" i="2" s="1"/>
  <c r="G84" i="2" a="1"/>
  <c r="G84" i="2" s="1"/>
  <c r="F84" i="2" a="1"/>
  <c r="F84" i="2" s="1"/>
  <c r="E84" i="2" a="1"/>
  <c r="E84" i="2" s="1"/>
  <c r="O83" i="2" a="1"/>
  <c r="O83" i="2" s="1"/>
  <c r="N83" i="2" a="1"/>
  <c r="N83" i="2" s="1"/>
  <c r="M83" i="2" a="1"/>
  <c r="M83" i="2" s="1"/>
  <c r="L83" i="2" a="1"/>
  <c r="L83" i="2"/>
  <c r="K83" i="2" a="1"/>
  <c r="K83" i="2" s="1"/>
  <c r="J83" i="2" a="1"/>
  <c r="J83" i="2" s="1"/>
  <c r="I83" i="2" a="1"/>
  <c r="I83" i="2" s="1"/>
  <c r="H83" i="2" a="1"/>
  <c r="H83" i="2" s="1"/>
  <c r="G83" i="2" a="1"/>
  <c r="G83" i="2" s="1"/>
  <c r="F83" i="2" a="1"/>
  <c r="F83" i="2" s="1"/>
  <c r="E83" i="2" a="1"/>
  <c r="E83" i="2" s="1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 s="1"/>
  <c r="J81" i="2" a="1"/>
  <c r="J81" i="2" s="1"/>
  <c r="I81" i="2" a="1"/>
  <c r="I81" i="2"/>
  <c r="H81" i="2" a="1"/>
  <c r="H81" i="2" s="1"/>
  <c r="G81" i="2" a="1"/>
  <c r="G81" i="2" s="1"/>
  <c r="F81" i="2" a="1"/>
  <c r="F81" i="2" s="1"/>
  <c r="E81" i="2" a="1"/>
  <c r="E81" i="2" s="1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/>
  <c r="G79" i="2" a="1"/>
  <c r="G79" i="2" s="1"/>
  <c r="F79" i="2" a="1"/>
  <c r="F79" i="2" s="1"/>
  <c r="E79" i="2" a="1"/>
  <c r="E79" i="2" s="1"/>
  <c r="O78" i="2" a="1"/>
  <c r="O78" i="2" s="1"/>
  <c r="N78" i="2" a="1"/>
  <c r="N78" i="2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 s="1"/>
  <c r="I77" i="2" a="1"/>
  <c r="I77" i="2" s="1"/>
  <c r="H77" i="2" a="1"/>
  <c r="H77" i="2" s="1"/>
  <c r="G77" i="2" a="1"/>
  <c r="G77" i="2" s="1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E73" i="2" a="1"/>
  <c r="E73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/>
  <c r="E72" i="2" a="1"/>
  <c r="E72" i="2" s="1"/>
  <c r="O71" i="2" a="1"/>
  <c r="O71" i="2" s="1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I71" i="2" a="1"/>
  <c r="I71" i="2" s="1"/>
  <c r="H71" i="2" a="1"/>
  <c r="H71" i="2"/>
  <c r="G71" i="2" a="1"/>
  <c r="G71" i="2" s="1"/>
  <c r="F71" i="2" a="1"/>
  <c r="F71" i="2" s="1"/>
  <c r="E71" i="2" a="1"/>
  <c r="E71" i="2" s="1"/>
  <c r="O70" i="2" a="1"/>
  <c r="O70" i="2"/>
  <c r="N70" i="2" a="1"/>
  <c r="N70" i="2" s="1"/>
  <c r="M70" i="2" a="1"/>
  <c r="M70" i="2" s="1"/>
  <c r="L70" i="2" a="1"/>
  <c r="L70" i="2" s="1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 s="1"/>
  <c r="N69" i="2" a="1"/>
  <c r="N69" i="2" s="1"/>
  <c r="M69" i="2" a="1"/>
  <c r="M69" i="2" s="1"/>
  <c r="L69" i="2" a="1"/>
  <c r="L69" i="2" s="1"/>
  <c r="K69" i="2" a="1"/>
  <c r="K69" i="2" s="1"/>
  <c r="J69" i="2" a="1"/>
  <c r="J69" i="2" s="1"/>
  <c r="I69" i="2" a="1"/>
  <c r="I69" i="2"/>
  <c r="H69" i="2" a="1"/>
  <c r="H69" i="2" s="1"/>
  <c r="G69" i="2" a="1"/>
  <c r="G69" i="2" s="1"/>
  <c r="F69" i="2" a="1"/>
  <c r="F69" i="2" s="1"/>
  <c r="E69" i="2" a="1"/>
  <c r="E69" i="2"/>
  <c r="O68" i="2" a="1"/>
  <c r="O68" i="2" s="1"/>
  <c r="N68" i="2" a="1"/>
  <c r="N68" i="2" s="1"/>
  <c r="M68" i="2" a="1"/>
  <c r="M68" i="2" s="1"/>
  <c r="L68" i="2" a="1"/>
  <c r="L68" i="2" s="1"/>
  <c r="K68" i="2" a="1"/>
  <c r="K68" i="2" s="1"/>
  <c r="J68" i="2" a="1"/>
  <c r="J68" i="2" s="1"/>
  <c r="I68" i="2" a="1"/>
  <c r="I68" i="2" s="1"/>
  <c r="H68" i="2" a="1"/>
  <c r="H68" i="2" s="1"/>
  <c r="G68" i="2" a="1"/>
  <c r="G68" i="2" s="1"/>
  <c r="F68" i="2" a="1"/>
  <c r="F68" i="2" s="1"/>
  <c r="E68" i="2" a="1"/>
  <c r="E68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I67" i="2" a="1"/>
  <c r="I67" i="2" s="1"/>
  <c r="H67" i="2" a="1"/>
  <c r="H67" i="2" s="1"/>
  <c r="G67" i="2" a="1"/>
  <c r="G67" i="2" s="1"/>
  <c r="F67" i="2" a="1"/>
  <c r="F67" i="2" s="1"/>
  <c r="E67" i="2" a="1"/>
  <c r="E67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E66" i="2" a="1"/>
  <c r="E66" i="2"/>
  <c r="O65" i="2" a="1"/>
  <c r="O65" i="2" s="1"/>
  <c r="N65" i="2" a="1"/>
  <c r="N65" i="2" s="1"/>
  <c r="M65" i="2" a="1"/>
  <c r="M65" i="2" s="1"/>
  <c r="L65" i="2" a="1"/>
  <c r="L65" i="2" s="1"/>
  <c r="K65" i="2" a="1"/>
  <c r="K65" i="2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E65" i="2" a="1"/>
  <c r="E65" i="2" s="1"/>
  <c r="O64" i="2" a="1"/>
  <c r="O64" i="2" s="1"/>
  <c r="N64" i="2" a="1"/>
  <c r="N64" i="2" s="1"/>
  <c r="M64" i="2" a="1"/>
  <c r="M64" i="2"/>
  <c r="L64" i="2" a="1"/>
  <c r="L64" i="2" s="1"/>
  <c r="K64" i="2" a="1"/>
  <c r="K64" i="2" s="1"/>
  <c r="J64" i="2" a="1"/>
  <c r="J64" i="2" s="1"/>
  <c r="I64" i="2" a="1"/>
  <c r="I64" i="2" s="1"/>
  <c r="H64" i="2" a="1"/>
  <c r="H64" i="2"/>
  <c r="G64" i="2" a="1"/>
  <c r="G64" i="2" s="1"/>
  <c r="F64" i="2" a="1"/>
  <c r="F64" i="2" s="1"/>
  <c r="E64" i="2" a="1"/>
  <c r="E64" i="2" s="1"/>
  <c r="O63" i="2" a="1"/>
  <c r="O63" i="2" s="1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/>
  <c r="G63" i="2" a="1"/>
  <c r="G63" i="2" s="1"/>
  <c r="F63" i="2" a="1"/>
  <c r="F63" i="2" s="1"/>
  <c r="E63" i="2" a="1"/>
  <c r="E63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 s="1"/>
  <c r="F62" i="2" a="1"/>
  <c r="F62" i="2" s="1"/>
  <c r="E62" i="2" a="1"/>
  <c r="E62" i="2" s="1"/>
  <c r="O61" i="2" a="1"/>
  <c r="O61" i="2"/>
  <c r="N61" i="2" a="1"/>
  <c r="N61" i="2" s="1"/>
  <c r="M61" i="2" a="1"/>
  <c r="M61" i="2" s="1"/>
  <c r="L61" i="2" a="1"/>
  <c r="L61" i="2" s="1"/>
  <c r="K61" i="2" a="1"/>
  <c r="K61" i="2" s="1"/>
  <c r="J61" i="2" a="1"/>
  <c r="J61" i="2" s="1"/>
  <c r="I61" i="2" a="1"/>
  <c r="I61" i="2" s="1"/>
  <c r="H61" i="2" a="1"/>
  <c r="H61" i="2" s="1"/>
  <c r="G61" i="2" a="1"/>
  <c r="G61" i="2" s="1"/>
  <c r="F61" i="2" a="1"/>
  <c r="F61" i="2" s="1"/>
  <c r="E61" i="2" a="1"/>
  <c r="E61" i="2" s="1"/>
  <c r="O60" i="2" a="1"/>
  <c r="O60" i="2" s="1"/>
  <c r="N60" i="2" a="1"/>
  <c r="N60" i="2"/>
  <c r="M60" i="2" a="1"/>
  <c r="M60" i="2" s="1"/>
  <c r="L60" i="2" a="1"/>
  <c r="L60" i="2" s="1"/>
  <c r="K60" i="2" a="1"/>
  <c r="K60" i="2" s="1"/>
  <c r="J60" i="2" a="1"/>
  <c r="J60" i="2" s="1"/>
  <c r="I60" i="2" a="1"/>
  <c r="I60" i="2" s="1"/>
  <c r="H60" i="2" a="1"/>
  <c r="H60" i="2" s="1"/>
  <c r="G60" i="2" a="1"/>
  <c r="G60" i="2" s="1"/>
  <c r="F60" i="2" a="1"/>
  <c r="F60" i="2" s="1"/>
  <c r="E60" i="2" a="1"/>
  <c r="E60" i="2" s="1"/>
  <c r="O59" i="2" a="1"/>
  <c r="O59" i="2" s="1"/>
  <c r="N59" i="2" a="1"/>
  <c r="N59" i="2" s="1"/>
  <c r="M59" i="2" a="1"/>
  <c r="M59" i="2" s="1"/>
  <c r="L59" i="2" a="1"/>
  <c r="L59" i="2" s="1"/>
  <c r="K59" i="2" a="1"/>
  <c r="K59" i="2" s="1"/>
  <c r="J59" i="2" a="1"/>
  <c r="J59" i="2" s="1"/>
  <c r="I59" i="2" a="1"/>
  <c r="I59" i="2" s="1"/>
  <c r="H59" i="2" a="1"/>
  <c r="H59" i="2" s="1"/>
  <c r="G59" i="2" a="1"/>
  <c r="G59" i="2" s="1"/>
  <c r="F59" i="2" a="1"/>
  <c r="F59" i="2" s="1"/>
  <c r="E59" i="2" a="1"/>
  <c r="E59" i="2" s="1"/>
  <c r="O58" i="2" a="1"/>
  <c r="O58" i="2" s="1"/>
  <c r="N58" i="2" a="1"/>
  <c r="N58" i="2" s="1"/>
  <c r="M58" i="2" a="1"/>
  <c r="M58" i="2"/>
  <c r="L58" i="2" a="1"/>
  <c r="L58" i="2" s="1"/>
  <c r="K58" i="2" a="1"/>
  <c r="K58" i="2" s="1"/>
  <c r="J58" i="2" a="1"/>
  <c r="J58" i="2" s="1"/>
  <c r="I58" i="2" a="1"/>
  <c r="I58" i="2" s="1"/>
  <c r="H58" i="2" a="1"/>
  <c r="H58" i="2" s="1"/>
  <c r="G58" i="2" a="1"/>
  <c r="G58" i="2" s="1"/>
  <c r="F58" i="2" a="1"/>
  <c r="F58" i="2" s="1"/>
  <c r="E58" i="2" a="1"/>
  <c r="E58" i="2" s="1"/>
  <c r="O57" i="2" a="1"/>
  <c r="O57" i="2" s="1"/>
  <c r="N57" i="2" a="1"/>
  <c r="N57" i="2" s="1"/>
  <c r="M57" i="2" a="1"/>
  <c r="M57" i="2" s="1"/>
  <c r="L57" i="2" a="1"/>
  <c r="L57" i="2" s="1"/>
  <c r="K57" i="2" a="1"/>
  <c r="K57" i="2" s="1"/>
  <c r="J57" i="2" a="1"/>
  <c r="J57" i="2" s="1"/>
  <c r="I57" i="2" a="1"/>
  <c r="I57" i="2" s="1"/>
  <c r="H57" i="2" a="1"/>
  <c r="H57" i="2" s="1"/>
  <c r="G57" i="2" a="1"/>
  <c r="G57" i="2" s="1"/>
  <c r="F57" i="2" a="1"/>
  <c r="F57" i="2" s="1"/>
  <c r="E57" i="2" a="1"/>
  <c r="E57" i="2" s="1"/>
  <c r="O56" i="2" a="1"/>
  <c r="O56" i="2" s="1"/>
  <c r="N56" i="2" a="1"/>
  <c r="N56" i="2" s="1"/>
  <c r="M56" i="2" a="1"/>
  <c r="M56" i="2" s="1"/>
  <c r="L56" i="2" a="1"/>
  <c r="L56" i="2" s="1"/>
  <c r="K56" i="2" a="1"/>
  <c r="K56" i="2" s="1"/>
  <c r="J56" i="2" a="1"/>
  <c r="J56" i="2"/>
  <c r="I56" i="2" a="1"/>
  <c r="I56" i="2" s="1"/>
  <c r="H56" i="2" a="1"/>
  <c r="H56" i="2" s="1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 s="1"/>
  <c r="M54" i="2" a="1"/>
  <c r="M54" i="2" s="1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E53" i="2" a="1"/>
  <c r="E53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 s="1"/>
  <c r="G52" i="2" a="1"/>
  <c r="G52" i="2" s="1"/>
  <c r="F52" i="2" a="1"/>
  <c r="F52" i="2" s="1"/>
  <c r="E52" i="2" a="1"/>
  <c r="E52" i="2" s="1"/>
  <c r="O51" i="2" a="1"/>
  <c r="O51" i="2" s="1"/>
  <c r="N51" i="2" a="1"/>
  <c r="N51" i="2" s="1"/>
  <c r="M51" i="2" a="1"/>
  <c r="M51" i="2" s="1"/>
  <c r="L51" i="2" a="1"/>
  <c r="L51" i="2" s="1"/>
  <c r="K51" i="2" a="1"/>
  <c r="K51" i="2" s="1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 s="1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/>
  <c r="O45" i="2" a="1"/>
  <c r="O45" i="2" s="1"/>
  <c r="N45" i="2" a="1"/>
  <c r="N45" i="2" s="1"/>
  <c r="M45" i="2" a="1"/>
  <c r="M45" i="2" s="1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 s="1"/>
  <c r="I43" i="2" a="1"/>
  <c r="I43" i="2" s="1"/>
  <c r="H43" i="2" a="1"/>
  <c r="H43" i="2" s="1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 s="1"/>
  <c r="J37" i="2" a="1"/>
  <c r="J37" i="2" s="1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O36" i="2" a="1"/>
  <c r="O36" i="2" s="1"/>
  <c r="N36" i="2" a="1"/>
  <c r="N36" i="2" s="1"/>
  <c r="M36" i="2" a="1"/>
  <c r="M36" i="2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/>
  <c r="N34" i="2" a="1"/>
  <c r="N34" i="2" s="1"/>
  <c r="M34" i="2" a="1"/>
  <c r="M34" i="2" s="1"/>
  <c r="L34" i="2" a="1"/>
  <c r="L34" i="2" s="1"/>
  <c r="K34" i="2" a="1"/>
  <c r="K34" i="2" s="1"/>
  <c r="J34" i="2" a="1"/>
  <c r="J34" i="2" s="1"/>
  <c r="I34" i="2" a="1"/>
  <c r="I34" i="2" s="1"/>
  <c r="H34" i="2" a="1"/>
  <c r="H34" i="2" s="1"/>
  <c r="G34" i="2" a="1"/>
  <c r="G34" i="2" s="1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 s="1"/>
  <c r="L30" i="2" a="1"/>
  <c r="L30" i="2" s="1"/>
  <c r="K30" i="2" a="1"/>
  <c r="K30" i="2" s="1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/>
  <c r="E27" i="2" a="1"/>
  <c r="E27" i="2" s="1"/>
  <c r="O26" i="2" a="1"/>
  <c r="O26" i="2" s="1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O25" i="2" a="1"/>
  <c r="O25" i="2" s="1"/>
  <c r="N25" i="2" a="1"/>
  <c r="N25" i="2" s="1"/>
  <c r="M25" i="2" a="1"/>
  <c r="M25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O24" i="2" a="1"/>
  <c r="O24" i="2" s="1"/>
  <c r="N24" i="2" a="1"/>
  <c r="N24" i="2" s="1"/>
  <c r="M24" i="2" a="1"/>
  <c r="M24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O23" i="2" a="1"/>
  <c r="O23" i="2" s="1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O22" i="2" a="1"/>
  <c r="O22" i="2" s="1"/>
  <c r="N22" i="2" a="1"/>
  <c r="N22" i="2" s="1"/>
  <c r="M22" i="2" a="1"/>
  <c r="M22" i="2" s="1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 s="1"/>
  <c r="F22" i="2" a="1"/>
  <c r="F22" i="2" s="1"/>
  <c r="E22" i="2" a="1"/>
  <c r="E22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 s="1"/>
  <c r="N20" i="2" a="1"/>
  <c r="N20" i="2"/>
  <c r="M20" i="2" a="1"/>
  <c r="M20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O18" i="2" a="1"/>
  <c r="O18" i="2" s="1"/>
  <c r="N18" i="2" a="1"/>
  <c r="N18" i="2" s="1"/>
  <c r="M18" i="2" a="1"/>
  <c r="M18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/>
  <c r="F18" i="2" a="1"/>
  <c r="F18" i="2" s="1"/>
  <c r="E18" i="2" a="1"/>
  <c r="E18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O16" i="2" a="1"/>
  <c r="O16" i="2" s="1"/>
  <c r="N16" i="2" a="1"/>
  <c r="N16" i="2" s="1"/>
  <c r="M16" i="2" a="1"/>
  <c r="M16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O14" i="2" a="1"/>
  <c r="O14" i="2" s="1"/>
  <c r="N14" i="2" a="1"/>
  <c r="N14" i="2" s="1"/>
  <c r="M14" i="2" a="1"/>
  <c r="M14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D12" i="2" s="1"/>
  <c r="F12" i="2" a="1"/>
  <c r="F12" i="2" s="1"/>
  <c r="E12" i="2" a="1"/>
  <c r="E12" i="2" s="1"/>
  <c r="J8" i="2"/>
  <c r="J6" i="2"/>
  <c r="L309" i="2" s="1"/>
  <c r="J5" i="2"/>
  <c r="L39" i="2" s="1"/>
  <c r="J4" i="2"/>
  <c r="L10" i="2" s="1"/>
  <c r="N3" i="2"/>
  <c r="AC7" i="3" l="1"/>
  <c r="AC12" i="3"/>
  <c r="L15" i="3"/>
  <c r="AC26" i="3"/>
  <c r="AC33" i="3"/>
  <c r="P1" i="4"/>
  <c r="D14" i="3"/>
  <c r="D11" i="3" s="1"/>
  <c r="D16" i="3"/>
  <c r="AK19" i="3"/>
  <c r="AH26" i="3"/>
  <c r="AH33" i="3"/>
  <c r="AH10" i="3"/>
  <c r="I14" i="3"/>
  <c r="AK12" i="3"/>
  <c r="I17" i="3"/>
  <c r="J1" i="4"/>
  <c r="AC21" i="3"/>
  <c r="L24" i="3"/>
  <c r="AH29" i="3"/>
  <c r="L32" i="3"/>
  <c r="N3" i="3"/>
  <c r="J7" i="2" s="1"/>
  <c r="D15" i="3"/>
  <c r="AC16" i="3"/>
  <c r="AH21" i="3"/>
  <c r="AH27" i="3"/>
  <c r="AC32" i="3"/>
  <c r="D12" i="3"/>
  <c r="AC19" i="3"/>
  <c r="AK32" i="3"/>
  <c r="D36" i="3"/>
  <c r="D34" i="3" s="1"/>
  <c r="I38" i="3"/>
  <c r="G1" i="4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G4" i="3"/>
  <c r="AJ4" i="3"/>
  <c r="AC6" i="3"/>
  <c r="AH8" i="3"/>
  <c r="I12" i="3"/>
  <c r="AK17" i="3"/>
  <c r="AH18" i="3"/>
  <c r="L36" i="3"/>
  <c r="AK13" i="3"/>
  <c r="L23" i="3"/>
  <c r="L31" i="3"/>
  <c r="AH7" i="3"/>
  <c r="I13" i="3"/>
  <c r="AH20" i="3"/>
  <c r="AH22" i="3"/>
  <c r="I25" i="3"/>
  <c r="AH28" i="3"/>
  <c r="AH30" i="3"/>
  <c r="AC17" i="3"/>
  <c r="AH31" i="3"/>
  <c r="D31" i="3"/>
  <c r="D29" i="3" s="1"/>
  <c r="AC15" i="3" l="1"/>
  <c r="AC25" i="3"/>
  <c r="AC4" i="3"/>
  <c r="AC3" i="3" s="1"/>
</calcChain>
</file>

<file path=xl/sharedStrings.xml><?xml version="1.0" encoding="utf-8"?>
<sst xmlns="http://schemas.openxmlformats.org/spreadsheetml/2006/main" count="1283" uniqueCount="1130">
  <si>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</si>
  <si>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</si>
  <si>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</si>
  <si>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</si>
  <si>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</si>
  <si>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</si>
  <si>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</si>
  <si>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</si>
  <si>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</si>
  <si>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</si>
  <si>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</si>
  <si>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</si>
  <si>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</si>
  <si>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</si>
  <si>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</si>
  <si>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</si>
  <si>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</si>
  <si>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</si>
  <si>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</si>
  <si>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</si>
  <si>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</si>
  <si>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</si>
  <si>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</si>
  <si>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</si>
  <si>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</si>
  <si>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</si>
  <si>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</si>
  <si>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</si>
  <si>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</si>
  <si>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</si>
  <si>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</si>
  <si>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</si>
  <si>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</si>
  <si>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</si>
  <si>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</si>
  <si>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</si>
  <si>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</si>
  <si>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</si>
  <si>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</si>
  <si>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</si>
  <si>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</si>
  <si>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</si>
  <si>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</si>
  <si>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</si>
  <si>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</si>
  <si>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</si>
  <si>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</si>
  <si>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</si>
  <si>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</si>
  <si>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</si>
  <si>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</si>
  <si>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</si>
  <si>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</si>
  <si>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</si>
  <si>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</si>
  <si>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</si>
  <si>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</si>
  <si>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</si>
  <si>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</si>
  <si>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</si>
  <si>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</si>
  <si>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</si>
  <si>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</si>
  <si>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</si>
  <si>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</si>
  <si>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</si>
  <si>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</si>
  <si>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</si>
  <si>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</si>
  <si>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</si>
  <si>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</si>
  <si>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</si>
  <si>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</si>
  <si>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</si>
  <si>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</si>
  <si>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</si>
  <si>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</si>
  <si>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</si>
  <si>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</si>
  <si>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</si>
  <si>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</si>
  <si>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</si>
  <si>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</si>
  <si>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</si>
  <si>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</si>
  <si>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</si>
  <si>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</si>
  <si>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</si>
  <si>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</si>
  <si>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</si>
  <si>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</si>
  <si>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</si>
  <si>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</si>
  <si>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</si>
  <si>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</si>
  <si>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</si>
  <si>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</si>
  <si>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</si>
  <si>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</si>
  <si>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</si>
  <si>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</si>
  <si>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</si>
  <si>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</si>
  <si>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</si>
  <si>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</si>
  <si>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</si>
  <si>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</si>
  <si>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</si>
  <si>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</si>
  <si>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</si>
  <si>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</si>
  <si>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</si>
  <si>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</si>
  <si>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</si>
  <si>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</si>
  <si>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</si>
  <si>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</si>
  <si>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</si>
  <si>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</si>
  <si>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</si>
  <si>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</si>
  <si>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</si>
  <si>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</si>
  <si>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北海道大学</t>
  </si>
  <si>
    <t>釧路公立大学</t>
  </si>
  <si>
    <t>札幌大学</t>
  </si>
  <si>
    <t>北海道立江差病院</t>
  </si>
  <si>
    <t>国立病院機構</t>
  </si>
  <si>
    <t>国立大学法人　弘前大学</t>
  </si>
  <si>
    <t>北海道教育大学</t>
  </si>
  <si>
    <t>公立はこだて未来大学</t>
  </si>
  <si>
    <t>学校法人北里研究所北里大学メディカルセンター</t>
  </si>
  <si>
    <t>札幌学院大学</t>
  </si>
  <si>
    <t>北海道立北見病院</t>
  </si>
  <si>
    <t>JCHO(地域医療機能推進機構)</t>
  </si>
  <si>
    <t>東京大学（柏キャンパス）</t>
  </si>
  <si>
    <t>室蘭工業大学</t>
  </si>
  <si>
    <t>大阪公立大学医学部附属病院（病児）</t>
  </si>
  <si>
    <t>公立千歳科学技術大学</t>
  </si>
  <si>
    <t>東京女子医科大学附属八千代センター</t>
  </si>
  <si>
    <t>函館大学</t>
  </si>
  <si>
    <t>埼玉県小児医療センター</t>
  </si>
  <si>
    <t>北海道立羽幌病院</t>
  </si>
  <si>
    <t>東京大学（駒場キャンパス）</t>
  </si>
  <si>
    <t>小樽商科大学</t>
  </si>
  <si>
    <t>札幌市立大学</t>
  </si>
  <si>
    <t>藤女子大学</t>
  </si>
  <si>
    <t>長野県立こども病院</t>
  </si>
  <si>
    <t>北海道立向陽ケ丘病院</t>
  </si>
  <si>
    <t>市立（市民）病院</t>
  </si>
  <si>
    <t>東京大学（白金キャンパス）</t>
  </si>
  <si>
    <t>帯広畜産大学</t>
  </si>
  <si>
    <t>名寄市立大学</t>
  </si>
  <si>
    <t>北星学園大学</t>
  </si>
  <si>
    <t>長野県立信州医療センター</t>
  </si>
  <si>
    <t>北海道立緑ケ丘病院</t>
  </si>
  <si>
    <t>赤十字</t>
  </si>
  <si>
    <t>東京大学（本郷キャンパス）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</si>
  <si>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</si>
  <si>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</si>
  <si>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</si>
  <si>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</si>
  <si>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</si>
  <si>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</si>
  <si>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</si>
  <si>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</si>
  <si>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三重県立子どもの心身発達医療センター</t>
  </si>
  <si>
    <t>青森県立中央病院</t>
  </si>
  <si>
    <t>大学（附属病院も含む）</t>
  </si>
  <si>
    <t>弘前大学</t>
  </si>
  <si>
    <t>青森県立保健大学</t>
  </si>
  <si>
    <t>株式会社久大エンタープライズ（久留米大学）</t>
  </si>
  <si>
    <t>酪農学園大学</t>
  </si>
  <si>
    <t>青森県立つくしが丘病院</t>
  </si>
  <si>
    <t>国立大学（附属病院も含む）</t>
  </si>
  <si>
    <t>国立大学法人　滋賀医科大学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</si>
  <si>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</si>
  <si>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</si>
  <si>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</si>
  <si>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</si>
  <si>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</si>
  <si>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鳥取大学医学部附属病院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</si>
  <si>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</si>
  <si>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</si>
  <si>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</si>
  <si>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</si>
  <si>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</si>
  <si>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</si>
  <si>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</si>
  <si>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</si>
  <si>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</si>
  <si>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鳥取大学医学部附属病院（病児）</t>
  </si>
  <si>
    <t>秋田大学</t>
  </si>
  <si>
    <t>秋田県立大学</t>
  </si>
  <si>
    <t>北海道情報大学</t>
  </si>
  <si>
    <t>茨城県西部メディカルセンター(通常)</t>
  </si>
  <si>
    <t>岩手県立大船渡病院</t>
  </si>
  <si>
    <t>高知大学医学部附属病院（病児）</t>
  </si>
  <si>
    <t>山形大学</t>
  </si>
  <si>
    <t>国際教養大学</t>
  </si>
  <si>
    <t>札幌国際大学</t>
  </si>
  <si>
    <t>茨城県西部メディカルセンタ(病児)</t>
  </si>
  <si>
    <t>岩手県立胆沢病院</t>
  </si>
  <si>
    <t>京都大学医学部附属病院（2024年開園予定）</t>
  </si>
  <si>
    <t>福島大学</t>
  </si>
  <si>
    <t>秋田公立美術大学</t>
  </si>
  <si>
    <t>北翔大学</t>
  </si>
  <si>
    <t>新潟県地域医療推進機構　魚沼基幹病院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</si>
  <si>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</si>
  <si>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</si>
  <si>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</si>
  <si>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</si>
  <si>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</si>
  <si>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</si>
  <si>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</si>
  <si>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</si>
  <si>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</si>
  <si>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</si>
  <si>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</si>
  <si>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</si>
  <si>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</si>
  <si>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</si>
  <si>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</si>
  <si>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</si>
  <si>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</si>
  <si>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</si>
  <si>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</si>
  <si>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</si>
  <si>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</si>
  <si>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</si>
  <si>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</si>
  <si>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</si>
  <si>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</si>
  <si>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</si>
  <si>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</si>
  <si>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</si>
  <si>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</si>
  <si>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</si>
  <si>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</si>
  <si>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</si>
  <si>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</si>
  <si>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</si>
  <si>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</si>
  <si>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</si>
  <si>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</si>
  <si>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</si>
  <si>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</si>
  <si>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</si>
  <si>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</si>
  <si>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</si>
  <si>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</si>
  <si>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</si>
  <si>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</si>
  <si>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</si>
  <si>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</si>
  <si>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</si>
  <si>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</si>
  <si>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</si>
  <si>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</si>
  <si>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</si>
  <si>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</si>
  <si>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</si>
  <si>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</si>
  <si>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</si>
  <si>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</si>
  <si>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</si>
  <si>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</si>
  <si>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</si>
  <si>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</si>
  <si>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</si>
  <si>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</si>
  <si>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</si>
  <si>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</si>
  <si>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</si>
  <si>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</si>
  <si>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</si>
  <si>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</si>
  <si>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</si>
  <si>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</si>
  <si>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</si>
  <si>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</si>
  <si>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</si>
  <si>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</si>
  <si>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</si>
  <si>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</si>
  <si>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</si>
  <si>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</si>
  <si>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</si>
  <si>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</si>
  <si>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</si>
  <si>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</si>
  <si>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</si>
  <si>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</si>
  <si>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</si>
  <si>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</si>
  <si>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</si>
  <si>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</si>
  <si>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</si>
  <si>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</si>
  <si>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</si>
  <si>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</si>
  <si>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</si>
  <si>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</si>
  <si>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</si>
  <si>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</si>
  <si>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</si>
  <si>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</si>
  <si>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</si>
  <si>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</si>
  <si>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</si>
  <si>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</si>
  <si>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</si>
  <si>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</si>
  <si>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</si>
  <si>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</si>
  <si>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</si>
  <si>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</si>
  <si>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</si>
  <si>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</si>
  <si>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</si>
  <si>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</si>
  <si>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</si>
  <si>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</si>
  <si>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</si>
  <si>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</si>
  <si>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</si>
  <si>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</si>
  <si>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</si>
  <si>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</si>
  <si>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</si>
  <si>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</si>
  <si>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</si>
  <si>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</si>
  <si>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</si>
  <si>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</si>
  <si>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</si>
  <si>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</si>
  <si>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</si>
  <si>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</si>
  <si>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</si>
  <si>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</si>
  <si>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</si>
  <si>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</si>
  <si>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</si>
  <si>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</si>
  <si>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</si>
  <si>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</si>
  <si>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</si>
  <si>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</si>
  <si>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</si>
  <si>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</si>
  <si>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</si>
  <si>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</si>
  <si>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</si>
  <si>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</si>
  <si>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</si>
  <si>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</si>
  <si>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</si>
  <si>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</si>
  <si>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</si>
  <si>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</si>
  <si>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</si>
  <si>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</si>
  <si>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</si>
  <si>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</si>
  <si>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</si>
  <si>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</si>
  <si>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</si>
  <si>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</si>
  <si>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</si>
  <si>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</si>
  <si>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</si>
  <si>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</si>
  <si>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</si>
  <si>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</si>
  <si>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</si>
  <si>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</si>
  <si>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</si>
  <si>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</si>
  <si>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</si>
  <si>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</si>
  <si>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</si>
  <si>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</si>
  <si>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</si>
  <si>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</si>
  <si>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</si>
  <si>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</si>
  <si>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</si>
  <si>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</si>
  <si>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</si>
  <si>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</si>
  <si>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</si>
  <si>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</si>
  <si>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</si>
  <si>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</si>
  <si>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</si>
  <si>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</si>
  <si>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</si>
  <si>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</si>
  <si>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</si>
  <si>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</si>
  <si>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</si>
  <si>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</si>
  <si>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</si>
  <si>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</si>
  <si>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</si>
  <si>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</si>
  <si>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</si>
  <si>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</si>
  <si>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</si>
  <si>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</si>
  <si>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</si>
  <si>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</si>
  <si>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</si>
  <si>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</si>
  <si>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</si>
  <si>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</si>
  <si>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</si>
  <si>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</si>
  <si>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</si>
  <si>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</si>
  <si>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</si>
  <si>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</si>
  <si>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</si>
  <si>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</si>
  <si>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</si>
  <si>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</si>
  <si>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</si>
  <si>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</si>
  <si>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</si>
  <si>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</si>
  <si>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</si>
  <si>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</si>
  <si>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</si>
  <si>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</si>
  <si>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</si>
  <si>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</si>
  <si>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</si>
  <si>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</si>
  <si>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</si>
  <si>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</si>
  <si>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</si>
  <si>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</si>
  <si>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</si>
  <si>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</si>
  <si>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</si>
  <si>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</si>
  <si>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</si>
  <si>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</si>
  <si>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</si>
  <si>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</si>
  <si>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</si>
  <si>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</si>
  <si>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</si>
  <si>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</si>
  <si>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</si>
  <si>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</si>
  <si>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</si>
  <si>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</si>
  <si>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</si>
  <si>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</si>
  <si>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</si>
  <si>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</si>
  <si>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</si>
  <si>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</si>
  <si>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</si>
  <si>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</si>
  <si>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</si>
  <si>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</si>
  <si>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</si>
  <si>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</si>
  <si>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</si>
  <si>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</si>
  <si>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</si>
  <si>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</si>
  <si>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</si>
  <si>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</si>
  <si>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</si>
  <si>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</si>
  <si>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</si>
  <si>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</si>
  <si>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</si>
  <si>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</si>
  <si>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</si>
  <si>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</si>
  <si>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</si>
  <si>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</si>
  <si>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</si>
  <si>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</si>
  <si>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</si>
  <si>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</si>
  <si>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</si>
  <si>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</si>
  <si>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</si>
  <si>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</si>
  <si>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</si>
  <si>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</si>
  <si>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</si>
  <si>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</si>
  <si>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</si>
  <si>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</si>
  <si>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</si>
  <si>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</si>
  <si>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</si>
  <si>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</si>
  <si>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</si>
  <si>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</si>
  <si>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</si>
  <si>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</si>
  <si>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</si>
  <si>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</si>
  <si>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</si>
  <si>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</si>
  <si>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</si>
  <si>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</si>
  <si>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</si>
  <si>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</si>
  <si>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</si>
  <si>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</si>
  <si>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</si>
  <si>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</si>
  <si>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</si>
  <si>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</si>
  <si>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</si>
  <si>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</si>
  <si>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</si>
  <si>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</si>
  <si>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</si>
  <si>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</si>
  <si>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</si>
  <si>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</si>
  <si>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</si>
  <si>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</si>
  <si>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</si>
  <si>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</si>
  <si>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</si>
  <si>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</si>
  <si>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</si>
  <si>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</si>
  <si>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</si>
  <si>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</si>
  <si>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</si>
  <si>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</si>
  <si>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</si>
  <si>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</si>
  <si>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</si>
  <si>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</si>
  <si>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</si>
  <si>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</si>
  <si>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</si>
  <si>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</si>
  <si>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</si>
  <si>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</si>
  <si>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</si>
  <si>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</si>
  <si>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</si>
  <si>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</si>
  <si>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</si>
  <si>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</si>
  <si>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</si>
  <si>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</si>
  <si>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</si>
  <si>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</si>
  <si>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</si>
  <si>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</si>
  <si>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</si>
  <si>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</si>
  <si>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</si>
  <si>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</si>
  <si>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</si>
  <si>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</si>
  <si>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</si>
  <si>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</si>
  <si>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</si>
  <si>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</si>
  <si>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</si>
  <si>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</si>
  <si>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</si>
  <si>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</si>
  <si>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</si>
  <si>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</si>
  <si>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</si>
  <si>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</si>
  <si>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</si>
  <si>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</si>
  <si>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</si>
  <si>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</si>
  <si>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</si>
  <si>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</si>
  <si>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</si>
  <si>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</si>
  <si>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</si>
  <si>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</si>
  <si>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</si>
  <si>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</si>
  <si>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</si>
  <si>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</si>
  <si>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</si>
  <si>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</si>
  <si>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</si>
  <si>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</si>
  <si>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</si>
  <si>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</si>
  <si>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</si>
  <si>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</si>
  <si>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</si>
  <si>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</si>
  <si>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</si>
  <si>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</si>
  <si>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</si>
  <si>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</si>
  <si>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</si>
  <si>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</si>
  <si>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</si>
  <si>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</si>
  <si>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</si>
  <si>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</si>
  <si>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</si>
  <si>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</si>
  <si>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</si>
  <si>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</si>
  <si>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</si>
  <si>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</si>
  <si>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</si>
  <si>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</si>
  <si>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</si>
  <si>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</si>
  <si>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</si>
  <si>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</si>
  <si>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</si>
  <si>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</si>
  <si>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</si>
  <si>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</si>
  <si>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</si>
  <si>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</si>
  <si>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</si>
  <si>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</si>
  <si>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</si>
  <si>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</si>
  <si>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</si>
  <si>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</si>
  <si>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</si>
  <si>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</si>
  <si>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</si>
  <si>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</si>
  <si>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</si>
  <si>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</si>
  <si>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</si>
  <si>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</si>
  <si>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</si>
  <si>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</si>
  <si>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</si>
  <si>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</si>
  <si>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</si>
  <si>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</si>
  <si>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</si>
  <si>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</si>
  <si>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</si>
  <si>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</si>
  <si>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</si>
  <si>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</si>
  <si>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</si>
  <si>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</si>
  <si>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</si>
  <si>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</si>
  <si>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</si>
  <si>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</si>
  <si>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</si>
  <si>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</si>
  <si>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</si>
  <si>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</si>
  <si>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</si>
  <si>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</si>
  <si>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</si>
  <si>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</si>
  <si>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</si>
  <si>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</si>
  <si>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</si>
  <si>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</si>
  <si>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</si>
  <si>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</si>
  <si>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</si>
  <si>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</si>
  <si>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</si>
  <si>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</si>
  <si>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</si>
  <si>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</si>
  <si>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</si>
  <si>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</si>
  <si>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</si>
  <si>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</si>
  <si>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</si>
  <si>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</si>
  <si>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</si>
  <si>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</si>
  <si>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</si>
  <si>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</si>
  <si>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</si>
  <si>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</si>
  <si>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</si>
  <si>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</si>
  <si>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</si>
  <si>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</si>
  <si>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</si>
  <si>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</si>
  <si>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</si>
  <si>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</si>
  <si>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</si>
  <si>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</si>
  <si>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</si>
  <si>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</si>
  <si>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</si>
  <si>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</si>
  <si>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</si>
  <si>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</si>
  <si>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</si>
  <si>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</si>
  <si>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</si>
  <si>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</si>
  <si>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</si>
  <si>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</si>
  <si>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</si>
  <si>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</si>
  <si>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</si>
  <si>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</si>
  <si>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</si>
  <si>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</si>
  <si>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</si>
  <si>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</si>
  <si>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</si>
  <si>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</si>
  <si>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</si>
  <si>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</si>
  <si>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</si>
  <si>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</si>
  <si>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</si>
  <si>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</si>
  <si>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</si>
  <si>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</si>
  <si>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</si>
  <si>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</si>
  <si>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</si>
  <si>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</si>
  <si>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</si>
  <si>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</si>
  <si>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</si>
  <si>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</si>
  <si>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</si>
  <si>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</si>
  <si>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</si>
  <si>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</si>
  <si>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</si>
  <si>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</si>
  <si>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</si>
  <si>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</si>
  <si>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</si>
  <si>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</si>
  <si>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</si>
  <si>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</si>
  <si>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</si>
  <si>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</si>
  <si>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</si>
  <si>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</si>
  <si>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</si>
  <si>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</si>
  <si>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</si>
  <si>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</si>
  <si>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</si>
  <si>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</si>
  <si>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</si>
  <si>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</si>
  <si>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</si>
  <si>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</si>
  <si>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</si>
  <si>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</si>
  <si>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</si>
  <si>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</si>
  <si>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</si>
  <si>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</si>
  <si>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</si>
  <si>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</si>
  <si>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</si>
  <si>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</si>
  <si>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</si>
  <si>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</si>
  <si>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</si>
  <si>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</si>
  <si>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</si>
  <si>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</si>
  <si>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</si>
  <si>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</si>
  <si>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</si>
  <si>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</si>
  <si>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</si>
  <si>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</si>
  <si>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</si>
  <si>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</si>
  <si>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</si>
  <si>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</si>
  <si>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</si>
  <si>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</si>
  <si>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</si>
  <si>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</si>
  <si>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</si>
  <si>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</si>
  <si>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</si>
  <si>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</si>
  <si>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</si>
  <si>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</si>
  <si>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</si>
  <si>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</si>
  <si>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</si>
  <si>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</si>
  <si>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</si>
  <si>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</si>
  <si>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</si>
  <si>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</si>
  <si>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</si>
  <si>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</si>
  <si>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</si>
  <si>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</si>
  <si>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</si>
  <si>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</si>
  <si>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</si>
  <si>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</si>
  <si>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</si>
  <si>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</si>
  <si>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</si>
  <si>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</si>
  <si>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</si>
  <si>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</si>
  <si>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</si>
  <si>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</si>
  <si>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</si>
  <si>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</si>
  <si>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</si>
  <si>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</si>
  <si>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</si>
  <si>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</si>
  <si>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</si>
  <si>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</si>
  <si>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</si>
  <si>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</si>
  <si>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</si>
  <si>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</si>
  <si>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</si>
  <si>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</si>
  <si>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</si>
  <si>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</si>
  <si>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</si>
  <si>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</si>
  <si>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</si>
  <si>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</si>
  <si>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</si>
  <si>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</si>
  <si>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</si>
  <si>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</si>
  <si>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</si>
  <si>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</si>
  <si>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</si>
  <si>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</si>
  <si>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</si>
  <si>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</si>
  <si>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</si>
  <si>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</si>
  <si>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</si>
  <si>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</si>
  <si>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</si>
  <si>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</si>
  <si>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</si>
  <si>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</si>
  <si>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</si>
  <si>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</si>
  <si>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</si>
  <si>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</si>
  <si>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</si>
  <si>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</si>
  <si>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</si>
  <si>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</si>
  <si>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</si>
  <si>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</si>
  <si>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</si>
  <si>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</si>
  <si>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</si>
  <si>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</si>
  <si>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</si>
  <si>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</si>
  <si>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</si>
  <si>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</si>
  <si>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</si>
  <si>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</si>
  <si>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</si>
  <si>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</si>
  <si>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</si>
  <si>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</si>
  <si>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</si>
  <si>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</si>
  <si>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</si>
  <si>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</si>
  <si>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</si>
  <si>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</si>
  <si>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</si>
  <si>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</si>
  <si>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</si>
  <si>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</si>
  <si>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</si>
  <si>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</si>
  <si>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</si>
  <si>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</si>
  <si>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</si>
  <si>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</si>
  <si>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</si>
  <si>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</si>
  <si>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</si>
  <si>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</si>
  <si>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</si>
  <si>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</si>
  <si>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</si>
  <si>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</si>
  <si>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</si>
  <si>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</si>
  <si>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</si>
  <si>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</si>
  <si>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</si>
  <si>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</si>
  <si>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</si>
  <si>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</si>
  <si>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</si>
  <si>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</si>
  <si>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</si>
  <si>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</si>
  <si>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</si>
  <si>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</si>
  <si>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</si>
  <si>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</si>
  <si>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</si>
  <si>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</si>
  <si>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</si>
  <si>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</si>
  <si>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</si>
  <si>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</si>
  <si>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</si>
  <si>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</si>
  <si>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</si>
  <si>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</si>
  <si>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</si>
  <si>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</si>
  <si>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</si>
  <si>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</si>
  <si>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</si>
  <si>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</si>
  <si>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</si>
  <si>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</si>
  <si>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</si>
  <si>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</si>
  <si>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</si>
  <si>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</si>
  <si>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</si>
  <si>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</si>
  <si>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</si>
  <si>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</si>
  <si>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</si>
  <si>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</si>
  <si>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</si>
  <si>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</si>
  <si>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</si>
  <si>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</si>
  <si>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</si>
  <si>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</si>
  <si>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</si>
  <si>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</si>
  <si>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</si>
  <si>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</si>
  <si>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</si>
  <si>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</si>
  <si>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</si>
  <si>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</si>
  <si>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</si>
  <si>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</si>
  <si>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</si>
  <si>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</si>
  <si>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</si>
  <si>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</si>
  <si>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</si>
  <si>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</si>
  <si>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</si>
  <si>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</si>
  <si>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</si>
  <si>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</si>
  <si>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</si>
  <si>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</si>
  <si>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</si>
  <si>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</si>
  <si>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</si>
  <si>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</si>
  <si>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</si>
  <si>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</si>
  <si>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</si>
  <si>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</si>
  <si>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</si>
  <si>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</si>
  <si>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</si>
  <si>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</si>
  <si>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</si>
  <si>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</si>
  <si>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</si>
  <si>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</si>
  <si>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</si>
  <si>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</si>
  <si>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</si>
  <si>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</si>
  <si>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</si>
  <si>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</si>
  <si>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</si>
  <si>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</si>
  <si>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</si>
  <si>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</si>
  <si>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</si>
  <si>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</si>
  <si>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</si>
  <si>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</si>
  <si>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</si>
  <si>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</si>
  <si>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</si>
  <si>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</si>
  <si>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</si>
  <si>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</si>
  <si>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</si>
  <si>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</si>
  <si>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</si>
  <si>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</si>
  <si>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</si>
  <si>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</si>
  <si>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</si>
  <si>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</si>
  <si>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</si>
  <si>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</si>
  <si>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</si>
  <si>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</si>
  <si>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</si>
  <si>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</si>
  <si>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</si>
  <si>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</si>
  <si>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</si>
  <si>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</si>
  <si>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</si>
  <si>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</si>
  <si>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</si>
  <si>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</si>
  <si>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</si>
  <si>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</si>
  <si>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</si>
  <si>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</si>
  <si>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</si>
  <si>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</si>
  <si>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</si>
  <si>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</si>
  <si>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</si>
  <si>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</si>
  <si>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</si>
  <si>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</si>
  <si>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</si>
  <si>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</si>
  <si>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</si>
  <si>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</si>
  <si>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</si>
  <si>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</si>
  <si>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</si>
  <si>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</si>
  <si>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</si>
  <si>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</si>
  <si>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</si>
  <si>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</si>
  <si>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</si>
  <si>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</si>
  <si>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</si>
  <si>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</si>
  <si>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</si>
  <si>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</si>
  <si>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</si>
  <si>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</si>
  <si>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</si>
  <si>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</si>
  <si>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</si>
  <si>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</si>
  <si>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</si>
  <si>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</si>
  <si>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</si>
  <si>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</si>
  <si>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</si>
  <si>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</si>
  <si>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</si>
  <si>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</si>
  <si>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</si>
  <si>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</si>
  <si>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</si>
  <si>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</si>
  <si>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</si>
  <si>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</si>
  <si>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</si>
  <si>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</si>
  <si>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</si>
  <si>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</si>
  <si>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</si>
  <si>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</si>
  <si>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</si>
  <si>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</si>
  <si>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</si>
  <si>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</si>
  <si>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</si>
  <si>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</si>
  <si>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</si>
  <si>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</si>
  <si>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</si>
  <si>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</si>
  <si>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</si>
  <si>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</si>
  <si>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</si>
  <si>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</si>
  <si>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</si>
  <si>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</si>
  <si>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</si>
  <si>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</si>
  <si>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</si>
  <si>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</si>
  <si>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</si>
  <si>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</si>
  <si>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</si>
  <si>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</si>
  <si>
    <t>No.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</si>
</sst>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5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55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31" fillId="0" borderId="0" xfId="0" applyFont="1" applyAlignment="1"/>
    <xf numFmtId="0" fontId="10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177" fontId="24" fillId="0" borderId="0" xfId="0" applyNumberFormat="1" applyFont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5" fillId="7" borderId="15" xfId="0" applyFont="1" applyFill="1" applyBorder="1" applyAlignment="1">
      <alignment horizontal="right" vertical="center"/>
    </xf>
    <xf numFmtId="0" fontId="0" fillId="0" borderId="15" xfId="0" applyBorder="1" applyAlignment="1"/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0" fillId="0" borderId="14" xfId="0" applyBorder="1" applyAlignment="1"/>
    <xf numFmtId="0" fontId="15" fillId="7" borderId="15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3" fillId="11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6" borderId="14" xfId="0" applyFont="1" applyFill="1" applyBorder="1" applyAlignment="1">
      <alignment horizontal="right" vertical="center"/>
    </xf>
    <xf numFmtId="0" fontId="13" fillId="15" borderId="0" xfId="0" applyFont="1" applyFill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left" vertical="center"/>
    </xf>
    <xf numFmtId="0" fontId="28" fillId="0" borderId="9" xfId="0" applyFont="1" applyFill="1" applyBorder="1" applyAlignment="1">
      <alignment vertical="center" textRotation="255" wrapText="1"/>
    </xf>
    <xf numFmtId="0" fontId="28" fillId="0" borderId="8" xfId="0" applyFont="1" applyFill="1" applyBorder="1" applyAlignment="1">
      <alignment vertical="center" textRotation="255" wrapText="1"/>
    </xf>
    <xf numFmtId="0" fontId="28" fillId="0" borderId="13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10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  <xf numFmtId="0" fontId="28" fillId="0" borderId="0" xfId="0" applyFont="1" applyFill="1" applyAlignment="1">
      <alignment vertical="center" textRotation="255" wrapText="1"/>
    </xf>
    <xf numFmtId="0" fontId="6" fillId="0" borderId="7" xfId="0" applyFont="1" applyFill="1" applyBorder="1">
      <alignment vertical="center"/>
    </xf>
    <xf numFmtId="0" fontId="0" fillId="0" borderId="7" xfId="0" applyFill="1" applyBorder="1" applyAlignment="1"/>
    <xf numFmtId="0" fontId="29" fillId="0" borderId="9" xfId="0" applyFont="1" applyFill="1" applyBorder="1" applyAlignment="1">
      <alignment vertical="center" textRotation="255"/>
    </xf>
    <xf numFmtId="0" fontId="29" fillId="0" borderId="8" xfId="0" applyFont="1" applyFill="1" applyBorder="1" applyAlignment="1">
      <alignment vertical="center" textRotation="255"/>
    </xf>
    <xf numFmtId="0" fontId="29" fillId="0" borderId="10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9" fillId="0" borderId="0" xfId="0" applyFont="1" applyFill="1" applyAlignment="1">
      <alignment vertical="center" textRotation="255"/>
    </xf>
    <xf numFmtId="0" fontId="28" fillId="0" borderId="28" xfId="0" applyFont="1" applyFill="1" applyBorder="1" applyAlignment="1">
      <alignment vertical="center" textRotation="255" wrapText="1"/>
    </xf>
    <xf numFmtId="0" fontId="28" fillId="0" borderId="6" xfId="0" applyFont="1" applyFill="1" applyBorder="1" applyAlignment="1">
      <alignment vertical="center" textRotation="255" wrapText="1"/>
    </xf>
    <xf numFmtId="0" fontId="28" fillId="0" borderId="31" xfId="0" applyFont="1" applyFill="1" applyBorder="1" applyAlignment="1">
      <alignment vertical="center" textRotation="255" wrapText="1"/>
    </xf>
    <xf numFmtId="0" fontId="28" fillId="0" borderId="29" xfId="0" applyFont="1" applyFill="1" applyBorder="1" applyAlignment="1">
      <alignment vertical="center" textRotation="255" wrapText="1"/>
    </xf>
    <xf numFmtId="0" fontId="28" fillId="0" borderId="32" xfId="0" applyFont="1" applyFill="1" applyBorder="1" applyAlignment="1">
      <alignment vertical="center" textRotation="255" wrapText="1"/>
    </xf>
    <xf numFmtId="0" fontId="28" fillId="0" borderId="5" xfId="0" applyFont="1" applyFill="1" applyBorder="1" applyAlignment="1">
      <alignment vertical="center" textRotation="255" wrapText="1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customFormat="1" x14ac:dyDescent="0.45"/>
    <row r="18" customFormat="1" x14ac:dyDescent="0.45"/>
    <row r="19" customFormat="1" x14ac:dyDescent="0.45"/>
    <row r="20" customFormat="1" x14ac:dyDescent="0.45"/>
    <row r="21" customFormat="1" x14ac:dyDescent="0.45"/>
    <row r="22" customFormat="1" x14ac:dyDescent="0.45"/>
    <row r="23" customFormat="1" x14ac:dyDescent="0.45"/>
    <row r="24" customFormat="1" x14ac:dyDescent="0.45"/>
    <row r="25" customFormat="1" x14ac:dyDescent="0.45"/>
    <row r="26" customFormat="1" x14ac:dyDescent="0.45"/>
    <row r="27" customFormat="1" x14ac:dyDescent="0.45"/>
    <row r="28" customFormat="1" x14ac:dyDescent="0.45"/>
    <row r="29" customFormat="1" x14ac:dyDescent="0.45"/>
    <row r="30" customFormat="1" x14ac:dyDescent="0.45"/>
    <row r="31" customFormat="1" x14ac:dyDescent="0.45"/>
    <row r="32" customFormat="1" x14ac:dyDescent="0.45"/>
    <row r="33" customFormat="1" x14ac:dyDescent="0.45"/>
    <row r="34" customFormat="1" x14ac:dyDescent="0.45"/>
    <row r="35" customFormat="1" x14ac:dyDescent="0.45"/>
    <row r="36" customFormat="1" x14ac:dyDescent="0.45"/>
    <row r="37" customFormat="1" x14ac:dyDescent="0.45"/>
    <row r="38" customFormat="1" x14ac:dyDescent="0.45"/>
    <row r="39" customFormat="1" x14ac:dyDescent="0.45"/>
    <row r="40" customFormat="1" x14ac:dyDescent="0.45"/>
    <row r="41" customFormat="1" x14ac:dyDescent="0.45"/>
    <row r="42" customFormat="1" x14ac:dyDescent="0.45"/>
    <row r="43" customFormat="1" x14ac:dyDescent="0.45"/>
    <row r="44" customFormat="1" x14ac:dyDescent="0.45"/>
    <row r="45" customFormat="1" x14ac:dyDescent="0.45"/>
    <row r="46" customFormat="1" x14ac:dyDescent="0.45"/>
    <row r="47" customFormat="1" x14ac:dyDescent="0.45"/>
    <row r="48" customFormat="1" x14ac:dyDescent="0.45"/>
    <row r="49" customFormat="1" x14ac:dyDescent="0.45"/>
    <row r="50" customFormat="1" x14ac:dyDescent="0.45"/>
    <row r="51" customFormat="1" x14ac:dyDescent="0.45"/>
    <row r="52" customFormat="1" x14ac:dyDescent="0.45"/>
    <row r="53" customFormat="1" x14ac:dyDescent="0.45"/>
    <row r="54" customFormat="1" x14ac:dyDescent="0.45"/>
    <row r="55" customFormat="1" x14ac:dyDescent="0.45"/>
    <row r="56" customFormat="1" x14ac:dyDescent="0.45"/>
    <row r="57" customFormat="1" x14ac:dyDescent="0.45"/>
    <row r="58" customFormat="1" x14ac:dyDescent="0.45"/>
    <row r="59" customFormat="1" x14ac:dyDescent="0.45"/>
    <row r="60" customFormat="1" x14ac:dyDescent="0.45"/>
    <row r="61" customFormat="1" x14ac:dyDescent="0.45"/>
    <row r="62" customFormat="1" x14ac:dyDescent="0.45"/>
    <row r="63" customFormat="1" x14ac:dyDescent="0.45"/>
    <row r="64" customFormat="1" x14ac:dyDescent="0.45"/>
    <row r="65" customFormat="1" x14ac:dyDescent="0.45"/>
    <row r="66" customFormat="1" x14ac:dyDescent="0.45"/>
    <row r="67" customFormat="1" x14ac:dyDescent="0.45"/>
    <row r="68" customFormat="1" x14ac:dyDescent="0.45"/>
    <row r="69" customFormat="1" x14ac:dyDescent="0.45"/>
    <row r="70" customFormat="1" x14ac:dyDescent="0.45"/>
    <row r="71" customFormat="1" x14ac:dyDescent="0.45"/>
    <row r="72" customFormat="1" x14ac:dyDescent="0.45"/>
    <row r="73" customFormat="1" x14ac:dyDescent="0.45"/>
    <row r="74" customFormat="1" x14ac:dyDescent="0.45"/>
    <row r="75" customFormat="1" x14ac:dyDescent="0.45"/>
    <row r="76" customFormat="1" x14ac:dyDescent="0.45"/>
    <row r="77" customFormat="1" x14ac:dyDescent="0.45"/>
    <row r="78" customFormat="1" x14ac:dyDescent="0.45"/>
    <row r="79" customFormat="1" x14ac:dyDescent="0.45"/>
    <row r="80" customFormat="1" x14ac:dyDescent="0.45"/>
    <row r="81" customFormat="1" x14ac:dyDescent="0.45"/>
    <row r="82" customFormat="1" x14ac:dyDescent="0.45"/>
    <row r="83" customFormat="1" x14ac:dyDescent="0.45"/>
    <row r="84" customFormat="1" x14ac:dyDescent="0.45"/>
    <row r="85" customFormat="1" x14ac:dyDescent="0.45"/>
    <row r="86" customFormat="1" x14ac:dyDescent="0.45"/>
    <row r="87" customFormat="1" x14ac:dyDescent="0.45"/>
    <row r="88" customFormat="1" x14ac:dyDescent="0.45"/>
    <row r="89" customFormat="1" x14ac:dyDescent="0.45"/>
    <row r="90" customFormat="1" x14ac:dyDescent="0.45"/>
    <row r="91" customFormat="1" x14ac:dyDescent="0.45"/>
    <row r="92" customFormat="1" x14ac:dyDescent="0.45"/>
    <row r="93" customFormat="1" x14ac:dyDescent="0.45"/>
    <row r="94" customFormat="1" x14ac:dyDescent="0.45"/>
    <row r="95" customFormat="1" x14ac:dyDescent="0.45"/>
    <row r="96" customFormat="1" x14ac:dyDescent="0.45"/>
    <row r="97" customFormat="1" x14ac:dyDescent="0.45"/>
    <row r="98" customFormat="1" x14ac:dyDescent="0.45"/>
    <row r="99" customFormat="1" x14ac:dyDescent="0.45"/>
    <row r="100" customFormat="1" x14ac:dyDescent="0.45"/>
    <row r="101" customFormat="1" x14ac:dyDescent="0.45"/>
    <row r="102" customFormat="1" x14ac:dyDescent="0.45"/>
    <row r="103" customFormat="1" x14ac:dyDescent="0.45"/>
    <row r="104" customFormat="1" x14ac:dyDescent="0.45"/>
    <row r="105" customFormat="1" x14ac:dyDescent="0.45"/>
    <row r="106" customFormat="1" x14ac:dyDescent="0.45"/>
    <row r="107" customFormat="1" x14ac:dyDescent="0.45"/>
    <row r="108" customFormat="1" x14ac:dyDescent="0.45"/>
    <row r="109" customFormat="1" x14ac:dyDescent="0.45"/>
    <row r="110" customFormat="1" x14ac:dyDescent="0.45"/>
    <row r="111" customFormat="1" x14ac:dyDescent="0.45"/>
    <row r="112" customFormat="1" x14ac:dyDescent="0.45"/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  <row r="118" customFormat="1" x14ac:dyDescent="0.45"/>
    <row r="119" customFormat="1" x14ac:dyDescent="0.45"/>
    <row r="120" customFormat="1" x14ac:dyDescent="0.45"/>
    <row r="121" customFormat="1" x14ac:dyDescent="0.45"/>
    <row r="122" customFormat="1" x14ac:dyDescent="0.45"/>
    <row r="123" customFormat="1" x14ac:dyDescent="0.45"/>
    <row r="124" customFormat="1" x14ac:dyDescent="0.45"/>
    <row r="125" customFormat="1" x14ac:dyDescent="0.45"/>
    <row r="126" customFormat="1" x14ac:dyDescent="0.45"/>
    <row r="127" customFormat="1" x14ac:dyDescent="0.45"/>
    <row r="128" customFormat="1" x14ac:dyDescent="0.45"/>
    <row r="129" customFormat="1" x14ac:dyDescent="0.45"/>
    <row r="130" customFormat="1" x14ac:dyDescent="0.45"/>
    <row r="131" customFormat="1" x14ac:dyDescent="0.45"/>
    <row r="132" customFormat="1" x14ac:dyDescent="0.45"/>
    <row r="133" customFormat="1" x14ac:dyDescent="0.45"/>
    <row r="134" customFormat="1" x14ac:dyDescent="0.45"/>
    <row r="135" customFormat="1" x14ac:dyDescent="0.45"/>
    <row r="136" customFormat="1" x14ac:dyDescent="0.45"/>
    <row r="137" customFormat="1" x14ac:dyDescent="0.45"/>
    <row r="138" customFormat="1" x14ac:dyDescent="0.45"/>
    <row r="139" customFormat="1" x14ac:dyDescent="0.45"/>
    <row r="140" customFormat="1" x14ac:dyDescent="0.45"/>
    <row r="141" customFormat="1" x14ac:dyDescent="0.45"/>
    <row r="142" customFormat="1" x14ac:dyDescent="0.45"/>
    <row r="143" customFormat="1" x14ac:dyDescent="0.45"/>
    <row r="144" customFormat="1" x14ac:dyDescent="0.45"/>
    <row r="145" customFormat="1" x14ac:dyDescent="0.45"/>
    <row r="146" customFormat="1" x14ac:dyDescent="0.45"/>
    <row r="147" customFormat="1" x14ac:dyDescent="0.45"/>
    <row r="148" customFormat="1" x14ac:dyDescent="0.45"/>
    <row r="149" customFormat="1" x14ac:dyDescent="0.45"/>
    <row r="150" customFormat="1" x14ac:dyDescent="0.45"/>
    <row r="151" customFormat="1" x14ac:dyDescent="0.45"/>
    <row r="152" customFormat="1" x14ac:dyDescent="0.45"/>
    <row r="153" customFormat="1" x14ac:dyDescent="0.45"/>
    <row r="154" customFormat="1" x14ac:dyDescent="0.45"/>
    <row r="155" customFormat="1" x14ac:dyDescent="0.45"/>
    <row r="156" customFormat="1" x14ac:dyDescent="0.45"/>
    <row r="157" customFormat="1" x14ac:dyDescent="0.45"/>
    <row r="158" customFormat="1" x14ac:dyDescent="0.45"/>
    <row r="159" customFormat="1" x14ac:dyDescent="0.45"/>
    <row r="160" customFormat="1" x14ac:dyDescent="0.45"/>
    <row r="161" customFormat="1" x14ac:dyDescent="0.45"/>
    <row r="162" customFormat="1" x14ac:dyDescent="0.45"/>
    <row r="163" customFormat="1" x14ac:dyDescent="0.45"/>
    <row r="164" customFormat="1" x14ac:dyDescent="0.45"/>
    <row r="165" customFormat="1" x14ac:dyDescent="0.45"/>
    <row r="166" customFormat="1" x14ac:dyDescent="0.45"/>
    <row r="167" customFormat="1" x14ac:dyDescent="0.45"/>
    <row r="168" customFormat="1" x14ac:dyDescent="0.45"/>
    <row r="169" customFormat="1" x14ac:dyDescent="0.45"/>
    <row r="170" customFormat="1" x14ac:dyDescent="0.45"/>
    <row r="171" customFormat="1" x14ac:dyDescent="0.45"/>
    <row r="172" customFormat="1" x14ac:dyDescent="0.45"/>
    <row r="173" customFormat="1" x14ac:dyDescent="0.45"/>
    <row r="174" customFormat="1" x14ac:dyDescent="0.45"/>
    <row r="175" customFormat="1" x14ac:dyDescent="0.45"/>
    <row r="176" customFormat="1" x14ac:dyDescent="0.45"/>
    <row r="177" customFormat="1" x14ac:dyDescent="0.45"/>
    <row r="178" customFormat="1" x14ac:dyDescent="0.45"/>
    <row r="179" customFormat="1" x14ac:dyDescent="0.45"/>
    <row r="180" customFormat="1" x14ac:dyDescent="0.45"/>
    <row r="181" customFormat="1" x14ac:dyDescent="0.45"/>
    <row r="182" customFormat="1" x14ac:dyDescent="0.45"/>
    <row r="183" customFormat="1" x14ac:dyDescent="0.45"/>
    <row r="184" customFormat="1" x14ac:dyDescent="0.45"/>
    <row r="185" customFormat="1" x14ac:dyDescent="0.45"/>
    <row r="186" customFormat="1" x14ac:dyDescent="0.45"/>
    <row r="187" customFormat="1" x14ac:dyDescent="0.45"/>
    <row r="188" customFormat="1" x14ac:dyDescent="0.45"/>
    <row r="189" customFormat="1" x14ac:dyDescent="0.45"/>
    <row r="190" customFormat="1" x14ac:dyDescent="0.45"/>
    <row r="191" customFormat="1" x14ac:dyDescent="0.45"/>
    <row r="192" customFormat="1" x14ac:dyDescent="0.45"/>
    <row r="193" customFormat="1" x14ac:dyDescent="0.45"/>
    <row r="194" customFormat="1" x14ac:dyDescent="0.45"/>
    <row r="195" customFormat="1" x14ac:dyDescent="0.45"/>
    <row r="196" customFormat="1" x14ac:dyDescent="0.45"/>
    <row r="197" customFormat="1" x14ac:dyDescent="0.45"/>
    <row r="198" customFormat="1" x14ac:dyDescent="0.45"/>
    <row r="199" customFormat="1" x14ac:dyDescent="0.45"/>
    <row r="200" customFormat="1" x14ac:dyDescent="0.45"/>
    <row r="201" customFormat="1" x14ac:dyDescent="0.45"/>
    <row r="202" customFormat="1" x14ac:dyDescent="0.45"/>
    <row r="203" customFormat="1" x14ac:dyDescent="0.45"/>
    <row r="204" customFormat="1" x14ac:dyDescent="0.45"/>
    <row r="205" customFormat="1" x14ac:dyDescent="0.45"/>
    <row r="206" customFormat="1" x14ac:dyDescent="0.45"/>
    <row r="207" customFormat="1" x14ac:dyDescent="0.45"/>
    <row r="208" customFormat="1" x14ac:dyDescent="0.45"/>
    <row r="209" customFormat="1" x14ac:dyDescent="0.45"/>
    <row r="210" customFormat="1" x14ac:dyDescent="0.45"/>
    <row r="211" customFormat="1" x14ac:dyDescent="0.45"/>
    <row r="212" customFormat="1" x14ac:dyDescent="0.45"/>
    <row r="213" customFormat="1" x14ac:dyDescent="0.45"/>
    <row r="214" customFormat="1" x14ac:dyDescent="0.45"/>
    <row r="215" customFormat="1" x14ac:dyDescent="0.45"/>
    <row r="216" customFormat="1" x14ac:dyDescent="0.45"/>
    <row r="217" customFormat="1" x14ac:dyDescent="0.45"/>
    <row r="218" customFormat="1" x14ac:dyDescent="0.45"/>
    <row r="219" customFormat="1" x14ac:dyDescent="0.45"/>
    <row r="220" customFormat="1" x14ac:dyDescent="0.45"/>
    <row r="221" customFormat="1" x14ac:dyDescent="0.45"/>
    <row r="222" customFormat="1" x14ac:dyDescent="0.45"/>
    <row r="223" customFormat="1" x14ac:dyDescent="0.45"/>
    <row r="224" customFormat="1" x14ac:dyDescent="0.45"/>
    <row r="225" customFormat="1" x14ac:dyDescent="0.45"/>
    <row r="226" customFormat="1" x14ac:dyDescent="0.45"/>
    <row r="227" customFormat="1" x14ac:dyDescent="0.45"/>
    <row r="228" customFormat="1" x14ac:dyDescent="0.45"/>
    <row r="229" customFormat="1" x14ac:dyDescent="0.45"/>
    <row r="230" customFormat="1" x14ac:dyDescent="0.45"/>
    <row r="231" customFormat="1" x14ac:dyDescent="0.45"/>
    <row r="232" customFormat="1" x14ac:dyDescent="0.45"/>
    <row r="233" customFormat="1" x14ac:dyDescent="0.45"/>
    <row r="234" customFormat="1" x14ac:dyDescent="0.45"/>
    <row r="235" customFormat="1" x14ac:dyDescent="0.45"/>
    <row r="236" customFormat="1" x14ac:dyDescent="0.45"/>
    <row r="237" customFormat="1" x14ac:dyDescent="0.45"/>
    <row r="238" customFormat="1" x14ac:dyDescent="0.45"/>
    <row r="239" customFormat="1" x14ac:dyDescent="0.45"/>
    <row r="240" customFormat="1" x14ac:dyDescent="0.45"/>
    <row r="241" customFormat="1" x14ac:dyDescent="0.45"/>
    <row r="242" customFormat="1" x14ac:dyDescent="0.45"/>
    <row r="243" customFormat="1" x14ac:dyDescent="0.45"/>
    <row r="244" customFormat="1" x14ac:dyDescent="0.45"/>
    <row r="245" customFormat="1" x14ac:dyDescent="0.45"/>
    <row r="246" customFormat="1" x14ac:dyDescent="0.45"/>
    <row r="247" customFormat="1" x14ac:dyDescent="0.45"/>
    <row r="248" customFormat="1" x14ac:dyDescent="0.45"/>
    <row r="249" customFormat="1" x14ac:dyDescent="0.45"/>
    <row r="250" customFormat="1" x14ac:dyDescent="0.45"/>
    <row r="251" customFormat="1" x14ac:dyDescent="0.45"/>
    <row r="252" customFormat="1" x14ac:dyDescent="0.45"/>
    <row r="253" customFormat="1" x14ac:dyDescent="0.45"/>
    <row r="254" customFormat="1" x14ac:dyDescent="0.45"/>
    <row r="255" customFormat="1" x14ac:dyDescent="0.45"/>
    <row r="256" customFormat="1" x14ac:dyDescent="0.45"/>
    <row r="257" customFormat="1" x14ac:dyDescent="0.45"/>
    <row r="258" customFormat="1" x14ac:dyDescent="0.45"/>
    <row r="259" customFormat="1" x14ac:dyDescent="0.45"/>
    <row r="260" customFormat="1" x14ac:dyDescent="0.45"/>
    <row r="261" customFormat="1" x14ac:dyDescent="0.45"/>
    <row r="262" customFormat="1" x14ac:dyDescent="0.45"/>
    <row r="263" customFormat="1" x14ac:dyDescent="0.45"/>
    <row r="264" customFormat="1" x14ac:dyDescent="0.45"/>
    <row r="265" customFormat="1" x14ac:dyDescent="0.45"/>
    <row r="266" customFormat="1" x14ac:dyDescent="0.45"/>
    <row r="267" customFormat="1" x14ac:dyDescent="0.45"/>
    <row r="268" customFormat="1" x14ac:dyDescent="0.45"/>
    <row r="269" customFormat="1" x14ac:dyDescent="0.45"/>
    <row r="270" customFormat="1" x14ac:dyDescent="0.45"/>
    <row r="271" customFormat="1" x14ac:dyDescent="0.45"/>
    <row r="272" customFormat="1" x14ac:dyDescent="0.45"/>
    <row r="273" customFormat="1" x14ac:dyDescent="0.45"/>
    <row r="274" customFormat="1" x14ac:dyDescent="0.45"/>
    <row r="275" customFormat="1" x14ac:dyDescent="0.45"/>
    <row r="276" customFormat="1" x14ac:dyDescent="0.45"/>
    <row r="277" customFormat="1" x14ac:dyDescent="0.45"/>
    <row r="278" customFormat="1" x14ac:dyDescent="0.45"/>
    <row r="279" customFormat="1" x14ac:dyDescent="0.45"/>
    <row r="280" customFormat="1" x14ac:dyDescent="0.45"/>
    <row r="281" customFormat="1" x14ac:dyDescent="0.45"/>
    <row r="282" customFormat="1" x14ac:dyDescent="0.45"/>
    <row r="283" customFormat="1" x14ac:dyDescent="0.45"/>
    <row r="284" customFormat="1" x14ac:dyDescent="0.45"/>
    <row r="285" customFormat="1" x14ac:dyDescent="0.45"/>
    <row r="286" customFormat="1" x14ac:dyDescent="0.45"/>
    <row r="287" customFormat="1" x14ac:dyDescent="0.45"/>
    <row r="288" customFormat="1" x14ac:dyDescent="0.45"/>
    <row r="289" customFormat="1" x14ac:dyDescent="0.45"/>
    <row r="290" customFormat="1" x14ac:dyDescent="0.45"/>
    <row r="291" customFormat="1" x14ac:dyDescent="0.45"/>
    <row r="292" customFormat="1" x14ac:dyDescent="0.45"/>
    <row r="293" customFormat="1" x14ac:dyDescent="0.45"/>
    <row r="294" customFormat="1" x14ac:dyDescent="0.45"/>
    <row r="295" customFormat="1" x14ac:dyDescent="0.45"/>
    <row r="296" customFormat="1" x14ac:dyDescent="0.45"/>
    <row r="297" customFormat="1" x14ac:dyDescent="0.45"/>
    <row r="298" customFormat="1" x14ac:dyDescent="0.45"/>
    <row r="299" customFormat="1" x14ac:dyDescent="0.45"/>
    <row r="300" customFormat="1" x14ac:dyDescent="0.45"/>
    <row r="301" customFormat="1" x14ac:dyDescent="0.45"/>
    <row r="302" customFormat="1" x14ac:dyDescent="0.45"/>
    <row r="303" customFormat="1" x14ac:dyDescent="0.45"/>
    <row r="304" customFormat="1" x14ac:dyDescent="0.45"/>
    <row r="305" customFormat="1" x14ac:dyDescent="0.45"/>
    <row r="306" customFormat="1" x14ac:dyDescent="0.45"/>
    <row r="307" customFormat="1" x14ac:dyDescent="0.45"/>
    <row r="308" customFormat="1" x14ac:dyDescent="0.45"/>
    <row r="309" customFormat="1" x14ac:dyDescent="0.45"/>
    <row r="310" customFormat="1" x14ac:dyDescent="0.45"/>
    <row r="311" customFormat="1" x14ac:dyDescent="0.45"/>
    <row r="312" customFormat="1" x14ac:dyDescent="0.45"/>
    <row r="313" customFormat="1" x14ac:dyDescent="0.45"/>
    <row r="314" customFormat="1" x14ac:dyDescent="0.45"/>
    <row r="315" customFormat="1" x14ac:dyDescent="0.45"/>
    <row r="316" customFormat="1" x14ac:dyDescent="0.45"/>
    <row r="317" customFormat="1" x14ac:dyDescent="0.45"/>
    <row r="318" customFormat="1" x14ac:dyDescent="0.45"/>
    <row r="319" customFormat="1" x14ac:dyDescent="0.45"/>
    <row r="320" customFormat="1" x14ac:dyDescent="0.45"/>
    <row r="321" customFormat="1" x14ac:dyDescent="0.45"/>
    <row r="322" customFormat="1" x14ac:dyDescent="0.45"/>
    <row r="323" customFormat="1" x14ac:dyDescent="0.45"/>
    <row r="324" customFormat="1" x14ac:dyDescent="0.45"/>
    <row r="325" customFormat="1" x14ac:dyDescent="0.45"/>
    <row r="326" customFormat="1" x14ac:dyDescent="0.45"/>
    <row r="327" customFormat="1" x14ac:dyDescent="0.45"/>
    <row r="328" customFormat="1" x14ac:dyDescent="0.45"/>
    <row r="329" customFormat="1" x14ac:dyDescent="0.45"/>
    <row r="330" customFormat="1" x14ac:dyDescent="0.45"/>
    <row r="331" customFormat="1" x14ac:dyDescent="0.45"/>
    <row r="332" customFormat="1" x14ac:dyDescent="0.45"/>
    <row r="333" customFormat="1" x14ac:dyDescent="0.45"/>
    <row r="334" customFormat="1" x14ac:dyDescent="0.45"/>
    <row r="335" customFormat="1" x14ac:dyDescent="0.45"/>
    <row r="336" customFormat="1" x14ac:dyDescent="0.45"/>
    <row r="337" customFormat="1" x14ac:dyDescent="0.45"/>
    <row r="338" customFormat="1" x14ac:dyDescent="0.45"/>
    <row r="339" customFormat="1" x14ac:dyDescent="0.45"/>
    <row r="340" customFormat="1" x14ac:dyDescent="0.45"/>
    <row r="341" customFormat="1" x14ac:dyDescent="0.45"/>
    <row r="342" customFormat="1" x14ac:dyDescent="0.45"/>
    <row r="343" customFormat="1" x14ac:dyDescent="0.45"/>
    <row r="344" customFormat="1" x14ac:dyDescent="0.45"/>
    <row r="345" customFormat="1" x14ac:dyDescent="0.45"/>
    <row r="346" customFormat="1" x14ac:dyDescent="0.45"/>
    <row r="347" customFormat="1" x14ac:dyDescent="0.45"/>
    <row r="348" customFormat="1" x14ac:dyDescent="0.45"/>
    <row r="349" customFormat="1" x14ac:dyDescent="0.45"/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375"/>
  <sheetViews>
    <sheetView tabSelected="1" zoomScale="70" zoomScaleNormal="70" workbookViewId="0">
      <selection activeCell="B311" sqref="B311:C375"/>
    </sheetView>
  </sheetViews>
  <sheetFormatPr defaultColWidth="3" defaultRowHeight="36.6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7" bestFit="1" customWidth="1"/>
    <col min="10" max="10" width="22.5" style="26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3" width="3" style="1" customWidth="1"/>
    <col min="24" max="16384" width="3" style="1"/>
  </cols>
  <sheetData>
    <row r="1" spans="1:16" ht="36.6" customHeight="1" x14ac:dyDescent="0.45">
      <c r="A1" s="83" t="s">
        <v>37</v>
      </c>
      <c r="B1" s="84"/>
      <c r="C1" s="84"/>
      <c r="D1" s="84"/>
      <c r="E1" s="85"/>
      <c r="F1" s="85"/>
      <c r="G1" s="85"/>
      <c r="H1" s="85"/>
      <c r="I1" s="86"/>
      <c r="J1" s="87"/>
      <c r="K1" s="84"/>
      <c r="L1" s="84"/>
      <c r="M1" s="84"/>
      <c r="N1" s="84"/>
      <c r="O1" s="84"/>
      <c r="P1" s="84"/>
    </row>
    <row r="2" spans="1:16" ht="36.6" customHeight="1" x14ac:dyDescent="0.45">
      <c r="A2" s="84"/>
      <c r="B2" s="84"/>
      <c r="C2" s="84"/>
      <c r="D2" s="84"/>
      <c r="E2" s="85"/>
      <c r="F2" s="85"/>
      <c r="G2" s="85"/>
      <c r="H2" s="85"/>
      <c r="I2" s="86"/>
      <c r="J2" s="87"/>
      <c r="K2" s="84"/>
      <c r="L2" s="84"/>
      <c r="M2" s="84"/>
      <c r="N2" s="84"/>
      <c r="O2" s="84"/>
      <c r="P2" s="84"/>
    </row>
    <row r="3" spans="1:16" ht="36.6" customHeight="1" x14ac:dyDescent="0.45">
      <c r="B3" s="4"/>
      <c r="C3" s="4"/>
      <c r="D3" s="4"/>
      <c r="E3" s="49"/>
      <c r="F3" s="49"/>
      <c r="G3" s="49"/>
      <c r="H3" s="49"/>
      <c r="I3" s="36"/>
      <c r="N3" s="88" t="str">
        <f>YEAR(Kintoneデータ抽出!N1)&amp;"年"&amp;MONTH(Kintoneデータ抽出!N1)&amp;"月"</f>
        <v>1900年1月</v>
      </c>
      <c r="O3" s="84"/>
      <c r="P3" s="22"/>
    </row>
    <row r="4" spans="1:16" ht="36.6" customHeight="1" x14ac:dyDescent="0.45">
      <c r="F4" s="59" t="s">
        <v>38</v>
      </c>
      <c r="G4" s="60"/>
      <c r="H4" s="60"/>
      <c r="I4" s="61"/>
      <c r="J4" s="65">
        <f>'地図版 '!N6</f>
        <v>0</v>
      </c>
      <c r="K4" s="60"/>
      <c r="L4" s="32" t="s">
        <v>39</v>
      </c>
    </row>
    <row r="5" spans="1:16" ht="36.6" customHeight="1" x14ac:dyDescent="0.45">
      <c r="F5" s="62" t="s">
        <v>40</v>
      </c>
      <c r="G5" s="63"/>
      <c r="H5" s="63"/>
      <c r="I5" s="64"/>
      <c r="J5" s="66">
        <f>'地図版 '!N4</f>
        <v>0</v>
      </c>
      <c r="K5" s="63"/>
      <c r="L5" s="33" t="s">
        <v>39</v>
      </c>
    </row>
    <row r="6" spans="1:16" ht="36.6" customHeight="1" x14ac:dyDescent="0.45">
      <c r="F6" s="59" t="s">
        <v>41</v>
      </c>
      <c r="G6" s="60"/>
      <c r="H6" s="60"/>
      <c r="I6" s="61"/>
      <c r="J6" s="65">
        <f>'地図版 '!N5</f>
        <v>0</v>
      </c>
      <c r="K6" s="60"/>
      <c r="L6" s="32" t="s">
        <v>39</v>
      </c>
    </row>
    <row r="7" spans="1:16" ht="36.6" customHeight="1" x14ac:dyDescent="0.45">
      <c r="F7" s="59" t="s">
        <v>42</v>
      </c>
      <c r="G7" s="60"/>
      <c r="H7" s="60"/>
      <c r="I7" s="61"/>
      <c r="J7" s="65">
        <f>'地図版 '!N3</f>
        <v>0</v>
      </c>
      <c r="K7" s="60"/>
      <c r="L7" s="32" t="s">
        <v>39</v>
      </c>
    </row>
    <row r="8" spans="1:16" ht="36.6" customHeight="1" x14ac:dyDescent="0.45">
      <c r="F8" s="62" t="s">
        <v>43</v>
      </c>
      <c r="G8" s="63"/>
      <c r="H8" s="63"/>
      <c r="I8" s="64"/>
      <c r="J8" s="66">
        <f>'地図版 '!N8</f>
        <v>0</v>
      </c>
      <c r="K8" s="63"/>
      <c r="L8" s="33" t="s">
        <v>39</v>
      </c>
    </row>
    <row r="10" spans="1:16" ht="36.6" customHeight="1" x14ac:dyDescent="0.45">
      <c r="B10" s="77"/>
      <c r="C10" s="69"/>
      <c r="D10" s="77" t="s">
        <v>44</v>
      </c>
      <c r="E10" s="69"/>
      <c r="F10" s="69"/>
      <c r="G10" s="69"/>
      <c r="H10" s="69"/>
      <c r="I10" s="69"/>
      <c r="K10" s="72" t="s">
        <v>45</v>
      </c>
      <c r="L10" s="72">
        <f>J4</f>
        <v>0</v>
      </c>
      <c r="M10" s="30" t="s">
        <v>39</v>
      </c>
    </row>
    <row r="11" spans="1:16" ht="36.6" customHeight="1" x14ac:dyDescent="0.45">
      <c r="B11" s="78"/>
      <c r="C11" s="79"/>
      <c r="D11" s="29" t="s">
        <v>46</v>
      </c>
      <c r="E11" s="29" t="s">
        <v>47</v>
      </c>
      <c r="F11" s="29" t="s">
        <v>1</v>
      </c>
      <c r="G11" s="29" t="s">
        <v>0</v>
      </c>
      <c r="H11" s="29" t="s">
        <v>48</v>
      </c>
      <c r="I11" s="34" t="s">
        <v>2</v>
      </c>
      <c r="J11" s="89" t="s">
        <v>49</v>
      </c>
      <c r="K11" s="90"/>
      <c r="L11" s="90"/>
      <c r="M11" s="90"/>
      <c r="N11" s="29"/>
      <c r="O11" s="31"/>
    </row>
    <row r="12" spans="1:16" ht="36.6" customHeight="1" x14ac:dyDescent="0.45">
      <c r="B12" s="147" t="s">
        <v>50</v>
      </c>
      <c r="C12" s="148"/>
      <c r="D12" s="70" t="str">
        <f>IF(G12&lt;&gt;"",1,"")</f>
        <v/>
      </c>
      <c r="E12" s="37" t="str">
        <f t="array" ref="E12">IFERROR(INDEX(Kintoneデータ抽出!A:A, _xlfn.AGGREGATE(15, 6, ROW(Kintoneデータ抽出!$K$2:$K$5000) / ((Kintoneデータ抽出!$K$2:$K$5000="小規模")), ROW(A1))), "")</f>
        <v/>
      </c>
      <c r="F12" s="39" t="str">
        <f t="array" ref="F12">IFERROR(INDEX(Kintoneデータ抽出!D:D, _xlfn.AGGREGATE(15, 6, ROW(Kintoneデータ抽出!$K$2:$K$5000) / ((Kintoneデータ抽出!$K$2:$K$5000="小規模")), ROW(A1))), "")</f>
        <v/>
      </c>
      <c r="G12" s="39" t="str">
        <f t="array" ref="G12">IFERROR(INDEX(Kintoneデータ抽出!C:C, _xlfn.AGGREGATE(15, 6, ROW(Kintoneデータ抽出!$K$2:$K$5000) / ((Kintoneデータ抽出!$K$2:$K$5000="小規模")), ROW(A1))), "")</f>
        <v/>
      </c>
      <c r="H12" s="39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8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9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7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7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7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7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40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6.6" customHeight="1" x14ac:dyDescent="0.45">
      <c r="B13" s="133"/>
      <c r="C13" s="134"/>
      <c r="D13" s="67" t="str">
        <f t="shared" ref="D13:D37" si="0">IF(G13&lt;&gt;"",D12+1,D12)</f>
        <v/>
      </c>
      <c r="E13" s="41" t="str">
        <f t="array" ref="E13">IFERROR(INDEX(Kintoneデータ抽出!A:A, _xlfn.AGGREGATE(15, 6, ROW(Kintoneデータ抽出!$K$2:$K$5000) / ((Kintoneデータ抽出!$K$2:$K$5000="小規模")), ROW(A2))), "")</f>
        <v/>
      </c>
      <c r="F13" s="43" t="str">
        <f t="array" ref="F13">IFERROR(INDEX(Kintoneデータ抽出!D:D, _xlfn.AGGREGATE(15, 6, ROW(Kintoneデータ抽出!$K$2:$K$5000) / ((Kintoneデータ抽出!$K$2:$K$5000="小規模")), ROW(A2))), "")</f>
        <v/>
      </c>
      <c r="G13" s="43" t="str">
        <f t="array" ref="G13">IFERROR(INDEX(Kintoneデータ抽出!C:C, _xlfn.AGGREGATE(15, 6, ROW(Kintoneデータ抽出!$K$2:$K$5000) / ((Kintoneデータ抽出!$K$2:$K$5000="小規模")), ROW(A2))), "")</f>
        <v/>
      </c>
      <c r="H13" s="43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2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3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1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1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1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1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4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6.6" customHeight="1" x14ac:dyDescent="0.45">
      <c r="B14" s="133"/>
      <c r="C14" s="134"/>
      <c r="D14" s="67" t="str">
        <f t="shared" si="0"/>
        <v/>
      </c>
      <c r="E14" s="41" t="str">
        <f t="array" ref="E14">IFERROR(INDEX(Kintoneデータ抽出!A:A, _xlfn.AGGREGATE(15, 6, ROW(Kintoneデータ抽出!$K$2:$K$5000) / ((Kintoneデータ抽出!$K$2:$K$5000="小規模")), ROW(A3))), "")</f>
        <v/>
      </c>
      <c r="F14" s="43" t="str">
        <f t="array" ref="F14">IFERROR(INDEX(Kintoneデータ抽出!D:D, _xlfn.AGGREGATE(15, 6, ROW(Kintoneデータ抽出!$K$2:$K$5000) / ((Kintoneデータ抽出!$K$2:$K$5000="小規模")), ROW(A3))), "")</f>
        <v/>
      </c>
      <c r="G14" s="43" t="str">
        <f t="array" ref="G14">IFERROR(INDEX(Kintoneデータ抽出!C:C, _xlfn.AGGREGATE(15, 6, ROW(Kintoneデータ抽出!$K$2:$K$5000) / ((Kintoneデータ抽出!$K$2:$K$5000="小規模")), ROW(A3))), "")</f>
        <v/>
      </c>
      <c r="H14" s="43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2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3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1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1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1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1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4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6.6" customHeight="1" x14ac:dyDescent="0.45">
      <c r="B15" s="133"/>
      <c r="C15" s="134"/>
      <c r="D15" s="67" t="str">
        <f t="shared" si="0"/>
        <v/>
      </c>
      <c r="E15" s="41" t="str">
        <f t="array" ref="E15">IFERROR(INDEX(Kintoneデータ抽出!A:A, _xlfn.AGGREGATE(15, 6, ROW(Kintoneデータ抽出!$K$2:$K$5000) / ((Kintoneデータ抽出!$K$2:$K$5000="小規模")), ROW(A4))), "")</f>
        <v/>
      </c>
      <c r="F15" s="43" t="str">
        <f t="array" ref="F15">IFERROR(INDEX(Kintoneデータ抽出!D:D, _xlfn.AGGREGATE(15, 6, ROW(Kintoneデータ抽出!$K$2:$K$5000) / ((Kintoneデータ抽出!$K$2:$K$5000="小規模")), ROW(A4))), "")</f>
        <v/>
      </c>
      <c r="G15" s="43" t="str">
        <f t="array" ref="G15">IFERROR(INDEX(Kintoneデータ抽出!C:C, _xlfn.AGGREGATE(15, 6, ROW(Kintoneデータ抽出!$K$2:$K$5000) / ((Kintoneデータ抽出!$K$2:$K$5000="小規模")), ROW(A4))), "")</f>
        <v/>
      </c>
      <c r="H15" s="43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2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3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1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1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1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1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4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6.6" customHeight="1" x14ac:dyDescent="0.45">
      <c r="B16" s="135"/>
      <c r="C16" s="136"/>
      <c r="D16" s="67" t="str">
        <f t="shared" si="0"/>
        <v/>
      </c>
      <c r="E16" s="41" t="str">
        <f t="array" ref="E16">IFERROR(INDEX(Kintoneデータ抽出!A:A, _xlfn.AGGREGATE(15, 6, ROW(Kintoneデータ抽出!$K$2:$K$5000) / ((Kintoneデータ抽出!$K$2:$K$5000="小規模")), ROW(A5))), "")</f>
        <v/>
      </c>
      <c r="F16" s="43" t="str">
        <f t="array" ref="F16">IFERROR(INDEX(Kintoneデータ抽出!D:D, _xlfn.AGGREGATE(15, 6, ROW(Kintoneデータ抽出!$K$2:$K$5000) / ((Kintoneデータ抽出!$K$2:$K$5000="小規模")), ROW(A5))), "")</f>
        <v/>
      </c>
      <c r="G16" s="43" t="str">
        <f t="array" ref="G16">IFERROR(INDEX(Kintoneデータ抽出!C:C, _xlfn.AGGREGATE(15, 6, ROW(Kintoneデータ抽出!$K$2:$K$5000) / ((Kintoneデータ抽出!$K$2:$K$5000="小規模")), ROW(A5))), "")</f>
        <v/>
      </c>
      <c r="H16" s="43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2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3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1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1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1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1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4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6.6" customHeight="1" x14ac:dyDescent="0.45">
      <c r="B17" s="149" t="s">
        <v>51</v>
      </c>
      <c r="C17" s="150"/>
      <c r="D17" s="67" t="str">
        <f t="shared" si="0"/>
        <v/>
      </c>
      <c r="E17" s="41" t="str">
        <f t="array" ref="E17">IFERROR(INDEX(Kintoneデータ抽出!A:A, _xlfn.AGGREGATE(15, 6, ROW(Kintoneデータ抽出!$K$2:$K$5000) / ((Kintoneデータ抽出!$K$2:$K$5000="小規模")), ROW(A6))), "")</f>
        <v/>
      </c>
      <c r="F17" s="43" t="str">
        <f t="array" ref="F17">IFERROR(INDEX(Kintoneデータ抽出!D:D, _xlfn.AGGREGATE(15, 6, ROW(Kintoneデータ抽出!$K$2:$K$5000) / ((Kintoneデータ抽出!$K$2:$K$5000="小規模")), ROW(A6))), "")</f>
        <v/>
      </c>
      <c r="G17" s="43" t="str">
        <f t="array" ref="G17">IFERROR(INDEX(Kintoneデータ抽出!C:C, _xlfn.AGGREGATE(15, 6, ROW(Kintoneデータ抽出!$K$2:$K$5000) / ((Kintoneデータ抽出!$K$2:$K$5000="小規模")), ROW(A6))), "")</f>
        <v/>
      </c>
      <c r="H17" s="43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2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3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1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1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1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1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4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6.6" customHeight="1" x14ac:dyDescent="0.45">
      <c r="B18" s="151" t="s">
        <v>52</v>
      </c>
      <c r="C18" s="152"/>
      <c r="D18" s="67" t="str">
        <f t="shared" si="0"/>
        <v/>
      </c>
      <c r="E18" s="41" t="str">
        <f t="array" ref="E18">IFERROR(INDEX(Kintoneデータ抽出!A:A, _xlfn.AGGREGATE(15, 6, ROW(Kintoneデータ抽出!$K$2:$K$5000) / ((Kintoneデータ抽出!$K$2:$K$5000="小規模")), ROW(A7))), "")</f>
        <v/>
      </c>
      <c r="F18" s="43" t="str">
        <f t="array" ref="F18">IFERROR(INDEX(Kintoneデータ抽出!D:D, _xlfn.AGGREGATE(15, 6, ROW(Kintoneデータ抽出!$K$2:$K$5000) / ((Kintoneデータ抽出!$K$2:$K$5000="小規模")), ROW(A7))), "")</f>
        <v/>
      </c>
      <c r="G18" s="43" t="str">
        <f t="array" ref="G18">IFERROR(INDEX(Kintoneデータ抽出!C:C, _xlfn.AGGREGATE(15, 6, ROW(Kintoneデータ抽出!$K$2:$K$5000) / ((Kintoneデータ抽出!$K$2:$K$5000="小規模")), ROW(A7))), "")</f>
        <v/>
      </c>
      <c r="H18" s="43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2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3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1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1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1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1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4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6.6" customHeight="1" x14ac:dyDescent="0.45">
      <c r="B19" s="133"/>
      <c r="C19" s="134"/>
      <c r="D19" s="67" t="str">
        <f t="shared" si="0"/>
        <v/>
      </c>
      <c r="E19" s="41" t="str">
        <f t="array" ref="E19">IFERROR(INDEX(Kintoneデータ抽出!A:A, _xlfn.AGGREGATE(15, 6, ROW(Kintoneデータ抽出!$K$2:$K$5000) / ((Kintoneデータ抽出!$K$2:$K$5000="小規模")), ROW(A8))), "")</f>
        <v/>
      </c>
      <c r="F19" s="43" t="str">
        <f t="array" ref="F19">IFERROR(INDEX(Kintoneデータ抽出!D:D, _xlfn.AGGREGATE(15, 6, ROW(Kintoneデータ抽出!$K$2:$K$5000) / ((Kintoneデータ抽出!$K$2:$K$5000="小規模")), ROW(A8))), "")</f>
        <v/>
      </c>
      <c r="G19" s="43" t="str">
        <f t="array" ref="G19">IFERROR(INDEX(Kintoneデータ抽出!C:C, _xlfn.AGGREGATE(15, 6, ROW(Kintoneデータ抽出!$K$2:$K$5000) / ((Kintoneデータ抽出!$K$2:$K$5000="小規模")), ROW(A8))), "")</f>
        <v/>
      </c>
      <c r="H19" s="43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2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3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1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1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1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1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4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6.6" customHeight="1" x14ac:dyDescent="0.45">
      <c r="B20" s="135"/>
      <c r="C20" s="136"/>
      <c r="D20" s="67" t="str">
        <f t="shared" si="0"/>
        <v/>
      </c>
      <c r="E20" s="41" t="str">
        <f t="array" ref="E20">IFERROR(INDEX(Kintoneデータ抽出!A:A, _xlfn.AGGREGATE(15, 6, ROW(Kintoneデータ抽出!$K$2:$K$5000) / ((Kintoneデータ抽出!$K$2:$K$5000="小規模")), ROW(A9))), "")</f>
        <v/>
      </c>
      <c r="F20" s="43" t="str">
        <f t="array" ref="F20">IFERROR(INDEX(Kintoneデータ抽出!D:D, _xlfn.AGGREGATE(15, 6, ROW(Kintoneデータ抽出!$K$2:$K$5000) / ((Kintoneデータ抽出!$K$2:$K$5000="小規模")), ROW(A9))), "")</f>
        <v/>
      </c>
      <c r="G20" s="43" t="str">
        <f t="array" ref="G20">IFERROR(INDEX(Kintoneデータ抽出!C:C, _xlfn.AGGREGATE(15, 6, ROW(Kintoneデータ抽出!$K$2:$K$5000) / ((Kintoneデータ抽出!$K$2:$K$5000="小規模")), ROW(A9))), "")</f>
        <v/>
      </c>
      <c r="H20" s="43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2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3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1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1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1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1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4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6.6" customHeight="1" x14ac:dyDescent="0.45">
      <c r="B21" s="151" t="s">
        <v>51</v>
      </c>
      <c r="C21" s="152"/>
      <c r="D21" s="67" t="str">
        <f t="shared" si="0"/>
        <v/>
      </c>
      <c r="E21" s="41" t="str">
        <f t="array" ref="E21">IFERROR(INDEX(Kintoneデータ抽出!A:A, _xlfn.AGGREGATE(15, 6, ROW(Kintoneデータ抽出!$K$2:$K$5000) / ((Kintoneデータ抽出!$K$2:$K$5000="認可")), ROW(A1))), "")</f>
        <v/>
      </c>
      <c r="F21" s="43" t="str">
        <f t="array" ref="F21">IFERROR(INDEX(Kintoneデータ抽出!D:D, _xlfn.AGGREGATE(15, 6, ROW(Kintoneデータ抽出!$K$2:$K$5000) / ((Kintoneデータ抽出!$K$2:$K$5000="認可")), ROW(A1))), "")</f>
        <v/>
      </c>
      <c r="G21" s="43" t="str">
        <f t="array" ref="G21">IFERROR(INDEX(Kintoneデータ抽出!C:C, _xlfn.AGGREGATE(15, 6, ROW(Kintoneデータ抽出!$K$2:$K$5000) / ((Kintoneデータ抽出!$K$2:$K$5000="認可")), ROW(A1))), "")</f>
        <v/>
      </c>
      <c r="H21" s="43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2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3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1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1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1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1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4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6.6" customHeight="1" x14ac:dyDescent="0.45">
      <c r="B22" s="133"/>
      <c r="C22" s="134"/>
      <c r="D22" s="67" t="str">
        <f t="shared" si="0"/>
        <v/>
      </c>
      <c r="E22" s="41" t="str">
        <f t="array" ref="E22">IFERROR(INDEX(Kintoneデータ抽出!A:A, _xlfn.AGGREGATE(15, 6, ROW(Kintoneデータ抽出!$K$2:$K$5000) / ((Kintoneデータ抽出!$K$2:$K$5000="認可")), ROW(A2))), "")</f>
        <v/>
      </c>
      <c r="F22" s="43" t="str">
        <f t="array" ref="F22">IFERROR(INDEX(Kintoneデータ抽出!D:D, _xlfn.AGGREGATE(15, 6, ROW(Kintoneデータ抽出!$K$2:$K$5000) / ((Kintoneデータ抽出!$K$2:$K$5000="認可")), ROW(A2))), "")</f>
        <v/>
      </c>
      <c r="G22" s="43" t="str">
        <f t="array" ref="G22">IFERROR(INDEX(Kintoneデータ抽出!C:C, _xlfn.AGGREGATE(15, 6, ROW(Kintoneデータ抽出!$K$2:$K$5000) / ((Kintoneデータ抽出!$K$2:$K$5000="認可")), ROW(A2))), "")</f>
        <v/>
      </c>
      <c r="H22" s="43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2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3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1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1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1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1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4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6.6" customHeight="1" x14ac:dyDescent="0.45">
      <c r="B23" s="133"/>
      <c r="C23" s="134"/>
      <c r="D23" s="67" t="str">
        <f t="shared" si="0"/>
        <v/>
      </c>
      <c r="E23" s="41" t="str">
        <f t="array" ref="E23">IFERROR(INDEX(Kintoneデータ抽出!A:A, _xlfn.AGGREGATE(15, 6, ROW(Kintoneデータ抽出!$K$2:$K$5000) / ((Kintoneデータ抽出!$K$2:$K$5000="認可")), ROW(A3))), "")</f>
        <v/>
      </c>
      <c r="F23" s="43" t="str">
        <f t="array" ref="F23">IFERROR(INDEX(Kintoneデータ抽出!D:D, _xlfn.AGGREGATE(15, 6, ROW(Kintoneデータ抽出!$K$2:$K$5000) / ((Kintoneデータ抽出!$K$2:$K$5000="認可")), ROW(A3))), "")</f>
        <v/>
      </c>
      <c r="G23" s="43" t="str">
        <f t="array" ref="G23">IFERROR(INDEX(Kintoneデータ抽出!C:C, _xlfn.AGGREGATE(15, 6, ROW(Kintoneデータ抽出!$K$2:$K$5000) / ((Kintoneデータ抽出!$K$2:$K$5000="認可")), ROW(A3))), "")</f>
        <v/>
      </c>
      <c r="H23" s="43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2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3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1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1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1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1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4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6.6" customHeight="1" x14ac:dyDescent="0.45">
      <c r="B24" s="133"/>
      <c r="C24" s="134"/>
      <c r="D24" s="67" t="str">
        <f t="shared" si="0"/>
        <v/>
      </c>
      <c r="E24" s="41" t="str">
        <f t="array" ref="E24">IFERROR(INDEX(Kintoneデータ抽出!A:A, _xlfn.AGGREGATE(15, 6, ROW(Kintoneデータ抽出!$K$2:$K$5000) / ((Kintoneデータ抽出!$K$2:$K$5000="認可")), ROW(A4))), "")</f>
        <v/>
      </c>
      <c r="F24" s="43" t="str">
        <f t="array" ref="F24">IFERROR(INDEX(Kintoneデータ抽出!D:D, _xlfn.AGGREGATE(15, 6, ROW(Kintoneデータ抽出!$K$2:$K$5000) / ((Kintoneデータ抽出!$K$2:$K$5000="認可")), ROW(A4))), "")</f>
        <v/>
      </c>
      <c r="G24" s="43" t="str">
        <f t="array" ref="G24">IFERROR(INDEX(Kintoneデータ抽出!C:C, _xlfn.AGGREGATE(15, 6, ROW(Kintoneデータ抽出!$K$2:$K$5000) / ((Kintoneデータ抽出!$K$2:$K$5000="認可")), ROW(A4))), "")</f>
        <v/>
      </c>
      <c r="H24" s="43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2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3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1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1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1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1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4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6.6" customHeight="1" x14ac:dyDescent="0.45">
      <c r="B25" s="133"/>
      <c r="C25" s="134"/>
      <c r="D25" s="67" t="str">
        <f t="shared" si="0"/>
        <v/>
      </c>
      <c r="E25" s="41" t="str">
        <f t="array" ref="E25">IFERROR(INDEX(Kintoneデータ抽出!A:A, _xlfn.AGGREGATE(15, 6, ROW(Kintoneデータ抽出!$K$2:$K$5000) / ((Kintoneデータ抽出!$K$2:$K$5000="認可")), ROW(A5))), "")</f>
        <v/>
      </c>
      <c r="F25" s="43" t="str">
        <f t="array" ref="F25">IFERROR(INDEX(Kintoneデータ抽出!D:D, _xlfn.AGGREGATE(15, 6, ROW(Kintoneデータ抽出!$K$2:$K$5000) / ((Kintoneデータ抽出!$K$2:$K$5000="認可")), ROW(A5))), "")</f>
        <v/>
      </c>
      <c r="G25" s="43" t="str">
        <f t="array" ref="G25">IFERROR(INDEX(Kintoneデータ抽出!C:C, _xlfn.AGGREGATE(15, 6, ROW(Kintoneデータ抽出!$K$2:$K$5000) / ((Kintoneデータ抽出!$K$2:$K$5000="認可")), ROW(A5))), "")</f>
        <v/>
      </c>
      <c r="H25" s="43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2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3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1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1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1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1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4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6.6" customHeight="1" x14ac:dyDescent="0.45">
      <c r="B26" s="133"/>
      <c r="C26" s="134"/>
      <c r="D26" s="67" t="str">
        <f t="shared" si="0"/>
        <v/>
      </c>
      <c r="E26" s="41" t="str">
        <f t="array" ref="E26">IFERROR(INDEX(Kintoneデータ抽出!A:A, _xlfn.AGGREGATE(15, 6, ROW(Kintoneデータ抽出!$K$2:$K$5000) / ((Kintoneデータ抽出!$K$2:$K$5000="認可")), ROW(A6))), "")</f>
        <v/>
      </c>
      <c r="F26" s="43" t="str">
        <f t="array" ref="F26">IFERROR(INDEX(Kintoneデータ抽出!D:D, _xlfn.AGGREGATE(15, 6, ROW(Kintoneデータ抽出!$K$2:$K$5000) / ((Kintoneデータ抽出!$K$2:$K$5000="認可")), ROW(A6))), "")</f>
        <v/>
      </c>
      <c r="G26" s="43" t="str">
        <f t="array" ref="G26">IFERROR(INDEX(Kintoneデータ抽出!C:C, _xlfn.AGGREGATE(15, 6, ROW(Kintoneデータ抽出!$K$2:$K$5000) / ((Kintoneデータ抽出!$K$2:$K$5000="認可")), ROW(A6))), "")</f>
        <v/>
      </c>
      <c r="H26" s="43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2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3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1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1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1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1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4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6.6" customHeight="1" x14ac:dyDescent="0.45">
      <c r="B27" s="133"/>
      <c r="C27" s="134"/>
      <c r="D27" s="67" t="str">
        <f t="shared" si="0"/>
        <v/>
      </c>
      <c r="E27" s="41" t="str">
        <f t="array" ref="E27">IFERROR(INDEX(Kintoneデータ抽出!A:A, _xlfn.AGGREGATE(15, 6, ROW(Kintoneデータ抽出!$K$2:$K$5000) / ((Kintoneデータ抽出!$K$2:$K$5000="認可")), ROW(A7))), "")</f>
        <v/>
      </c>
      <c r="F27" s="43" t="str">
        <f t="array" ref="F27">IFERROR(INDEX(Kintoneデータ抽出!D:D, _xlfn.AGGREGATE(15, 6, ROW(Kintoneデータ抽出!$K$2:$K$5000) / ((Kintoneデータ抽出!$K$2:$K$5000="認可")), ROW(A7))), "")</f>
        <v/>
      </c>
      <c r="G27" s="43" t="str">
        <f t="array" ref="G27">IFERROR(INDEX(Kintoneデータ抽出!C:C, _xlfn.AGGREGATE(15, 6, ROW(Kintoneデータ抽出!$K$2:$K$5000) / ((Kintoneデータ抽出!$K$2:$K$5000="認可")), ROW(A7))), "")</f>
        <v/>
      </c>
      <c r="H27" s="43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2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3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1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1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1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1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4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6.6" customHeight="1" x14ac:dyDescent="0.45">
      <c r="B28" s="133"/>
      <c r="C28" s="134"/>
      <c r="D28" s="67" t="str">
        <f t="shared" si="0"/>
        <v/>
      </c>
      <c r="E28" s="41" t="str">
        <f t="array" ref="E28">IFERROR(INDEX(Kintoneデータ抽出!A:A, _xlfn.AGGREGATE(15, 6, ROW(Kintoneデータ抽出!$K$2:$K$5000) / ((Kintoneデータ抽出!$K$2:$K$5000="認可")), ROW(A8))), "")</f>
        <v/>
      </c>
      <c r="F28" s="43" t="str">
        <f t="array" ref="F28">IFERROR(INDEX(Kintoneデータ抽出!D:D, _xlfn.AGGREGATE(15, 6, ROW(Kintoneデータ抽出!$K$2:$K$5000) / ((Kintoneデータ抽出!$K$2:$K$5000="認可")), ROW(A8))), "")</f>
        <v/>
      </c>
      <c r="G28" s="43" t="str">
        <f t="array" ref="G28">IFERROR(INDEX(Kintoneデータ抽出!C:C, _xlfn.AGGREGATE(15, 6, ROW(Kintoneデータ抽出!$K$2:$K$5000) / ((Kintoneデータ抽出!$K$2:$K$5000="認可")), ROW(A8))), "")</f>
        <v/>
      </c>
      <c r="H28" s="43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2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3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1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1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1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1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4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6.6" customHeight="1" x14ac:dyDescent="0.45">
      <c r="B29" s="133"/>
      <c r="C29" s="134"/>
      <c r="D29" s="67" t="str">
        <f t="shared" si="0"/>
        <v/>
      </c>
      <c r="E29" s="41" t="str">
        <f t="array" ref="E29">IFERROR(INDEX(Kintoneデータ抽出!A:A, _xlfn.AGGREGATE(15, 6, ROW(Kintoneデータ抽出!$K$2:$K$5000) / ((Kintoneデータ抽出!$K$2:$K$5000="認可")), ROW(A9))), "")</f>
        <v/>
      </c>
      <c r="F29" s="43" t="str">
        <f t="array" ref="F29">IFERROR(INDEX(Kintoneデータ抽出!D:D, _xlfn.AGGREGATE(15, 6, ROW(Kintoneデータ抽出!$K$2:$K$5000) / ((Kintoneデータ抽出!$K$2:$K$5000="認可")), ROW(A9))), "")</f>
        <v/>
      </c>
      <c r="G29" s="43" t="str">
        <f t="array" ref="G29">IFERROR(INDEX(Kintoneデータ抽出!C:C, _xlfn.AGGREGATE(15, 6, ROW(Kintoneデータ抽出!$K$2:$K$5000) / ((Kintoneデータ抽出!$K$2:$K$5000="認可")), ROW(A9))), "")</f>
        <v/>
      </c>
      <c r="H29" s="43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2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3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1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1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1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1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4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6.6" customHeight="1" x14ac:dyDescent="0.45">
      <c r="B30" s="133"/>
      <c r="C30" s="134"/>
      <c r="D30" s="67" t="str">
        <f t="shared" si="0"/>
        <v/>
      </c>
      <c r="E30" s="41" t="str">
        <f t="array" ref="E30">IFERROR(INDEX(Kintoneデータ抽出!A:A, _xlfn.AGGREGATE(15, 6, ROW(Kintoneデータ抽出!$K$2:$K$5000) / ((Kintoneデータ抽出!$K$2:$K$5000="認可")), ROW(A10))), "")</f>
        <v/>
      </c>
      <c r="F30" s="43" t="str">
        <f t="array" ref="F30">IFERROR(INDEX(Kintoneデータ抽出!D:D, _xlfn.AGGREGATE(15, 6, ROW(Kintoneデータ抽出!$K$2:$K$5000) / ((Kintoneデータ抽出!$K$2:$K$5000="認可")), ROW(A10))), "")</f>
        <v/>
      </c>
      <c r="G30" s="43" t="str">
        <f t="array" ref="G30">IFERROR(INDEX(Kintoneデータ抽出!C:C, _xlfn.AGGREGATE(15, 6, ROW(Kintoneデータ抽出!$K$2:$K$5000) / ((Kintoneデータ抽出!$K$2:$K$5000="認可")), ROW(A10))), "")</f>
        <v/>
      </c>
      <c r="H30" s="43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2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3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1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1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1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1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4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6.6" customHeight="1" x14ac:dyDescent="0.45">
      <c r="B31" s="133"/>
      <c r="C31" s="134"/>
      <c r="D31" s="67" t="str">
        <f t="shared" si="0"/>
        <v/>
      </c>
      <c r="E31" s="41" t="str">
        <f t="array" ref="E31">IFERROR(INDEX(Kintoneデータ抽出!A:A, _xlfn.AGGREGATE(15, 6, ROW(Kintoneデータ抽出!$K$2:$K$5000) / ((Kintoneデータ抽出!$K$2:$K$5000="認可")), ROW(A11))), "")</f>
        <v/>
      </c>
      <c r="F31" s="43" t="str">
        <f t="array" ref="F31">IFERROR(INDEX(Kintoneデータ抽出!D:D, _xlfn.AGGREGATE(15, 6, ROW(Kintoneデータ抽出!$K$2:$K$5000) / ((Kintoneデータ抽出!$K$2:$K$5000="認可")), ROW(A11))), "")</f>
        <v/>
      </c>
      <c r="G31" s="43" t="str">
        <f t="array" ref="G31">IFERROR(INDEX(Kintoneデータ抽出!C:C, _xlfn.AGGREGATE(15, 6, ROW(Kintoneデータ抽出!$K$2:$K$5000) / ((Kintoneデータ抽出!$K$2:$K$5000="認可")), ROW(A11))), "")</f>
        <v/>
      </c>
      <c r="H31" s="43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2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3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1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1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1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1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4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6.6" customHeight="1" x14ac:dyDescent="0.45">
      <c r="B32" s="133"/>
      <c r="C32" s="134"/>
      <c r="D32" s="67" t="str">
        <f t="shared" si="0"/>
        <v/>
      </c>
      <c r="E32" s="41" t="str">
        <f t="array" ref="E32">IFERROR(INDEX(Kintoneデータ抽出!A:A, _xlfn.AGGREGATE(15, 6, ROW(Kintoneデータ抽出!$K$2:$K$5000) / ((Kintoneデータ抽出!$K$2:$K$5000="認可")), ROW(A12))), "")</f>
        <v/>
      </c>
      <c r="F32" s="43" t="str">
        <f t="array" ref="F32">IFERROR(INDEX(Kintoneデータ抽出!D:D, _xlfn.AGGREGATE(15, 6, ROW(Kintoneデータ抽出!$K$2:$K$5000) / ((Kintoneデータ抽出!$K$2:$K$5000="認可")), ROW(A12))), "")</f>
        <v/>
      </c>
      <c r="G32" s="43" t="str">
        <f t="array" ref="G32">IFERROR(INDEX(Kintoneデータ抽出!C:C, _xlfn.AGGREGATE(15, 6, ROW(Kintoneデータ抽出!$K$2:$K$5000) / ((Kintoneデータ抽出!$K$2:$K$5000="認可")), ROW(A12))), "")</f>
        <v/>
      </c>
      <c r="H32" s="43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2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3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1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1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1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1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4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6.6" customHeight="1" x14ac:dyDescent="0.45">
      <c r="B33" s="133"/>
      <c r="C33" s="134"/>
      <c r="D33" s="67" t="str">
        <f t="shared" si="0"/>
        <v/>
      </c>
      <c r="E33" s="41" t="str">
        <f t="array" ref="E33">IFERROR(INDEX(Kintoneデータ抽出!A:A, _xlfn.AGGREGATE(15, 6, ROW(Kintoneデータ抽出!$K$2:$K$5000) / ((Kintoneデータ抽出!$K$2:$K$5000="認可")), ROW(A13))), "")</f>
        <v/>
      </c>
      <c r="F33" s="43" t="str">
        <f t="array" ref="F33">IFERROR(INDEX(Kintoneデータ抽出!D:D, _xlfn.AGGREGATE(15, 6, ROW(Kintoneデータ抽出!$K$2:$K$5000) / ((Kintoneデータ抽出!$K$2:$K$5000="認可")), ROW(A13))), "")</f>
        <v/>
      </c>
      <c r="G33" s="43" t="str">
        <f t="array" ref="G33">IFERROR(INDEX(Kintoneデータ抽出!C:C, _xlfn.AGGREGATE(15, 6, ROW(Kintoneデータ抽出!$K$2:$K$5000) / ((Kintoneデータ抽出!$K$2:$K$5000="認可")), ROW(A13))), "")</f>
        <v/>
      </c>
      <c r="H33" s="43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2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3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1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1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1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1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4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6.6" customHeight="1" x14ac:dyDescent="0.45">
      <c r="B34" s="133"/>
      <c r="C34" s="134"/>
      <c r="D34" s="67" t="str">
        <f t="shared" si="0"/>
        <v/>
      </c>
      <c r="E34" s="41" t="str">
        <f t="array" ref="E34">IFERROR(INDEX(Kintoneデータ抽出!A:A, _xlfn.AGGREGATE(15, 6, ROW(Kintoneデータ抽出!$K$2:$K$5000) / ((Kintoneデータ抽出!$K$2:$K$5000="認可")), ROW(A14))), "")</f>
        <v/>
      </c>
      <c r="F34" s="43" t="str">
        <f t="array" ref="F34">IFERROR(INDEX(Kintoneデータ抽出!D:D, _xlfn.AGGREGATE(15, 6, ROW(Kintoneデータ抽出!$K$2:$K$5000) / ((Kintoneデータ抽出!$K$2:$K$5000="認可")), ROW(A14))), "")</f>
        <v/>
      </c>
      <c r="G34" s="43" t="str">
        <f t="array" ref="G34">IFERROR(INDEX(Kintoneデータ抽出!C:C, _xlfn.AGGREGATE(15, 6, ROW(Kintoneデータ抽出!$K$2:$K$5000) / ((Kintoneデータ抽出!$K$2:$K$5000="認可")), ROW(A14))), "")</f>
        <v/>
      </c>
      <c r="H34" s="43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2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3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1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1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1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1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4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6.6" customHeight="1" x14ac:dyDescent="0.45">
      <c r="B35" s="133"/>
      <c r="C35" s="134"/>
      <c r="D35" s="67" t="str">
        <f t="shared" si="0"/>
        <v/>
      </c>
      <c r="E35" s="41" t="str">
        <f t="array" ref="E35">IFERROR(INDEX(Kintoneデータ抽出!A:A, _xlfn.AGGREGATE(15, 6, ROW(Kintoneデータ抽出!$K$2:$K$5000) / ((Kintoneデータ抽出!$K$2:$K$5000="認可")), ROW(A15))), "")</f>
        <v/>
      </c>
      <c r="F35" s="43" t="str">
        <f t="array" ref="F35">IFERROR(INDEX(Kintoneデータ抽出!D:D, _xlfn.AGGREGATE(15, 6, ROW(Kintoneデータ抽出!$K$2:$K$5000) / ((Kintoneデータ抽出!$K$2:$K$5000="認可")), ROW(A15))), "")</f>
        <v/>
      </c>
      <c r="G35" s="43" t="str">
        <f t="array" ref="G35">IFERROR(INDEX(Kintoneデータ抽出!C:C, _xlfn.AGGREGATE(15, 6, ROW(Kintoneデータ抽出!$K$2:$K$5000) / ((Kintoneデータ抽出!$K$2:$K$5000="認可")), ROW(A15))), "")</f>
        <v/>
      </c>
      <c r="H35" s="43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2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3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1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1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1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1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4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6.6" customHeight="1" x14ac:dyDescent="0.45">
      <c r="B36" s="133"/>
      <c r="C36" s="134"/>
      <c r="D36" s="67" t="str">
        <f t="shared" si="0"/>
        <v/>
      </c>
      <c r="E36" s="41" t="str">
        <f t="array" ref="E36">IFERROR(INDEX(Kintoneデータ抽出!A:A, _xlfn.AGGREGATE(15, 6, ROW(Kintoneデータ抽出!$K$2:$K$5000) / ((Kintoneデータ抽出!$K$2:$K$5000="認可")), ROW(A16))), "")</f>
        <v/>
      </c>
      <c r="F36" s="43" t="str">
        <f t="array" ref="F36">IFERROR(INDEX(Kintoneデータ抽出!D:D, _xlfn.AGGREGATE(15, 6, ROW(Kintoneデータ抽出!$K$2:$K$5000) / ((Kintoneデータ抽出!$K$2:$K$5000="認可")), ROW(A16))), "")</f>
        <v/>
      </c>
      <c r="G36" s="43" t="str">
        <f t="array" ref="G36">IFERROR(INDEX(Kintoneデータ抽出!C:C, _xlfn.AGGREGATE(15, 6, ROW(Kintoneデータ抽出!$K$2:$K$5000) / ((Kintoneデータ抽出!$K$2:$K$5000="認可")), ROW(A16))), "")</f>
        <v/>
      </c>
      <c r="H36" s="43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2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3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1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1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1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1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4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6.6" customHeight="1" x14ac:dyDescent="0.45">
      <c r="B37" s="137"/>
      <c r="C37" s="138"/>
      <c r="D37" s="71" t="str">
        <f t="shared" si="0"/>
        <v/>
      </c>
      <c r="E37" s="45" t="str">
        <f t="array" ref="E37">IFERROR(INDEX(Kintoneデータ抽出!A:A, _xlfn.AGGREGATE(15, 6, ROW(Kintoneデータ抽出!$K$2:$K$5000) / ((Kintoneデータ抽出!$K$2:$K$5000="認可")), ROW(A17))), "")</f>
        <v/>
      </c>
      <c r="F37" s="47" t="str">
        <f t="array" ref="F37">IFERROR(INDEX(Kintoneデータ抽出!D:D, _xlfn.AGGREGATE(15, 6, ROW(Kintoneデータ抽出!$K$2:$K$5000) / ((Kintoneデータ抽出!$K$2:$K$5000="認可")), ROW(A17))), "")</f>
        <v/>
      </c>
      <c r="G37" s="47" t="str">
        <f t="array" ref="G37">IFERROR(INDEX(Kintoneデータ抽出!C:C, _xlfn.AGGREGATE(15, 6, ROW(Kintoneデータ抽出!$K$2:$K$5000) / ((Kintoneデータ抽出!$K$2:$K$5000="認可")), ROW(A17))), "")</f>
        <v/>
      </c>
      <c r="H37" s="47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6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7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5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5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5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5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8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6.6" customHeight="1" x14ac:dyDescent="0.45">
      <c r="B38" s="139"/>
      <c r="C38" s="139"/>
      <c r="D38" s="75"/>
      <c r="E38" s="75"/>
      <c r="F38" s="73"/>
      <c r="G38" s="73"/>
      <c r="H38" s="73"/>
      <c r="I38" s="74"/>
      <c r="J38" s="73"/>
      <c r="K38" s="75"/>
      <c r="L38" s="75"/>
      <c r="M38" s="75"/>
      <c r="N38" s="75"/>
      <c r="O38" s="75"/>
    </row>
    <row r="39" spans="2:15" ht="36.6" customHeight="1" x14ac:dyDescent="0.45">
      <c r="B39" s="140"/>
      <c r="C39" s="141"/>
      <c r="D39" s="77" t="s">
        <v>53</v>
      </c>
      <c r="E39" s="69"/>
      <c r="F39" s="69"/>
      <c r="G39" s="69"/>
      <c r="K39" s="72" t="s">
        <v>45</v>
      </c>
      <c r="L39" s="72">
        <f>J5</f>
        <v>0</v>
      </c>
      <c r="M39" s="30" t="s">
        <v>39</v>
      </c>
    </row>
    <row r="40" spans="2:15" ht="36.6" customHeight="1" x14ac:dyDescent="0.45">
      <c r="B40" s="78"/>
      <c r="C40" s="79"/>
      <c r="D40" s="68" t="s">
        <v>46</v>
      </c>
      <c r="E40" s="29" t="s">
        <v>47</v>
      </c>
      <c r="F40" s="29" t="s">
        <v>1</v>
      </c>
      <c r="G40" s="29" t="s">
        <v>0</v>
      </c>
      <c r="H40" s="29" t="s">
        <v>48</v>
      </c>
      <c r="I40" s="34" t="s">
        <v>2</v>
      </c>
      <c r="J40" s="89" t="s">
        <v>49</v>
      </c>
      <c r="K40" s="90"/>
      <c r="L40" s="90"/>
      <c r="M40" s="90"/>
      <c r="N40" s="29" t="s">
        <v>3</v>
      </c>
      <c r="O40" s="31" t="s">
        <v>54</v>
      </c>
    </row>
    <row r="41" spans="2:15" ht="36.6" customHeight="1" x14ac:dyDescent="0.45">
      <c r="B41" s="147" t="s">
        <v>55</v>
      </c>
      <c r="C41" s="148"/>
      <c r="D41" s="70" t="str">
        <f>IF(G41&lt;&gt;"",D37+1,D37)</f>
        <v/>
      </c>
      <c r="E41" s="37" t="str">
        <f t="array" ref="E41">IFERROR(INDEX(Kintoneデータ抽出!A:A, _xlfn.AGGREGATE(15, 6, ROW(Kintoneデータ抽出!$K$2:$K$5000) / ((Kintoneデータ抽出!$K$2:$K$5000="院内")), ROW(A1))), "")</f>
        <v/>
      </c>
      <c r="F41" s="39" t="str">
        <f t="array" ref="F41">IFERROR(INDEX(Kintoneデータ抽出!D:D, _xlfn.AGGREGATE(15, 6, ROW(Kintoneデータ抽出!$K$2:$K$5000) / ((Kintoneデータ抽出!$K$2:$K$5000="院内")), ROW(A1))), "")</f>
        <v/>
      </c>
      <c r="G41" s="39" t="str">
        <f t="array" ref="G41">IFERROR(INDEX(Kintoneデータ抽出!C:C, _xlfn.AGGREGATE(15, 6, ROW(Kintoneデータ抽出!$K$2:$K$5000) / ((Kintoneデータ抽出!$K$2:$K$5000="院内")), ROW(A1))), "")</f>
        <v/>
      </c>
      <c r="H41" s="37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8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9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7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7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7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6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40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6.6" customHeight="1" x14ac:dyDescent="0.45">
      <c r="B42" s="133"/>
      <c r="C42" s="134"/>
      <c r="D42" s="67" t="str">
        <f t="shared" ref="D42:D105" si="1">IF(G42&lt;&gt;"",D41+1,D41)</f>
        <v/>
      </c>
      <c r="E42" s="41" t="str">
        <f t="array" ref="E42">IFERROR(INDEX(Kintoneデータ抽出!A:A, _xlfn.AGGREGATE(15, 6, ROW(Kintoneデータ抽出!$K$2:$K$5000) / ((Kintoneデータ抽出!$K$2:$K$5000="院内")), ROW(A2))), "")</f>
        <v/>
      </c>
      <c r="F42" s="43" t="str">
        <f t="array" ref="F42">IFERROR(INDEX(Kintoneデータ抽出!D:D, _xlfn.AGGREGATE(15, 6, ROW(Kintoneデータ抽出!$K$2:$K$5000) / ((Kintoneデータ抽出!$K$2:$K$5000="院内")), ROW(A2))), "")</f>
        <v/>
      </c>
      <c r="G42" s="43" t="str">
        <f t="array" ref="G42">IFERROR(INDEX(Kintoneデータ抽出!C:C, _xlfn.AGGREGATE(15, 6, ROW(Kintoneデータ抽出!$K$2:$K$5000) / ((Kintoneデータ抽出!$K$2:$K$5000="院内")), ROW(A2))), "")</f>
        <v/>
      </c>
      <c r="H42" s="41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2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3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1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1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1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7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4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6.6" customHeight="1" x14ac:dyDescent="0.45">
      <c r="B43" s="133"/>
      <c r="C43" s="134"/>
      <c r="D43" s="67" t="str">
        <f t="shared" si="1"/>
        <v/>
      </c>
      <c r="E43" s="41" t="str">
        <f t="array" ref="E43">IFERROR(INDEX(Kintoneデータ抽出!A:A, _xlfn.AGGREGATE(15, 6, ROW(Kintoneデータ抽出!$K$2:$K$5000) / ((Kintoneデータ抽出!$K$2:$K$5000="院内")), ROW(A3))), "")</f>
        <v/>
      </c>
      <c r="F43" s="43" t="str">
        <f t="array" ref="F43">IFERROR(INDEX(Kintoneデータ抽出!D:D, _xlfn.AGGREGATE(15, 6, ROW(Kintoneデータ抽出!$K$2:$K$5000) / ((Kintoneデータ抽出!$K$2:$K$5000="院内")), ROW(A3))), "")</f>
        <v/>
      </c>
      <c r="G43" s="43" t="str">
        <f t="array" ref="G43">IFERROR(INDEX(Kintoneデータ抽出!C:C, _xlfn.AGGREGATE(15, 6, ROW(Kintoneデータ抽出!$K$2:$K$5000) / ((Kintoneデータ抽出!$K$2:$K$5000="院内")), ROW(A3))), "")</f>
        <v/>
      </c>
      <c r="H43" s="41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2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3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1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1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1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7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4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6.6" customHeight="1" x14ac:dyDescent="0.45">
      <c r="B44" s="133"/>
      <c r="C44" s="134"/>
      <c r="D44" s="67" t="str">
        <f t="shared" si="1"/>
        <v/>
      </c>
      <c r="E44" s="41" t="str">
        <f t="array" ref="E44">IFERROR(INDEX(Kintoneデータ抽出!A:A, _xlfn.AGGREGATE(15, 6, ROW(Kintoneデータ抽出!$K$2:$K$5000) / ((Kintoneデータ抽出!$K$2:$K$5000="院内")), ROW(A4))), "")</f>
        <v/>
      </c>
      <c r="F44" s="43" t="str">
        <f t="array" ref="F44">IFERROR(INDEX(Kintoneデータ抽出!D:D, _xlfn.AGGREGATE(15, 6, ROW(Kintoneデータ抽出!$K$2:$K$5000) / ((Kintoneデータ抽出!$K$2:$K$5000="院内")), ROW(A4))), "")</f>
        <v/>
      </c>
      <c r="G44" s="43" t="str">
        <f t="array" ref="G44">IFERROR(INDEX(Kintoneデータ抽出!C:C, _xlfn.AGGREGATE(15, 6, ROW(Kintoneデータ抽出!$K$2:$K$5000) / ((Kintoneデータ抽出!$K$2:$K$5000="院内")), ROW(A4))), "")</f>
        <v/>
      </c>
      <c r="H44" s="41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2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3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1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1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1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7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4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6.6" customHeight="1" x14ac:dyDescent="0.45">
      <c r="B45" s="133"/>
      <c r="C45" s="134"/>
      <c r="D45" s="67" t="str">
        <f t="shared" si="1"/>
        <v/>
      </c>
      <c r="E45" s="41" t="str">
        <f t="array" ref="E45">IFERROR(INDEX(Kintoneデータ抽出!A:A, _xlfn.AGGREGATE(15, 6, ROW(Kintoneデータ抽出!$K$2:$K$5000) / ((Kintoneデータ抽出!$K$2:$K$5000="院内")), ROW(A5))), "")</f>
        <v/>
      </c>
      <c r="F45" s="43" t="str">
        <f t="array" ref="F45">IFERROR(INDEX(Kintoneデータ抽出!D:D, _xlfn.AGGREGATE(15, 6, ROW(Kintoneデータ抽出!$K$2:$K$5000) / ((Kintoneデータ抽出!$K$2:$K$5000="院内")), ROW(A5))), "")</f>
        <v/>
      </c>
      <c r="G45" s="43" t="str">
        <f t="array" ref="G45">IFERROR(INDEX(Kintoneデータ抽出!C:C, _xlfn.AGGREGATE(15, 6, ROW(Kintoneデータ抽出!$K$2:$K$5000) / ((Kintoneデータ抽出!$K$2:$K$5000="院内")), ROW(A5))), "")</f>
        <v/>
      </c>
      <c r="H45" s="41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2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3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1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1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1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7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4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6.6" customHeight="1" x14ac:dyDescent="0.45">
      <c r="B46" s="133"/>
      <c r="C46" s="134"/>
      <c r="D46" s="67" t="str">
        <f t="shared" si="1"/>
        <v/>
      </c>
      <c r="E46" s="41" t="str">
        <f t="array" ref="E46">IFERROR(INDEX(Kintoneデータ抽出!A:A, _xlfn.AGGREGATE(15, 6, ROW(Kintoneデータ抽出!$K$2:$K$5000) / ((Kintoneデータ抽出!$K$2:$K$5000="院内")), ROW(A6))), "")</f>
        <v/>
      </c>
      <c r="F46" s="43" t="str">
        <f t="array" ref="F46">IFERROR(INDEX(Kintoneデータ抽出!D:D, _xlfn.AGGREGATE(15, 6, ROW(Kintoneデータ抽出!$K$2:$K$5000) / ((Kintoneデータ抽出!$K$2:$K$5000="院内")), ROW(A6))), "")</f>
        <v/>
      </c>
      <c r="G46" s="43" t="str">
        <f t="array" ref="G46">IFERROR(INDEX(Kintoneデータ抽出!C:C, _xlfn.AGGREGATE(15, 6, ROW(Kintoneデータ抽出!$K$2:$K$5000) / ((Kintoneデータ抽出!$K$2:$K$5000="院内")), ROW(A6))), "")</f>
        <v/>
      </c>
      <c r="H46" s="41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2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3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1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1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1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7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4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6.6" customHeight="1" x14ac:dyDescent="0.45">
      <c r="B47" s="133"/>
      <c r="C47" s="134"/>
      <c r="D47" s="67" t="str">
        <f t="shared" si="1"/>
        <v/>
      </c>
      <c r="E47" s="41" t="str">
        <f t="array" ref="E47">IFERROR(INDEX(Kintoneデータ抽出!A:A, _xlfn.AGGREGATE(15, 6, ROW(Kintoneデータ抽出!$K$2:$K$5000) / ((Kintoneデータ抽出!$K$2:$K$5000="院内")), ROW(A7))), "")</f>
        <v/>
      </c>
      <c r="F47" s="43" t="str">
        <f t="array" ref="F47">IFERROR(INDEX(Kintoneデータ抽出!D:D, _xlfn.AGGREGATE(15, 6, ROW(Kintoneデータ抽出!$K$2:$K$5000) / ((Kintoneデータ抽出!$K$2:$K$5000="院内")), ROW(A7))), "")</f>
        <v/>
      </c>
      <c r="G47" s="43" t="str">
        <f t="array" ref="G47">IFERROR(INDEX(Kintoneデータ抽出!C:C, _xlfn.AGGREGATE(15, 6, ROW(Kintoneデータ抽出!$K$2:$K$5000) / ((Kintoneデータ抽出!$K$2:$K$5000="院内")), ROW(A7))), "")</f>
        <v/>
      </c>
      <c r="H47" s="41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2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3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1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1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1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7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4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6.6" customHeight="1" x14ac:dyDescent="0.45">
      <c r="B48" s="133"/>
      <c r="C48" s="134"/>
      <c r="D48" s="67" t="str">
        <f t="shared" si="1"/>
        <v/>
      </c>
      <c r="E48" s="41" t="str">
        <f t="array" ref="E48">IFERROR(INDEX(Kintoneデータ抽出!A:A, _xlfn.AGGREGATE(15, 6, ROW(Kintoneデータ抽出!$K$2:$K$5000) / ((Kintoneデータ抽出!$K$2:$K$5000="院内")), ROW(A8))), "")</f>
        <v/>
      </c>
      <c r="F48" s="43" t="str">
        <f t="array" ref="F48">IFERROR(INDEX(Kintoneデータ抽出!D:D, _xlfn.AGGREGATE(15, 6, ROW(Kintoneデータ抽出!$K$2:$K$5000) / ((Kintoneデータ抽出!$K$2:$K$5000="院内")), ROW(A8))), "")</f>
        <v/>
      </c>
      <c r="G48" s="43" t="str">
        <f t="array" ref="G48">IFERROR(INDEX(Kintoneデータ抽出!C:C, _xlfn.AGGREGATE(15, 6, ROW(Kintoneデータ抽出!$K$2:$K$5000) / ((Kintoneデータ抽出!$K$2:$K$5000="院内")), ROW(A8))), "")</f>
        <v/>
      </c>
      <c r="H48" s="41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2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3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1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1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1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7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4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6.6" customHeight="1" x14ac:dyDescent="0.45">
      <c r="B49" s="133"/>
      <c r="C49" s="134"/>
      <c r="D49" s="67" t="str">
        <f t="shared" si="1"/>
        <v/>
      </c>
      <c r="E49" s="41" t="str">
        <f t="array" ref="E49">IFERROR(INDEX(Kintoneデータ抽出!A:A, _xlfn.AGGREGATE(15, 6, ROW(Kintoneデータ抽出!$K$2:$K$5000) / ((Kintoneデータ抽出!$K$2:$K$5000="院内")), ROW(A9))), "")</f>
        <v/>
      </c>
      <c r="F49" s="43" t="str">
        <f t="array" ref="F49">IFERROR(INDEX(Kintoneデータ抽出!D:D, _xlfn.AGGREGATE(15, 6, ROW(Kintoneデータ抽出!$K$2:$K$5000) / ((Kintoneデータ抽出!$K$2:$K$5000="院内")), ROW(A9))), "")</f>
        <v/>
      </c>
      <c r="G49" s="43" t="str">
        <f t="array" ref="G49">IFERROR(INDEX(Kintoneデータ抽出!C:C, _xlfn.AGGREGATE(15, 6, ROW(Kintoneデータ抽出!$K$2:$K$5000) / ((Kintoneデータ抽出!$K$2:$K$5000="院内")), ROW(A9))), "")</f>
        <v/>
      </c>
      <c r="H49" s="41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2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3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1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1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1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7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4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6.6" customHeight="1" x14ac:dyDescent="0.45">
      <c r="B50" s="142" t="s">
        <v>50</v>
      </c>
      <c r="C50" s="143"/>
      <c r="D50" s="67" t="str">
        <f t="shared" si="1"/>
        <v/>
      </c>
      <c r="E50" s="41" t="str">
        <f t="array" ref="E50">IFERROR(INDEX(Kintoneデータ抽出!A:A, _xlfn.AGGREGATE(15, 6, ROW(Kintoneデータ抽出!$K$2:$K$5000) / ((Kintoneデータ抽出!$K$2:$K$5000="院内")), ROW(A10))), "")</f>
        <v/>
      </c>
      <c r="F50" s="43" t="str">
        <f t="array" ref="F50">IFERROR(INDEX(Kintoneデータ抽出!D:D, _xlfn.AGGREGATE(15, 6, ROW(Kintoneデータ抽出!$K$2:$K$5000) / ((Kintoneデータ抽出!$K$2:$K$5000="院内")), ROW(A10))), "")</f>
        <v/>
      </c>
      <c r="G50" s="43" t="str">
        <f t="array" ref="G50">IFERROR(INDEX(Kintoneデータ抽出!C:C, _xlfn.AGGREGATE(15, 6, ROW(Kintoneデータ抽出!$K$2:$K$5000) / ((Kintoneデータ抽出!$K$2:$K$5000="院内")), ROW(A10))), "")</f>
        <v/>
      </c>
      <c r="H50" s="41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2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3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1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1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1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7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4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6.6" customHeight="1" x14ac:dyDescent="0.45">
      <c r="B51" s="142"/>
      <c r="C51" s="143"/>
      <c r="D51" s="67" t="str">
        <f t="shared" si="1"/>
        <v/>
      </c>
      <c r="E51" s="41" t="str">
        <f t="array" ref="E51">IFERROR(INDEX(Kintoneデータ抽出!A:A, _xlfn.AGGREGATE(15, 6, ROW(Kintoneデータ抽出!$K$2:$K$5000) / ((Kintoneデータ抽出!$K$2:$K$5000="院内")), ROW(A11))), "")</f>
        <v/>
      </c>
      <c r="F51" s="43" t="str">
        <f t="array" ref="F51">IFERROR(INDEX(Kintoneデータ抽出!D:D, _xlfn.AGGREGATE(15, 6, ROW(Kintoneデータ抽出!$K$2:$K$5000) / ((Kintoneデータ抽出!$K$2:$K$5000="院内")), ROW(A11))), "")</f>
        <v/>
      </c>
      <c r="G51" s="43" t="str">
        <f t="array" ref="G51">IFERROR(INDEX(Kintoneデータ抽出!C:C, _xlfn.AGGREGATE(15, 6, ROW(Kintoneデータ抽出!$K$2:$K$5000) / ((Kintoneデータ抽出!$K$2:$K$5000="院内")), ROW(A11))), "")</f>
        <v/>
      </c>
      <c r="H51" s="41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2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3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1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1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1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7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4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6.6" customHeight="1" x14ac:dyDescent="0.45">
      <c r="B52" s="142"/>
      <c r="C52" s="143"/>
      <c r="D52" s="67" t="str">
        <f t="shared" si="1"/>
        <v/>
      </c>
      <c r="E52" s="41" t="str">
        <f t="array" ref="E52">IFERROR(INDEX(Kintoneデータ抽出!A:A, _xlfn.AGGREGATE(15, 6, ROW(Kintoneデータ抽出!$K$2:$K$5000) / ((Kintoneデータ抽出!$K$2:$K$5000="院内")), ROW(A12))), "")</f>
        <v/>
      </c>
      <c r="F52" s="43" t="str">
        <f t="array" ref="F52">IFERROR(INDEX(Kintoneデータ抽出!D:D, _xlfn.AGGREGATE(15, 6, ROW(Kintoneデータ抽出!$K$2:$K$5000) / ((Kintoneデータ抽出!$K$2:$K$5000="院内")), ROW(A12))), "")</f>
        <v/>
      </c>
      <c r="G52" s="43" t="str">
        <f t="array" ref="G52">IFERROR(INDEX(Kintoneデータ抽出!C:C, _xlfn.AGGREGATE(15, 6, ROW(Kintoneデータ抽出!$K$2:$K$5000) / ((Kintoneデータ抽出!$K$2:$K$5000="院内")), ROW(A12))), "")</f>
        <v/>
      </c>
      <c r="H52" s="41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2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3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1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1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1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7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4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6.6" customHeight="1" x14ac:dyDescent="0.45">
      <c r="B53" s="142"/>
      <c r="C53" s="143"/>
      <c r="D53" s="67" t="str">
        <f t="shared" si="1"/>
        <v/>
      </c>
      <c r="E53" s="41" t="str">
        <f t="array" ref="E53">IFERROR(INDEX(Kintoneデータ抽出!A:A, _xlfn.AGGREGATE(15, 6, ROW(Kintoneデータ抽出!$K$2:$K$5000) / ((Kintoneデータ抽出!$K$2:$K$5000="院内")), ROW(A13))), "")</f>
        <v/>
      </c>
      <c r="F53" s="43" t="str">
        <f t="array" ref="F53">IFERROR(INDEX(Kintoneデータ抽出!D:D, _xlfn.AGGREGATE(15, 6, ROW(Kintoneデータ抽出!$K$2:$K$5000) / ((Kintoneデータ抽出!$K$2:$K$5000="院内")), ROW(A13))), "")</f>
        <v/>
      </c>
      <c r="G53" s="43" t="str">
        <f t="array" ref="G53">IFERROR(INDEX(Kintoneデータ抽出!C:C, _xlfn.AGGREGATE(15, 6, ROW(Kintoneデータ抽出!$K$2:$K$5000) / ((Kintoneデータ抽出!$K$2:$K$5000="院内")), ROW(A13))), "")</f>
        <v/>
      </c>
      <c r="H53" s="41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2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3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1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1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1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7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4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6.6" customHeight="1" x14ac:dyDescent="0.45">
      <c r="B54" s="142"/>
      <c r="C54" s="143"/>
      <c r="D54" s="67" t="str">
        <f t="shared" si="1"/>
        <v/>
      </c>
      <c r="E54" s="41" t="str">
        <f t="array" ref="E54">IFERROR(INDEX(Kintoneデータ抽出!A:A, _xlfn.AGGREGATE(15, 6, ROW(Kintoneデータ抽出!$K$2:$K$5000) / ((Kintoneデータ抽出!$K$2:$K$5000="院内")), ROW(A14))), "")</f>
        <v/>
      </c>
      <c r="F54" s="43" t="str">
        <f t="array" ref="F54">IFERROR(INDEX(Kintoneデータ抽出!D:D, _xlfn.AGGREGATE(15, 6, ROW(Kintoneデータ抽出!$K$2:$K$5000) / ((Kintoneデータ抽出!$K$2:$K$5000="院内")), ROW(A14))), "")</f>
        <v/>
      </c>
      <c r="G54" s="43" t="str">
        <f t="array" ref="G54">IFERROR(INDEX(Kintoneデータ抽出!C:C, _xlfn.AGGREGATE(15, 6, ROW(Kintoneデータ抽出!$K$2:$K$5000) / ((Kintoneデータ抽出!$K$2:$K$5000="院内")), ROW(A14))), "")</f>
        <v/>
      </c>
      <c r="H54" s="41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2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3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1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1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1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7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4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6.6" customHeight="1" x14ac:dyDescent="0.45">
      <c r="B55" s="142"/>
      <c r="C55" s="143"/>
      <c r="D55" s="67" t="str">
        <f t="shared" si="1"/>
        <v/>
      </c>
      <c r="E55" s="41" t="str">
        <f t="array" ref="E55">IFERROR(INDEX(Kintoneデータ抽出!A:A, _xlfn.AGGREGATE(15, 6, ROW(Kintoneデータ抽出!$K$2:$K$5000) / ((Kintoneデータ抽出!$K$2:$K$5000="院内")), ROW(A15))), "")</f>
        <v/>
      </c>
      <c r="F55" s="43" t="str">
        <f t="array" ref="F55">IFERROR(INDEX(Kintoneデータ抽出!D:D, _xlfn.AGGREGATE(15, 6, ROW(Kintoneデータ抽出!$K$2:$K$5000) / ((Kintoneデータ抽出!$K$2:$K$5000="院内")), ROW(A15))), "")</f>
        <v/>
      </c>
      <c r="G55" s="43" t="str">
        <f t="array" ref="G55">IFERROR(INDEX(Kintoneデータ抽出!C:C, _xlfn.AGGREGATE(15, 6, ROW(Kintoneデータ抽出!$K$2:$K$5000) / ((Kintoneデータ抽出!$K$2:$K$5000="院内")), ROW(A15))), "")</f>
        <v/>
      </c>
      <c r="H55" s="41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2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3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1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1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1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7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4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6.6" customHeight="1" x14ac:dyDescent="0.45">
      <c r="B56" s="142"/>
      <c r="C56" s="143"/>
      <c r="D56" s="67" t="str">
        <f t="shared" si="1"/>
        <v/>
      </c>
      <c r="E56" s="41" t="str">
        <f t="array" ref="E56">IFERROR(INDEX(Kintoneデータ抽出!A:A, _xlfn.AGGREGATE(15, 6, ROW(Kintoneデータ抽出!$K$2:$K$5000) / ((Kintoneデータ抽出!$K$2:$K$5000="院内")), ROW(A16))), "")</f>
        <v/>
      </c>
      <c r="F56" s="43" t="str">
        <f t="array" ref="F56">IFERROR(INDEX(Kintoneデータ抽出!D:D, _xlfn.AGGREGATE(15, 6, ROW(Kintoneデータ抽出!$K$2:$K$5000) / ((Kintoneデータ抽出!$K$2:$K$5000="院内")), ROW(A16))), "")</f>
        <v/>
      </c>
      <c r="G56" s="43" t="str">
        <f t="array" ref="G56">IFERROR(INDEX(Kintoneデータ抽出!C:C, _xlfn.AGGREGATE(15, 6, ROW(Kintoneデータ抽出!$K$2:$K$5000) / ((Kintoneデータ抽出!$K$2:$K$5000="院内")), ROW(A16))), "")</f>
        <v/>
      </c>
      <c r="H56" s="41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2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3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1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1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1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7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4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6.6" customHeight="1" x14ac:dyDescent="0.45">
      <c r="B57" s="142"/>
      <c r="C57" s="143"/>
      <c r="D57" s="67" t="str">
        <f t="shared" si="1"/>
        <v/>
      </c>
      <c r="E57" s="41" t="str">
        <f t="array" ref="E57">IFERROR(INDEX(Kintoneデータ抽出!A:A, _xlfn.AGGREGATE(15, 6, ROW(Kintoneデータ抽出!$K$2:$K$5000) / ((Kintoneデータ抽出!$K$2:$K$5000="院内")), ROW(A17))), "")</f>
        <v/>
      </c>
      <c r="F57" s="43" t="str">
        <f t="array" ref="F57">IFERROR(INDEX(Kintoneデータ抽出!D:D, _xlfn.AGGREGATE(15, 6, ROW(Kintoneデータ抽出!$K$2:$K$5000) / ((Kintoneデータ抽出!$K$2:$K$5000="院内")), ROW(A17))), "")</f>
        <v/>
      </c>
      <c r="G57" s="43" t="str">
        <f t="array" ref="G57">IFERROR(INDEX(Kintoneデータ抽出!C:C, _xlfn.AGGREGATE(15, 6, ROW(Kintoneデータ抽出!$K$2:$K$5000) / ((Kintoneデータ抽出!$K$2:$K$5000="院内")), ROW(A17))), "")</f>
        <v/>
      </c>
      <c r="H57" s="41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2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3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1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1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1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7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4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6.6" customHeight="1" x14ac:dyDescent="0.45">
      <c r="B58" s="142"/>
      <c r="C58" s="143"/>
      <c r="D58" s="67" t="str">
        <f t="shared" si="1"/>
        <v/>
      </c>
      <c r="E58" s="41" t="str">
        <f t="array" ref="E58">IFERROR(INDEX(Kintoneデータ抽出!A:A, _xlfn.AGGREGATE(15, 6, ROW(Kintoneデータ抽出!$K$2:$K$5000) / ((Kintoneデータ抽出!$K$2:$K$5000="院内")), ROW(A18))), "")</f>
        <v/>
      </c>
      <c r="F58" s="43" t="str">
        <f t="array" ref="F58">IFERROR(INDEX(Kintoneデータ抽出!D:D, _xlfn.AGGREGATE(15, 6, ROW(Kintoneデータ抽出!$K$2:$K$5000) / ((Kintoneデータ抽出!$K$2:$K$5000="院内")), ROW(A18))), "")</f>
        <v/>
      </c>
      <c r="G58" s="43" t="str">
        <f t="array" ref="G58">IFERROR(INDEX(Kintoneデータ抽出!C:C, _xlfn.AGGREGATE(15, 6, ROW(Kintoneデータ抽出!$K$2:$K$5000) / ((Kintoneデータ抽出!$K$2:$K$5000="院内")), ROW(A18))), "")</f>
        <v/>
      </c>
      <c r="H58" s="41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2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3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1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1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1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7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4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6.6" customHeight="1" x14ac:dyDescent="0.45">
      <c r="B59" s="142"/>
      <c r="C59" s="143"/>
      <c r="D59" s="67" t="str">
        <f t="shared" si="1"/>
        <v/>
      </c>
      <c r="E59" s="41" t="str">
        <f t="array" ref="E59">IFERROR(INDEX(Kintoneデータ抽出!A:A, _xlfn.AGGREGATE(15, 6, ROW(Kintoneデータ抽出!$K$2:$K$5000) / ((Kintoneデータ抽出!$K$2:$K$5000="院内")), ROW(A21))), "")</f>
        <v/>
      </c>
      <c r="F59" s="43" t="str">
        <f t="array" ref="F59">IFERROR(INDEX(Kintoneデータ抽出!D:D, _xlfn.AGGREGATE(15, 6, ROW(Kintoneデータ抽出!$K$2:$K$5000) / ((Kintoneデータ抽出!$K$2:$K$5000="院内")), ROW(A21))), "")</f>
        <v/>
      </c>
      <c r="G59" s="43" t="str">
        <f t="array" ref="G59">IFERROR(INDEX(Kintoneデータ抽出!C:C, _xlfn.AGGREGATE(15, 6, ROW(Kintoneデータ抽出!$K$2:$K$5000) / ((Kintoneデータ抽出!$K$2:$K$5000="院内")), ROW(A21))), "")</f>
        <v/>
      </c>
      <c r="H59" s="41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2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3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1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1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1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7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4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6.6" customHeight="1" x14ac:dyDescent="0.45">
      <c r="B60" s="142"/>
      <c r="C60" s="143"/>
      <c r="D60" s="67" t="str">
        <f t="shared" si="1"/>
        <v/>
      </c>
      <c r="E60" s="41" t="str">
        <f t="array" ref="E60">IFERROR(INDEX(Kintoneデータ抽出!A:A, _xlfn.AGGREGATE(15, 6, ROW(Kintoneデータ抽出!$K$2:$K$5000) / ((Kintoneデータ抽出!$K$2:$K$5000="院内")), ROW(A22))), "")</f>
        <v/>
      </c>
      <c r="F60" s="43" t="str">
        <f t="array" ref="F60">IFERROR(INDEX(Kintoneデータ抽出!D:D, _xlfn.AGGREGATE(15, 6, ROW(Kintoneデータ抽出!$K$2:$K$5000) / ((Kintoneデータ抽出!$K$2:$K$5000="院内")), ROW(A22))), "")</f>
        <v/>
      </c>
      <c r="G60" s="43" t="str">
        <f t="array" ref="G60">IFERROR(INDEX(Kintoneデータ抽出!C:C, _xlfn.AGGREGATE(15, 6, ROW(Kintoneデータ抽出!$K$2:$K$5000) / ((Kintoneデータ抽出!$K$2:$K$5000="院内")), ROW(A22))), "")</f>
        <v/>
      </c>
      <c r="H60" s="41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2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3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1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1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1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7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4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6.6" customHeight="1" x14ac:dyDescent="0.45">
      <c r="B61" s="142"/>
      <c r="C61" s="143"/>
      <c r="D61" s="67" t="str">
        <f t="shared" si="1"/>
        <v/>
      </c>
      <c r="E61" s="41" t="str">
        <f t="array" ref="E61">IFERROR(INDEX(Kintoneデータ抽出!A:A, _xlfn.AGGREGATE(15, 6, ROW(Kintoneデータ抽出!$K$2:$K$5000) / ((Kintoneデータ抽出!$K$2:$K$5000="院内")), ROW(A23))), "")</f>
        <v/>
      </c>
      <c r="F61" s="43" t="str">
        <f t="array" ref="F61">IFERROR(INDEX(Kintoneデータ抽出!D:D, _xlfn.AGGREGATE(15, 6, ROW(Kintoneデータ抽出!$K$2:$K$5000) / ((Kintoneデータ抽出!$K$2:$K$5000="院内")), ROW(A23))), "")</f>
        <v/>
      </c>
      <c r="G61" s="43" t="str">
        <f t="array" ref="G61">IFERROR(INDEX(Kintoneデータ抽出!C:C, _xlfn.AGGREGATE(15, 6, ROW(Kintoneデータ抽出!$K$2:$K$5000) / ((Kintoneデータ抽出!$K$2:$K$5000="院内")), ROW(A23))), "")</f>
        <v/>
      </c>
      <c r="H61" s="41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2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3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1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1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1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7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4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6.6" customHeight="1" x14ac:dyDescent="0.45">
      <c r="B62" s="142"/>
      <c r="C62" s="143"/>
      <c r="D62" s="67" t="str">
        <f t="shared" si="1"/>
        <v/>
      </c>
      <c r="E62" s="41" t="str">
        <f t="array" ref="E62">IFERROR(INDEX(Kintoneデータ抽出!A:A, _xlfn.AGGREGATE(15, 6, ROW(Kintoneデータ抽出!$K$2:$K$5000) / ((Kintoneデータ抽出!$K$2:$K$5000="院内")), ROW(A24))), "")</f>
        <v/>
      </c>
      <c r="F62" s="43" t="str">
        <f t="array" ref="F62">IFERROR(INDEX(Kintoneデータ抽出!D:D, _xlfn.AGGREGATE(15, 6, ROW(Kintoneデータ抽出!$K$2:$K$5000) / ((Kintoneデータ抽出!$K$2:$K$5000="院内")), ROW(A24))), "")</f>
        <v/>
      </c>
      <c r="G62" s="43" t="str">
        <f t="array" ref="G62">IFERROR(INDEX(Kintoneデータ抽出!C:C, _xlfn.AGGREGATE(15, 6, ROW(Kintoneデータ抽出!$K$2:$K$5000) / ((Kintoneデータ抽出!$K$2:$K$5000="院内")), ROW(A24))), "")</f>
        <v/>
      </c>
      <c r="H62" s="41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2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3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1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1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1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7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4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6.6" customHeight="1" x14ac:dyDescent="0.45">
      <c r="B63" s="142"/>
      <c r="C63" s="143"/>
      <c r="D63" s="67" t="str">
        <f t="shared" si="1"/>
        <v/>
      </c>
      <c r="E63" s="41" t="str">
        <f t="array" ref="E63">IFERROR(INDEX(Kintoneデータ抽出!A:A, _xlfn.AGGREGATE(15, 6, ROW(Kintoneデータ抽出!$K$2:$K$5000) / ((Kintoneデータ抽出!$K$2:$K$5000="院内")), ROW(A25))), "")</f>
        <v/>
      </c>
      <c r="F63" s="43" t="str">
        <f t="array" ref="F63">IFERROR(INDEX(Kintoneデータ抽出!D:D, _xlfn.AGGREGATE(15, 6, ROW(Kintoneデータ抽出!$K$2:$K$5000) / ((Kintoneデータ抽出!$K$2:$K$5000="院内")), ROW(A25))), "")</f>
        <v/>
      </c>
      <c r="G63" s="43" t="str">
        <f t="array" ref="G63">IFERROR(INDEX(Kintoneデータ抽出!C:C, _xlfn.AGGREGATE(15, 6, ROW(Kintoneデータ抽出!$K$2:$K$5000) / ((Kintoneデータ抽出!$K$2:$K$5000="院内")), ROW(A25))), "")</f>
        <v/>
      </c>
      <c r="H63" s="41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2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3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1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1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1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7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4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6.6" customHeight="1" x14ac:dyDescent="0.45">
      <c r="B64" s="142"/>
      <c r="C64" s="143"/>
      <c r="D64" s="67" t="str">
        <f t="shared" si="1"/>
        <v/>
      </c>
      <c r="E64" s="41" t="str">
        <f t="array" ref="E64">IFERROR(INDEX(Kintoneデータ抽出!A:A, _xlfn.AGGREGATE(15, 6, ROW(Kintoneデータ抽出!$K$2:$K$5000) / ((Kintoneデータ抽出!$K$2:$K$5000="院内")), ROW(A26))), "")</f>
        <v/>
      </c>
      <c r="F64" s="43" t="str">
        <f t="array" ref="F64">IFERROR(INDEX(Kintoneデータ抽出!D:D, _xlfn.AGGREGATE(15, 6, ROW(Kintoneデータ抽出!$K$2:$K$5000) / ((Kintoneデータ抽出!$K$2:$K$5000="院内")), ROW(A26))), "")</f>
        <v/>
      </c>
      <c r="G64" s="43" t="str">
        <f t="array" ref="G64">IFERROR(INDEX(Kintoneデータ抽出!C:C, _xlfn.AGGREGATE(15, 6, ROW(Kintoneデータ抽出!$K$2:$K$5000) / ((Kintoneデータ抽出!$K$2:$K$5000="院内")), ROW(A26))), "")</f>
        <v/>
      </c>
      <c r="H64" s="41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2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3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1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1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1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7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4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6.6" customHeight="1" x14ac:dyDescent="0.45">
      <c r="B65" s="142"/>
      <c r="C65" s="143"/>
      <c r="D65" s="67" t="str">
        <f t="shared" si="1"/>
        <v/>
      </c>
      <c r="E65" s="41" t="str">
        <f t="array" ref="E65">IFERROR(INDEX(Kintoneデータ抽出!A:A, _xlfn.AGGREGATE(15, 6, ROW(Kintoneデータ抽出!$K$2:$K$5000) / ((Kintoneデータ抽出!$K$2:$K$5000="院内")), ROW(A27))), "")</f>
        <v/>
      </c>
      <c r="F65" s="43" t="str">
        <f t="array" ref="F65">IFERROR(INDEX(Kintoneデータ抽出!D:D, _xlfn.AGGREGATE(15, 6, ROW(Kintoneデータ抽出!$K$2:$K$5000) / ((Kintoneデータ抽出!$K$2:$K$5000="院内")), ROW(A27))), "")</f>
        <v/>
      </c>
      <c r="G65" s="43" t="str">
        <f t="array" ref="G65">IFERROR(INDEX(Kintoneデータ抽出!C:C, _xlfn.AGGREGATE(15, 6, ROW(Kintoneデータ抽出!$K$2:$K$5000) / ((Kintoneデータ抽出!$K$2:$K$5000="院内")), ROW(A27))), "")</f>
        <v/>
      </c>
      <c r="H65" s="41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2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3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1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1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1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7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4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6.6" customHeight="1" x14ac:dyDescent="0.45">
      <c r="B66" s="142"/>
      <c r="C66" s="143"/>
      <c r="D66" s="67" t="str">
        <f t="shared" si="1"/>
        <v/>
      </c>
      <c r="E66" s="41" t="str">
        <f t="array" ref="E66">IFERROR(INDEX(Kintoneデータ抽出!A:A, _xlfn.AGGREGATE(15, 6, ROW(Kintoneデータ抽出!$K$2:$K$5000) / ((Kintoneデータ抽出!$K$2:$K$5000="院内")), ROW(A28))), "")</f>
        <v/>
      </c>
      <c r="F66" s="43" t="str">
        <f t="array" ref="F66">IFERROR(INDEX(Kintoneデータ抽出!D:D, _xlfn.AGGREGATE(15, 6, ROW(Kintoneデータ抽出!$K$2:$K$5000) / ((Kintoneデータ抽出!$K$2:$K$5000="院内")), ROW(A28))), "")</f>
        <v/>
      </c>
      <c r="G66" s="43" t="str">
        <f t="array" ref="G66">IFERROR(INDEX(Kintoneデータ抽出!C:C, _xlfn.AGGREGATE(15, 6, ROW(Kintoneデータ抽出!$K$2:$K$5000) / ((Kintoneデータ抽出!$K$2:$K$5000="院内")), ROW(A28))), "")</f>
        <v/>
      </c>
      <c r="H66" s="41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2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3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1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1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1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7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4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6.6" customHeight="1" x14ac:dyDescent="0.45">
      <c r="B67" s="142" t="s">
        <v>51</v>
      </c>
      <c r="C67" s="143"/>
      <c r="D67" s="67" t="str">
        <f t="shared" si="1"/>
        <v/>
      </c>
      <c r="E67" s="41" t="str">
        <f t="array" ref="E67">IFERROR(INDEX(Kintoneデータ抽出!A:A, _xlfn.AGGREGATE(15, 6, ROW(Kintoneデータ抽出!$K$2:$K$5000) / ((Kintoneデータ抽出!$K$2:$K$5000="院内")), ROW(A29))), "")</f>
        <v/>
      </c>
      <c r="F67" s="43" t="str">
        <f t="array" ref="F67">IFERROR(INDEX(Kintoneデータ抽出!D:D, _xlfn.AGGREGATE(15, 6, ROW(Kintoneデータ抽出!$K$2:$K$5000) / ((Kintoneデータ抽出!$K$2:$K$5000="院内")), ROW(A29))), "")</f>
        <v/>
      </c>
      <c r="G67" s="43" t="str">
        <f t="array" ref="G67">IFERROR(INDEX(Kintoneデータ抽出!C:C, _xlfn.AGGREGATE(15, 6, ROW(Kintoneデータ抽出!$K$2:$K$5000) / ((Kintoneデータ抽出!$K$2:$K$5000="院内")), ROW(A29))), "")</f>
        <v/>
      </c>
      <c r="H67" s="41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2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3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1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1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1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7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4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6.6" customHeight="1" x14ac:dyDescent="0.45">
      <c r="B68" s="142"/>
      <c r="C68" s="143"/>
      <c r="D68" s="67" t="str">
        <f t="shared" si="1"/>
        <v/>
      </c>
      <c r="E68" s="41" t="str">
        <f t="array" ref="E68">IFERROR(INDEX(Kintoneデータ抽出!A:A, _xlfn.AGGREGATE(15, 6, ROW(Kintoneデータ抽出!$K$2:$K$5000) / ((Kintoneデータ抽出!$K$2:$K$5000="院内")), ROW(A30))), "")</f>
        <v/>
      </c>
      <c r="F68" s="43" t="str">
        <f t="array" ref="F68">IFERROR(INDEX(Kintoneデータ抽出!D:D, _xlfn.AGGREGATE(15, 6, ROW(Kintoneデータ抽出!$K$2:$K$5000) / ((Kintoneデータ抽出!$K$2:$K$5000="院内")), ROW(A30))), "")</f>
        <v/>
      </c>
      <c r="G68" s="43" t="str">
        <f t="array" ref="G68">IFERROR(INDEX(Kintoneデータ抽出!C:C, _xlfn.AGGREGATE(15, 6, ROW(Kintoneデータ抽出!$K$2:$K$5000) / ((Kintoneデータ抽出!$K$2:$K$5000="院内")), ROW(A30))), "")</f>
        <v/>
      </c>
      <c r="H68" s="41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2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3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1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1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1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7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4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6.6" customHeight="1" x14ac:dyDescent="0.45">
      <c r="B69" s="142"/>
      <c r="C69" s="143"/>
      <c r="D69" s="67" t="str">
        <f t="shared" si="1"/>
        <v/>
      </c>
      <c r="E69" s="41" t="str">
        <f t="array" ref="E69">IFERROR(INDEX(Kintoneデータ抽出!A:A, _xlfn.AGGREGATE(15, 6, ROW(Kintoneデータ抽出!$K$2:$K$5000) / ((Kintoneデータ抽出!$K$2:$K$5000="院内")), ROW(A31))), "")</f>
        <v/>
      </c>
      <c r="F69" s="43" t="str">
        <f t="array" ref="F69">IFERROR(INDEX(Kintoneデータ抽出!D:D, _xlfn.AGGREGATE(15, 6, ROW(Kintoneデータ抽出!$K$2:$K$5000) / ((Kintoneデータ抽出!$K$2:$K$5000="院内")), ROW(A31))), "")</f>
        <v/>
      </c>
      <c r="G69" s="43" t="str">
        <f t="array" ref="G69">IFERROR(INDEX(Kintoneデータ抽出!C:C, _xlfn.AGGREGATE(15, 6, ROW(Kintoneデータ抽出!$K$2:$K$5000) / ((Kintoneデータ抽出!$K$2:$K$5000="院内")), ROW(A31))), "")</f>
        <v/>
      </c>
      <c r="H69" s="41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2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3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1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1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1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7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4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6.6" customHeight="1" x14ac:dyDescent="0.45">
      <c r="B70" s="142"/>
      <c r="C70" s="143"/>
      <c r="D70" s="67" t="str">
        <f t="shared" si="1"/>
        <v/>
      </c>
      <c r="E70" s="41" t="str">
        <f t="array" ref="E70">IFERROR(INDEX(Kintoneデータ抽出!A:A, _xlfn.AGGREGATE(15, 6, ROW(Kintoneデータ抽出!$K$2:$K$5000) / ((Kintoneデータ抽出!$K$2:$K$5000="院内")), ROW(A32))), "")</f>
        <v/>
      </c>
      <c r="F70" s="43" t="str">
        <f t="array" ref="F70">IFERROR(INDEX(Kintoneデータ抽出!D:D, _xlfn.AGGREGATE(15, 6, ROW(Kintoneデータ抽出!$K$2:$K$5000) / ((Kintoneデータ抽出!$K$2:$K$5000="院内")), ROW(A32))), "")</f>
        <v/>
      </c>
      <c r="G70" s="43" t="str">
        <f t="array" ref="G70">IFERROR(INDEX(Kintoneデータ抽出!C:C, _xlfn.AGGREGATE(15, 6, ROW(Kintoneデータ抽出!$K$2:$K$5000) / ((Kintoneデータ抽出!$K$2:$K$5000="院内")), ROW(A32))), "")</f>
        <v/>
      </c>
      <c r="H70" s="41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2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3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1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1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1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7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4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6.6" customHeight="1" x14ac:dyDescent="0.45">
      <c r="B71" s="142"/>
      <c r="C71" s="143"/>
      <c r="D71" s="67" t="str">
        <f t="shared" si="1"/>
        <v/>
      </c>
      <c r="E71" s="41" t="str">
        <f t="array" ref="E71">IFERROR(INDEX(Kintoneデータ抽出!A:A, _xlfn.AGGREGATE(15, 6, ROW(Kintoneデータ抽出!$K$2:$K$5000) / ((Kintoneデータ抽出!$K$2:$K$5000="院内")), ROW(A33))), "")</f>
        <v/>
      </c>
      <c r="F71" s="43" t="str">
        <f t="array" ref="F71">IFERROR(INDEX(Kintoneデータ抽出!D:D, _xlfn.AGGREGATE(15, 6, ROW(Kintoneデータ抽出!$K$2:$K$5000) / ((Kintoneデータ抽出!$K$2:$K$5000="院内")), ROW(A33))), "")</f>
        <v/>
      </c>
      <c r="G71" s="43" t="str">
        <f t="array" ref="G71">IFERROR(INDEX(Kintoneデータ抽出!C:C, _xlfn.AGGREGATE(15, 6, ROW(Kintoneデータ抽出!$K$2:$K$5000) / ((Kintoneデータ抽出!$K$2:$K$5000="院内")), ROW(A33))), "")</f>
        <v/>
      </c>
      <c r="H71" s="41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2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3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1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1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1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7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4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6.6" customHeight="1" x14ac:dyDescent="0.45">
      <c r="B72" s="142"/>
      <c r="C72" s="143"/>
      <c r="D72" s="67" t="str">
        <f t="shared" si="1"/>
        <v/>
      </c>
      <c r="E72" s="41" t="str">
        <f t="array" ref="E72">IFERROR(INDEX(Kintoneデータ抽出!A:A, _xlfn.AGGREGATE(15, 6, ROW(Kintoneデータ抽出!$K$2:$K$5000) / ((Kintoneデータ抽出!$K$2:$K$5000="院内")), ROW(A34))), "")</f>
        <v/>
      </c>
      <c r="F72" s="43" t="str">
        <f t="array" ref="F72">IFERROR(INDEX(Kintoneデータ抽出!D:D, _xlfn.AGGREGATE(15, 6, ROW(Kintoneデータ抽出!$K$2:$K$5000) / ((Kintoneデータ抽出!$K$2:$K$5000="院内")), ROW(A34))), "")</f>
        <v/>
      </c>
      <c r="G72" s="43" t="str">
        <f t="array" ref="G72">IFERROR(INDEX(Kintoneデータ抽出!C:C, _xlfn.AGGREGATE(15, 6, ROW(Kintoneデータ抽出!$K$2:$K$5000) / ((Kintoneデータ抽出!$K$2:$K$5000="院内")), ROW(A34))), "")</f>
        <v/>
      </c>
      <c r="H72" s="41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2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3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1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1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1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7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4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6.6" customHeight="1" x14ac:dyDescent="0.45">
      <c r="B73" s="142"/>
      <c r="C73" s="143"/>
      <c r="D73" s="67" t="str">
        <f t="shared" si="1"/>
        <v/>
      </c>
      <c r="E73" s="41" t="str">
        <f t="array" ref="E73">IFERROR(INDEX(Kintoneデータ抽出!A:A, _xlfn.AGGREGATE(15, 6, ROW(Kintoneデータ抽出!$K$2:$K$5000) / ((Kintoneデータ抽出!$K$2:$K$5000="院内")), ROW(A35))), "")</f>
        <v/>
      </c>
      <c r="F73" s="43" t="str">
        <f t="array" ref="F73">IFERROR(INDEX(Kintoneデータ抽出!D:D, _xlfn.AGGREGATE(15, 6, ROW(Kintoneデータ抽出!$K$2:$K$5000) / ((Kintoneデータ抽出!$K$2:$K$5000="院内")), ROW(A35))), "")</f>
        <v/>
      </c>
      <c r="G73" s="43" t="str">
        <f t="array" ref="G73">IFERROR(INDEX(Kintoneデータ抽出!C:C, _xlfn.AGGREGATE(15, 6, ROW(Kintoneデータ抽出!$K$2:$K$5000) / ((Kintoneデータ抽出!$K$2:$K$5000="院内")), ROW(A35))), "")</f>
        <v/>
      </c>
      <c r="H73" s="41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2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3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1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1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1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7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4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6.6" customHeight="1" x14ac:dyDescent="0.45">
      <c r="B74" s="142"/>
      <c r="C74" s="143"/>
      <c r="D74" s="67" t="str">
        <f t="shared" si="1"/>
        <v/>
      </c>
      <c r="E74" s="41" t="str">
        <f t="array" ref="E74">IFERROR(INDEX(Kintoneデータ抽出!A:A, _xlfn.AGGREGATE(15, 6, ROW(Kintoneデータ抽出!$K$2:$K$5000) / ((Kintoneデータ抽出!$K$2:$K$5000="院内")), ROW(A36))), "")</f>
        <v/>
      </c>
      <c r="F74" s="43" t="str">
        <f t="array" ref="F74">IFERROR(INDEX(Kintoneデータ抽出!D:D, _xlfn.AGGREGATE(15, 6, ROW(Kintoneデータ抽出!$K$2:$K$5000) / ((Kintoneデータ抽出!$K$2:$K$5000="院内")), ROW(A36))), "")</f>
        <v/>
      </c>
      <c r="G74" s="43" t="str">
        <f t="array" ref="G74">IFERROR(INDEX(Kintoneデータ抽出!C:C, _xlfn.AGGREGATE(15, 6, ROW(Kintoneデータ抽出!$K$2:$K$5000) / ((Kintoneデータ抽出!$K$2:$K$5000="院内")), ROW(A36))), "")</f>
        <v/>
      </c>
      <c r="H74" s="41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2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3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1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1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1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7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4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6.6" customHeight="1" x14ac:dyDescent="0.45">
      <c r="B75" s="142"/>
      <c r="C75" s="143"/>
      <c r="D75" s="67" t="str">
        <f t="shared" si="1"/>
        <v/>
      </c>
      <c r="E75" s="41" t="str">
        <f t="array" ref="E75">IFERROR(INDEX(Kintoneデータ抽出!A:A, _xlfn.AGGREGATE(15, 6, ROW(Kintoneデータ抽出!$K$2:$K$5000) / ((Kintoneデータ抽出!$K$2:$K$5000="院内")), ROW(A37))), "")</f>
        <v/>
      </c>
      <c r="F75" s="43" t="str">
        <f t="array" ref="F75">IFERROR(INDEX(Kintoneデータ抽出!D:D, _xlfn.AGGREGATE(15, 6, ROW(Kintoneデータ抽出!$K$2:$K$5000) / ((Kintoneデータ抽出!$K$2:$K$5000="院内")), ROW(A37))), "")</f>
        <v/>
      </c>
      <c r="G75" s="43" t="str">
        <f t="array" ref="G75">IFERROR(INDEX(Kintoneデータ抽出!C:C, _xlfn.AGGREGATE(15, 6, ROW(Kintoneデータ抽出!$K$2:$K$5000) / ((Kintoneデータ抽出!$K$2:$K$5000="院内")), ROW(A37))), "")</f>
        <v/>
      </c>
      <c r="H75" s="41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2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3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1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1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1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7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4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6.6" customHeight="1" x14ac:dyDescent="0.45">
      <c r="B76" s="142"/>
      <c r="C76" s="143"/>
      <c r="D76" s="67" t="str">
        <f t="shared" si="1"/>
        <v/>
      </c>
      <c r="E76" s="41" t="str">
        <f t="array" ref="E76">IFERROR(INDEX(Kintoneデータ抽出!A:A, _xlfn.AGGREGATE(15, 6, ROW(Kintoneデータ抽出!$K$2:$K$5000) / ((Kintoneデータ抽出!$K$2:$K$5000="院内")), ROW(A39))), "")</f>
        <v/>
      </c>
      <c r="F76" s="43" t="str">
        <f t="array" ref="F76">IFERROR(INDEX(Kintoneデータ抽出!D:D, _xlfn.AGGREGATE(15, 6, ROW(Kintoneデータ抽出!$K$2:$K$5000) / ((Kintoneデータ抽出!$K$2:$K$5000="院内")), ROW(A39))), "")</f>
        <v/>
      </c>
      <c r="G76" s="43" t="str">
        <f t="array" ref="G76">IFERROR(INDEX(Kintoneデータ抽出!C:C, _xlfn.AGGREGATE(15, 6, ROW(Kintoneデータ抽出!$K$2:$K$5000) / ((Kintoneデータ抽出!$K$2:$K$5000="院内")), ROW(A39))), "")</f>
        <v/>
      </c>
      <c r="H76" s="41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2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3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1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1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1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7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4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6.6" customHeight="1" x14ac:dyDescent="0.45">
      <c r="B77" s="142"/>
      <c r="C77" s="143"/>
      <c r="D77" s="67" t="str">
        <f t="shared" si="1"/>
        <v/>
      </c>
      <c r="E77" s="41" t="str">
        <f t="array" ref="E77">IFERROR(INDEX(Kintoneデータ抽出!A:A, _xlfn.AGGREGATE(15, 6, ROW(Kintoneデータ抽出!$K$2:$K$5000) / ((Kintoneデータ抽出!$K$2:$K$5000="院内")), ROW(A40))), "")</f>
        <v/>
      </c>
      <c r="F77" s="43" t="str">
        <f t="array" ref="F77">IFERROR(INDEX(Kintoneデータ抽出!D:D, _xlfn.AGGREGATE(15, 6, ROW(Kintoneデータ抽出!$K$2:$K$5000) / ((Kintoneデータ抽出!$K$2:$K$5000="院内")), ROW(A40))), "")</f>
        <v/>
      </c>
      <c r="G77" s="43" t="str">
        <f t="array" ref="G77">IFERROR(INDEX(Kintoneデータ抽出!C:C, _xlfn.AGGREGATE(15, 6, ROW(Kintoneデータ抽出!$K$2:$K$5000) / ((Kintoneデータ抽出!$K$2:$K$5000="院内")), ROW(A40))), "")</f>
        <v/>
      </c>
      <c r="H77" s="41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2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3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1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1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1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7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4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6.6" customHeight="1" x14ac:dyDescent="0.45">
      <c r="B78" s="142"/>
      <c r="C78" s="143"/>
      <c r="D78" s="67" t="str">
        <f t="shared" si="1"/>
        <v/>
      </c>
      <c r="E78" s="41" t="str">
        <f t="array" ref="E78">IFERROR(INDEX(Kintoneデータ抽出!A:A, _xlfn.AGGREGATE(15, 6, ROW(Kintoneデータ抽出!$K$2:$K$5000) / ((Kintoneデータ抽出!$K$2:$K$5000="院内")), ROW(A41))), "")</f>
        <v/>
      </c>
      <c r="F78" s="43" t="str">
        <f t="array" ref="F78">IFERROR(INDEX(Kintoneデータ抽出!D:D, _xlfn.AGGREGATE(15, 6, ROW(Kintoneデータ抽出!$K$2:$K$5000) / ((Kintoneデータ抽出!$K$2:$K$5000="院内")), ROW(A41))), "")</f>
        <v/>
      </c>
      <c r="G78" s="43" t="str">
        <f t="array" ref="G78">IFERROR(INDEX(Kintoneデータ抽出!C:C, _xlfn.AGGREGATE(15, 6, ROW(Kintoneデータ抽出!$K$2:$K$5000) / ((Kintoneデータ抽出!$K$2:$K$5000="院内")), ROW(A41))), "")</f>
        <v/>
      </c>
      <c r="H78" s="41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2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3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1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1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1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7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4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6.6" customHeight="1" x14ac:dyDescent="0.45">
      <c r="B79" s="142"/>
      <c r="C79" s="143"/>
      <c r="D79" s="67" t="str">
        <f t="shared" si="1"/>
        <v/>
      </c>
      <c r="E79" s="41" t="str">
        <f t="array" ref="E79">IFERROR(INDEX(Kintoneデータ抽出!A:A, _xlfn.AGGREGATE(15, 6, ROW(Kintoneデータ抽出!$K$2:$K$5000) / ((Kintoneデータ抽出!$K$2:$K$5000="院内")), ROW(A42))), "")</f>
        <v/>
      </c>
      <c r="F79" s="43" t="str">
        <f t="array" ref="F79">IFERROR(INDEX(Kintoneデータ抽出!D:D, _xlfn.AGGREGATE(15, 6, ROW(Kintoneデータ抽出!$K$2:$K$5000) / ((Kintoneデータ抽出!$K$2:$K$5000="院内")), ROW(A42))), "")</f>
        <v/>
      </c>
      <c r="G79" s="43" t="str">
        <f t="array" ref="G79">IFERROR(INDEX(Kintoneデータ抽出!C:C, _xlfn.AGGREGATE(15, 6, ROW(Kintoneデータ抽出!$K$2:$K$5000) / ((Kintoneデータ抽出!$K$2:$K$5000="院内")), ROW(A42))), "")</f>
        <v/>
      </c>
      <c r="H79" s="41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2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3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1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1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1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7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4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6.6" customHeight="1" x14ac:dyDescent="0.45">
      <c r="B80" s="142"/>
      <c r="C80" s="143"/>
      <c r="D80" s="67" t="str">
        <f t="shared" si="1"/>
        <v/>
      </c>
      <c r="E80" s="41" t="str">
        <f t="array" ref="E80">IFERROR(INDEX(Kintoneデータ抽出!A:A, _xlfn.AGGREGATE(15, 6, ROW(Kintoneデータ抽出!$K$2:$K$5000) / ((Kintoneデータ抽出!$K$2:$K$5000="院内")), ROW(A43))), "")</f>
        <v/>
      </c>
      <c r="F80" s="43" t="str">
        <f t="array" ref="F80">IFERROR(INDEX(Kintoneデータ抽出!D:D, _xlfn.AGGREGATE(15, 6, ROW(Kintoneデータ抽出!$K$2:$K$5000) / ((Kintoneデータ抽出!$K$2:$K$5000="院内")), ROW(A43))), "")</f>
        <v/>
      </c>
      <c r="G80" s="43" t="str">
        <f t="array" ref="G80">IFERROR(INDEX(Kintoneデータ抽出!C:C, _xlfn.AGGREGATE(15, 6, ROW(Kintoneデータ抽出!$K$2:$K$5000) / ((Kintoneデータ抽出!$K$2:$K$5000="院内")), ROW(A43))), "")</f>
        <v/>
      </c>
      <c r="H80" s="41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2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3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1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1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1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7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4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6.6" customHeight="1" x14ac:dyDescent="0.45">
      <c r="B81" s="142"/>
      <c r="C81" s="143"/>
      <c r="D81" s="67" t="str">
        <f t="shared" si="1"/>
        <v/>
      </c>
      <c r="E81" s="41" t="str">
        <f t="array" ref="E81">IFERROR(INDEX(Kintoneデータ抽出!A:A, _xlfn.AGGREGATE(15, 6, ROW(Kintoneデータ抽出!$K$2:$K$5000) / ((Kintoneデータ抽出!$K$2:$K$5000="院内")), ROW(A44))), "")</f>
        <v/>
      </c>
      <c r="F81" s="43" t="str">
        <f t="array" ref="F81">IFERROR(INDEX(Kintoneデータ抽出!D:D, _xlfn.AGGREGATE(15, 6, ROW(Kintoneデータ抽出!$K$2:$K$5000) / ((Kintoneデータ抽出!$K$2:$K$5000="院内")), ROW(A44))), "")</f>
        <v/>
      </c>
      <c r="G81" s="43" t="str">
        <f t="array" ref="G81">IFERROR(INDEX(Kintoneデータ抽出!C:C, _xlfn.AGGREGATE(15, 6, ROW(Kintoneデータ抽出!$K$2:$K$5000) / ((Kintoneデータ抽出!$K$2:$K$5000="院内")), ROW(A44))), "")</f>
        <v/>
      </c>
      <c r="H81" s="41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2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3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1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1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1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7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4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6.6" customHeight="1" x14ac:dyDescent="0.45">
      <c r="B82" s="142"/>
      <c r="C82" s="143"/>
      <c r="D82" s="67" t="str">
        <f t="shared" si="1"/>
        <v/>
      </c>
      <c r="E82" s="41" t="str">
        <f t="array" ref="E82">IFERROR(INDEX(Kintoneデータ抽出!A:A, _xlfn.AGGREGATE(15, 6, ROW(Kintoneデータ抽出!$K$2:$K$5000) / ((Kintoneデータ抽出!$K$2:$K$5000="院内")), ROW(A45))), "")</f>
        <v/>
      </c>
      <c r="F82" s="43" t="str">
        <f t="array" ref="F82">IFERROR(INDEX(Kintoneデータ抽出!D:D, _xlfn.AGGREGATE(15, 6, ROW(Kintoneデータ抽出!$K$2:$K$5000) / ((Kintoneデータ抽出!$K$2:$K$5000="院内")), ROW(A45))), "")</f>
        <v/>
      </c>
      <c r="G82" s="43" t="str">
        <f t="array" ref="G82">IFERROR(INDEX(Kintoneデータ抽出!C:C, _xlfn.AGGREGATE(15, 6, ROW(Kintoneデータ抽出!$K$2:$K$5000) / ((Kintoneデータ抽出!$K$2:$K$5000="院内")), ROW(A45))), "")</f>
        <v/>
      </c>
      <c r="H82" s="41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2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3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1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1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1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7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4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6.6" customHeight="1" x14ac:dyDescent="0.45">
      <c r="B83" s="142"/>
      <c r="C83" s="143"/>
      <c r="D83" s="67" t="str">
        <f t="shared" si="1"/>
        <v/>
      </c>
      <c r="E83" s="41" t="str">
        <f t="array" ref="E83">IFERROR(INDEX(Kintoneデータ抽出!A:A, _xlfn.AGGREGATE(15, 6, ROW(Kintoneデータ抽出!$K$2:$K$5000) / ((Kintoneデータ抽出!$K$2:$K$5000="院内")), ROW(A46))), "")</f>
        <v/>
      </c>
      <c r="F83" s="43" t="str">
        <f t="array" ref="F83">IFERROR(INDEX(Kintoneデータ抽出!D:D, _xlfn.AGGREGATE(15, 6, ROW(Kintoneデータ抽出!$K$2:$K$5000) / ((Kintoneデータ抽出!$K$2:$K$5000="院内")), ROW(A46))), "")</f>
        <v/>
      </c>
      <c r="G83" s="43" t="str">
        <f t="array" ref="G83">IFERROR(INDEX(Kintoneデータ抽出!C:C, _xlfn.AGGREGATE(15, 6, ROW(Kintoneデータ抽出!$K$2:$K$5000) / ((Kintoneデータ抽出!$K$2:$K$5000="院内")), ROW(A46))), "")</f>
        <v/>
      </c>
      <c r="H83" s="41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2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3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1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1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1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7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4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6.6" customHeight="1" x14ac:dyDescent="0.45">
      <c r="B84" s="142"/>
      <c r="C84" s="143"/>
      <c r="D84" s="67" t="str">
        <f t="shared" si="1"/>
        <v/>
      </c>
      <c r="E84" s="41" t="str">
        <f t="array" ref="E84">IFERROR(INDEX(Kintoneデータ抽出!A:A, _xlfn.AGGREGATE(15, 6, ROW(Kintoneデータ抽出!$K$2:$K$5000) / ((Kintoneデータ抽出!$K$2:$K$5000="院内")), ROW(A47))), "")</f>
        <v/>
      </c>
      <c r="F84" s="43" t="str">
        <f t="array" ref="F84">IFERROR(INDEX(Kintoneデータ抽出!D:D, _xlfn.AGGREGATE(15, 6, ROW(Kintoneデータ抽出!$K$2:$K$5000) / ((Kintoneデータ抽出!$K$2:$K$5000="院内")), ROW(A47))), "")</f>
        <v/>
      </c>
      <c r="G84" s="43" t="str">
        <f t="array" ref="G84">IFERROR(INDEX(Kintoneデータ抽出!C:C, _xlfn.AGGREGATE(15, 6, ROW(Kintoneデータ抽出!$K$2:$K$5000) / ((Kintoneデータ抽出!$K$2:$K$5000="院内")), ROW(A47))), "")</f>
        <v/>
      </c>
      <c r="H84" s="41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2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3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1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1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1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7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4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6.6" customHeight="1" x14ac:dyDescent="0.45">
      <c r="B85" s="142"/>
      <c r="C85" s="143"/>
      <c r="D85" s="67" t="str">
        <f t="shared" si="1"/>
        <v/>
      </c>
      <c r="E85" s="41" t="str">
        <f t="array" ref="E85">IFERROR(INDEX(Kintoneデータ抽出!A:A, _xlfn.AGGREGATE(15, 6, ROW(Kintoneデータ抽出!$K$2:$K$5000) / ((Kintoneデータ抽出!$K$2:$K$5000="院内")), ROW(A48))), "")</f>
        <v/>
      </c>
      <c r="F85" s="43" t="str">
        <f t="array" ref="F85">IFERROR(INDEX(Kintoneデータ抽出!D:D, _xlfn.AGGREGATE(15, 6, ROW(Kintoneデータ抽出!$K$2:$K$5000) / ((Kintoneデータ抽出!$K$2:$K$5000="院内")), ROW(A48))), "")</f>
        <v/>
      </c>
      <c r="G85" s="43" t="str">
        <f t="array" ref="G85">IFERROR(INDEX(Kintoneデータ抽出!C:C, _xlfn.AGGREGATE(15, 6, ROW(Kintoneデータ抽出!$K$2:$K$5000) / ((Kintoneデータ抽出!$K$2:$K$5000="院内")), ROW(A48))), "")</f>
        <v/>
      </c>
      <c r="H85" s="41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2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3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1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1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1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7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4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6.6" customHeight="1" x14ac:dyDescent="0.45">
      <c r="B86" s="142"/>
      <c r="C86" s="143"/>
      <c r="D86" s="67" t="str">
        <f t="shared" si="1"/>
        <v/>
      </c>
      <c r="E86" s="41" t="str">
        <f t="array" ref="E86">IFERROR(INDEX(Kintoneデータ抽出!A:A, _xlfn.AGGREGATE(15, 6, ROW(Kintoneデータ抽出!$K$2:$K$5000) / ((Kintoneデータ抽出!$K$2:$K$5000="院内")), ROW(A49))), "")</f>
        <v/>
      </c>
      <c r="F86" s="43" t="str">
        <f t="array" ref="F86">IFERROR(INDEX(Kintoneデータ抽出!D:D, _xlfn.AGGREGATE(15, 6, ROW(Kintoneデータ抽出!$K$2:$K$5000) / ((Kintoneデータ抽出!$K$2:$K$5000="院内")), ROW(A49))), "")</f>
        <v/>
      </c>
      <c r="G86" s="43" t="str">
        <f t="array" ref="G86">IFERROR(INDEX(Kintoneデータ抽出!C:C, _xlfn.AGGREGATE(15, 6, ROW(Kintoneデータ抽出!$K$2:$K$5000) / ((Kintoneデータ抽出!$K$2:$K$5000="院内")), ROW(A49))), "")</f>
        <v/>
      </c>
      <c r="H86" s="41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2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3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1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1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1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7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4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6.6" customHeight="1" x14ac:dyDescent="0.45">
      <c r="B87" s="142"/>
      <c r="C87" s="143"/>
      <c r="D87" s="67" t="str">
        <f t="shared" si="1"/>
        <v/>
      </c>
      <c r="E87" s="41" t="str">
        <f t="array" ref="E87">IFERROR(INDEX(Kintoneデータ抽出!A:A, _xlfn.AGGREGATE(15, 6, ROW(Kintoneデータ抽出!$K$2:$K$5000) / ((Kintoneデータ抽出!$K$2:$K$5000="院内")), ROW(A50))), "")</f>
        <v/>
      </c>
      <c r="F87" s="43" t="str">
        <f t="array" ref="F87">IFERROR(INDEX(Kintoneデータ抽出!D:D, _xlfn.AGGREGATE(15, 6, ROW(Kintoneデータ抽出!$K$2:$K$5000) / ((Kintoneデータ抽出!$K$2:$K$5000="院内")), ROW(A50))), "")</f>
        <v/>
      </c>
      <c r="G87" s="43" t="str">
        <f t="array" ref="G87">IFERROR(INDEX(Kintoneデータ抽出!C:C, _xlfn.AGGREGATE(15, 6, ROW(Kintoneデータ抽出!$K$2:$K$5000) / ((Kintoneデータ抽出!$K$2:$K$5000="院内")), ROW(A50))), "")</f>
        <v/>
      </c>
      <c r="H87" s="41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2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3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1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1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1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7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4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6.6" customHeight="1" x14ac:dyDescent="0.45">
      <c r="B88" s="142"/>
      <c r="C88" s="143"/>
      <c r="D88" s="67" t="str">
        <f t="shared" si="1"/>
        <v/>
      </c>
      <c r="E88" s="41" t="str">
        <f t="array" ref="E88">IFERROR(INDEX(Kintoneデータ抽出!A:A, _xlfn.AGGREGATE(15, 6, ROW(Kintoneデータ抽出!$K$2:$K$5000) / ((Kintoneデータ抽出!$K$2:$K$5000="院内")), ROW(A51))), "")</f>
        <v/>
      </c>
      <c r="F88" s="43" t="str">
        <f t="array" ref="F88">IFERROR(INDEX(Kintoneデータ抽出!D:D, _xlfn.AGGREGATE(15, 6, ROW(Kintoneデータ抽出!$K$2:$K$5000) / ((Kintoneデータ抽出!$K$2:$K$5000="院内")), ROW(A51))), "")</f>
        <v/>
      </c>
      <c r="G88" s="43" t="str">
        <f t="array" ref="G88">IFERROR(INDEX(Kintoneデータ抽出!C:C, _xlfn.AGGREGATE(15, 6, ROW(Kintoneデータ抽出!$K$2:$K$5000) / ((Kintoneデータ抽出!$K$2:$K$5000="院内")), ROW(A51))), "")</f>
        <v/>
      </c>
      <c r="H88" s="41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2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3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1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1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1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7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4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6.6" customHeight="1" x14ac:dyDescent="0.45">
      <c r="B89" s="142"/>
      <c r="C89" s="143"/>
      <c r="D89" s="67" t="str">
        <f t="shared" si="1"/>
        <v/>
      </c>
      <c r="E89" s="41" t="str">
        <f t="array" ref="E89">IFERROR(INDEX(Kintoneデータ抽出!A:A, _xlfn.AGGREGATE(15, 6, ROW(Kintoneデータ抽出!$K$2:$K$5000) / ((Kintoneデータ抽出!$K$2:$K$5000="院内")), ROW(A52))), "")</f>
        <v/>
      </c>
      <c r="F89" s="43" t="str">
        <f t="array" ref="F89">IFERROR(INDEX(Kintoneデータ抽出!D:D, _xlfn.AGGREGATE(15, 6, ROW(Kintoneデータ抽出!$K$2:$K$5000) / ((Kintoneデータ抽出!$K$2:$K$5000="院内")), ROW(A52))), "")</f>
        <v/>
      </c>
      <c r="G89" s="43" t="str">
        <f t="array" ref="G89">IFERROR(INDEX(Kintoneデータ抽出!C:C, _xlfn.AGGREGATE(15, 6, ROW(Kintoneデータ抽出!$K$2:$K$5000) / ((Kintoneデータ抽出!$K$2:$K$5000="院内")), ROW(A52))), "")</f>
        <v/>
      </c>
      <c r="H89" s="41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2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3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1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1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1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7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4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6.6" customHeight="1" x14ac:dyDescent="0.45">
      <c r="B90" s="142"/>
      <c r="C90" s="143"/>
      <c r="D90" s="67" t="str">
        <f t="shared" si="1"/>
        <v/>
      </c>
      <c r="E90" s="41" t="str">
        <f t="array" ref="E90">IFERROR(INDEX(Kintoneデータ抽出!A:A, _xlfn.AGGREGATE(15, 6, ROW(Kintoneデータ抽出!$K$2:$K$5000) / ((Kintoneデータ抽出!$K$2:$K$5000="院内")), ROW(A53))), "")</f>
        <v/>
      </c>
      <c r="F90" s="43" t="str">
        <f t="array" ref="F90">IFERROR(INDEX(Kintoneデータ抽出!D:D, _xlfn.AGGREGATE(15, 6, ROW(Kintoneデータ抽出!$K$2:$K$5000) / ((Kintoneデータ抽出!$K$2:$K$5000="院内")), ROW(A53))), "")</f>
        <v/>
      </c>
      <c r="G90" s="43" t="str">
        <f t="array" ref="G90">IFERROR(INDEX(Kintoneデータ抽出!C:C, _xlfn.AGGREGATE(15, 6, ROW(Kintoneデータ抽出!$K$2:$K$5000) / ((Kintoneデータ抽出!$K$2:$K$5000="院内")), ROW(A53))), "")</f>
        <v/>
      </c>
      <c r="H90" s="41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2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3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1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1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1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7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4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6.6" customHeight="1" x14ac:dyDescent="0.45">
      <c r="B91" s="142"/>
      <c r="C91" s="143"/>
      <c r="D91" s="67" t="str">
        <f t="shared" si="1"/>
        <v/>
      </c>
      <c r="E91" s="41" t="str">
        <f t="array" ref="E91">IFERROR(INDEX(Kintoneデータ抽出!A:A, _xlfn.AGGREGATE(15, 6, ROW(Kintoneデータ抽出!$K$2:$K$5000) / ((Kintoneデータ抽出!$K$2:$K$5000="院内")), ROW(A54))), "")</f>
        <v/>
      </c>
      <c r="F91" s="43" t="str">
        <f t="array" ref="F91">IFERROR(INDEX(Kintoneデータ抽出!D:D, _xlfn.AGGREGATE(15, 6, ROW(Kintoneデータ抽出!$K$2:$K$5000) / ((Kintoneデータ抽出!$K$2:$K$5000="院内")), ROW(A54))), "")</f>
        <v/>
      </c>
      <c r="G91" s="43" t="str">
        <f t="array" ref="G91">IFERROR(INDEX(Kintoneデータ抽出!C:C, _xlfn.AGGREGATE(15, 6, ROW(Kintoneデータ抽出!$K$2:$K$5000) / ((Kintoneデータ抽出!$K$2:$K$5000="院内")), ROW(A54))), "")</f>
        <v/>
      </c>
      <c r="H91" s="41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2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3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1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1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1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7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4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6.6" customHeight="1" x14ac:dyDescent="0.45">
      <c r="B92" s="142"/>
      <c r="C92" s="143"/>
      <c r="D92" s="67" t="str">
        <f t="shared" si="1"/>
        <v/>
      </c>
      <c r="E92" s="41" t="str">
        <f t="array" ref="E92">IFERROR(INDEX(Kintoneデータ抽出!A:A, _xlfn.AGGREGATE(15, 6, ROW(Kintoneデータ抽出!$K$2:$K$5000) / ((Kintoneデータ抽出!$K$2:$K$5000="院内")), ROW(A55))), "")</f>
        <v/>
      </c>
      <c r="F92" s="43" t="str">
        <f t="array" ref="F92">IFERROR(INDEX(Kintoneデータ抽出!D:D, _xlfn.AGGREGATE(15, 6, ROW(Kintoneデータ抽出!$K$2:$K$5000) / ((Kintoneデータ抽出!$K$2:$K$5000="院内")), ROW(A55))), "")</f>
        <v/>
      </c>
      <c r="G92" s="43" t="str">
        <f t="array" ref="G92">IFERROR(INDEX(Kintoneデータ抽出!C:C, _xlfn.AGGREGATE(15, 6, ROW(Kintoneデータ抽出!$K$2:$K$5000) / ((Kintoneデータ抽出!$K$2:$K$5000="院内")), ROW(A55))), "")</f>
        <v/>
      </c>
      <c r="H92" s="41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2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3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1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1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1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7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4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6.6" customHeight="1" x14ac:dyDescent="0.45">
      <c r="B93" s="142"/>
      <c r="C93" s="143"/>
      <c r="D93" s="67" t="str">
        <f t="shared" si="1"/>
        <v/>
      </c>
      <c r="E93" s="41" t="str">
        <f t="array" ref="E93">IFERROR(INDEX(Kintoneデータ抽出!A:A, _xlfn.AGGREGATE(15, 6, ROW(Kintoneデータ抽出!$K$2:$K$5000) / ((Kintoneデータ抽出!$K$2:$K$5000="院内")), ROW(A56))), "")</f>
        <v/>
      </c>
      <c r="F93" s="43" t="str">
        <f t="array" ref="F93">IFERROR(INDEX(Kintoneデータ抽出!D:D, _xlfn.AGGREGATE(15, 6, ROW(Kintoneデータ抽出!$K$2:$K$5000) / ((Kintoneデータ抽出!$K$2:$K$5000="院内")), ROW(A56))), "")</f>
        <v/>
      </c>
      <c r="G93" s="43" t="str">
        <f t="array" ref="G93">IFERROR(INDEX(Kintoneデータ抽出!C:C, _xlfn.AGGREGATE(15, 6, ROW(Kintoneデータ抽出!$K$2:$K$5000) / ((Kintoneデータ抽出!$K$2:$K$5000="院内")), ROW(A56))), "")</f>
        <v/>
      </c>
      <c r="H93" s="41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2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3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1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1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1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7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4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6.6" customHeight="1" x14ac:dyDescent="0.45">
      <c r="B94" s="142"/>
      <c r="C94" s="143"/>
      <c r="D94" s="67" t="str">
        <f t="shared" si="1"/>
        <v/>
      </c>
      <c r="E94" s="41" t="str">
        <f t="array" ref="E94">IFERROR(INDEX(Kintoneデータ抽出!A:A, _xlfn.AGGREGATE(15, 6, ROW(Kintoneデータ抽出!$K$2:$K$5000) / ((Kintoneデータ抽出!$K$2:$K$5000="院内")), ROW(A57))), "")</f>
        <v/>
      </c>
      <c r="F94" s="43" t="str">
        <f t="array" ref="F94">IFERROR(INDEX(Kintoneデータ抽出!D:D, _xlfn.AGGREGATE(15, 6, ROW(Kintoneデータ抽出!$K$2:$K$5000) / ((Kintoneデータ抽出!$K$2:$K$5000="院内")), ROW(A57))), "")</f>
        <v/>
      </c>
      <c r="G94" s="43" t="str">
        <f t="array" ref="G94">IFERROR(INDEX(Kintoneデータ抽出!C:C, _xlfn.AGGREGATE(15, 6, ROW(Kintoneデータ抽出!$K$2:$K$5000) / ((Kintoneデータ抽出!$K$2:$K$5000="院内")), ROW(A57))), "")</f>
        <v/>
      </c>
      <c r="H94" s="41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2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3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1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1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1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7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4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6.6" customHeight="1" x14ac:dyDescent="0.45">
      <c r="B95" s="142"/>
      <c r="C95" s="143"/>
      <c r="D95" s="67" t="str">
        <f t="shared" si="1"/>
        <v/>
      </c>
      <c r="E95" s="41" t="str">
        <f t="array" ref="E95">IFERROR(INDEX(Kintoneデータ抽出!A:A, _xlfn.AGGREGATE(15, 6, ROW(Kintoneデータ抽出!$K$2:$K$5000) / ((Kintoneデータ抽出!$K$2:$K$5000="院内")), ROW(A58))), "")</f>
        <v/>
      </c>
      <c r="F95" s="43" t="str">
        <f t="array" ref="F95">IFERROR(INDEX(Kintoneデータ抽出!D:D, _xlfn.AGGREGATE(15, 6, ROW(Kintoneデータ抽出!$K$2:$K$5000) / ((Kintoneデータ抽出!$K$2:$K$5000="院内")), ROW(A58))), "")</f>
        <v/>
      </c>
      <c r="G95" s="43" t="str">
        <f t="array" ref="G95">IFERROR(INDEX(Kintoneデータ抽出!C:C, _xlfn.AGGREGATE(15, 6, ROW(Kintoneデータ抽出!$K$2:$K$5000) / ((Kintoneデータ抽出!$K$2:$K$5000="院内")), ROW(A58))), "")</f>
        <v/>
      </c>
      <c r="H95" s="41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2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3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1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1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1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7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4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6.6" customHeight="1" x14ac:dyDescent="0.45">
      <c r="B96" s="142"/>
      <c r="C96" s="143"/>
      <c r="D96" s="67" t="str">
        <f t="shared" si="1"/>
        <v/>
      </c>
      <c r="E96" s="41" t="str">
        <f t="array" ref="E96">IFERROR(INDEX(Kintoneデータ抽出!A:A, _xlfn.AGGREGATE(15, 6, ROW(Kintoneデータ抽出!$K$2:$K$5000) / ((Kintoneデータ抽出!$K$2:$K$5000="院内")), ROW(A59))), "")</f>
        <v/>
      </c>
      <c r="F96" s="43" t="str">
        <f t="array" ref="F96">IFERROR(INDEX(Kintoneデータ抽出!D:D, _xlfn.AGGREGATE(15, 6, ROW(Kintoneデータ抽出!$K$2:$K$5000) / ((Kintoneデータ抽出!$K$2:$K$5000="院内")), ROW(A59))), "")</f>
        <v/>
      </c>
      <c r="G96" s="43" t="str">
        <f t="array" ref="G96">IFERROR(INDEX(Kintoneデータ抽出!C:C, _xlfn.AGGREGATE(15, 6, ROW(Kintoneデータ抽出!$K$2:$K$5000) / ((Kintoneデータ抽出!$K$2:$K$5000="院内")), ROW(A59))), "")</f>
        <v/>
      </c>
      <c r="H96" s="41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2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3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1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1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1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7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4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6.6" customHeight="1" x14ac:dyDescent="0.45">
      <c r="B97" s="142"/>
      <c r="C97" s="143"/>
      <c r="D97" s="67" t="str">
        <f t="shared" si="1"/>
        <v/>
      </c>
      <c r="E97" s="41" t="str">
        <f t="array" ref="E97">IFERROR(INDEX(Kintoneデータ抽出!A:A, _xlfn.AGGREGATE(15, 6, ROW(Kintoneデータ抽出!$K$2:$K$5000) / ((Kintoneデータ抽出!$K$2:$K$5000="院内")), ROW(A60))), "")</f>
        <v/>
      </c>
      <c r="F97" s="43" t="str">
        <f t="array" ref="F97">IFERROR(INDEX(Kintoneデータ抽出!D:D, _xlfn.AGGREGATE(15, 6, ROW(Kintoneデータ抽出!$K$2:$K$5000) / ((Kintoneデータ抽出!$K$2:$K$5000="院内")), ROW(A60))), "")</f>
        <v/>
      </c>
      <c r="G97" s="43" t="str">
        <f t="array" ref="G97">IFERROR(INDEX(Kintoneデータ抽出!C:C, _xlfn.AGGREGATE(15, 6, ROW(Kintoneデータ抽出!$K$2:$K$5000) / ((Kintoneデータ抽出!$K$2:$K$5000="院内")), ROW(A60))), "")</f>
        <v/>
      </c>
      <c r="H97" s="41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2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3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1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1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1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7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4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6.6" customHeight="1" x14ac:dyDescent="0.45">
      <c r="B98" s="142"/>
      <c r="C98" s="143"/>
      <c r="D98" s="67" t="str">
        <f t="shared" si="1"/>
        <v/>
      </c>
      <c r="E98" s="41" t="str">
        <f t="array" ref="E98">IFERROR(INDEX(Kintoneデータ抽出!A:A, _xlfn.AGGREGATE(15, 6, ROW(Kintoneデータ抽出!$K$2:$K$5000) / ((Kintoneデータ抽出!$K$2:$K$5000="院内")), ROW(A61))), "")</f>
        <v/>
      </c>
      <c r="F98" s="43" t="str">
        <f t="array" ref="F98">IFERROR(INDEX(Kintoneデータ抽出!D:D, _xlfn.AGGREGATE(15, 6, ROW(Kintoneデータ抽出!$K$2:$K$5000) / ((Kintoneデータ抽出!$K$2:$K$5000="院内")), ROW(A61))), "")</f>
        <v/>
      </c>
      <c r="G98" s="43" t="str">
        <f t="array" ref="G98">IFERROR(INDEX(Kintoneデータ抽出!C:C, _xlfn.AGGREGATE(15, 6, ROW(Kintoneデータ抽出!$K$2:$K$5000) / ((Kintoneデータ抽出!$K$2:$K$5000="院内")), ROW(A61))), "")</f>
        <v/>
      </c>
      <c r="H98" s="41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2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3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1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1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1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7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4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6.6" customHeight="1" x14ac:dyDescent="0.45">
      <c r="B99" s="142"/>
      <c r="C99" s="143"/>
      <c r="D99" s="67" t="str">
        <f t="shared" si="1"/>
        <v/>
      </c>
      <c r="E99" s="41" t="str">
        <f t="array" ref="E99">IFERROR(INDEX(Kintoneデータ抽出!A:A, _xlfn.AGGREGATE(15, 6, ROW(Kintoneデータ抽出!$K$2:$K$5000) / ((Kintoneデータ抽出!$K$2:$K$5000="院内")), ROW(A62))), "")</f>
        <v/>
      </c>
      <c r="F99" s="43" t="str">
        <f t="array" ref="F99">IFERROR(INDEX(Kintoneデータ抽出!D:D, _xlfn.AGGREGATE(15, 6, ROW(Kintoneデータ抽出!$K$2:$K$5000) / ((Kintoneデータ抽出!$K$2:$K$5000="院内")), ROW(A62))), "")</f>
        <v/>
      </c>
      <c r="G99" s="43" t="str">
        <f t="array" ref="G99">IFERROR(INDEX(Kintoneデータ抽出!C:C, _xlfn.AGGREGATE(15, 6, ROW(Kintoneデータ抽出!$K$2:$K$5000) / ((Kintoneデータ抽出!$K$2:$K$5000="院内")), ROW(A62))), "")</f>
        <v/>
      </c>
      <c r="H99" s="41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2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3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1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1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1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7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4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6.6" customHeight="1" x14ac:dyDescent="0.45">
      <c r="B100" s="142"/>
      <c r="C100" s="143"/>
      <c r="D100" s="67" t="str">
        <f t="shared" si="1"/>
        <v/>
      </c>
      <c r="E100" s="41" t="str">
        <f t="array" ref="E100">IFERROR(INDEX(Kintoneデータ抽出!A:A, _xlfn.AGGREGATE(15, 6, ROW(Kintoneデータ抽出!$K$2:$K$5000) / ((Kintoneデータ抽出!$K$2:$K$5000="院内")), ROW(A63))), "")</f>
        <v/>
      </c>
      <c r="F100" s="43" t="str">
        <f t="array" ref="F100">IFERROR(INDEX(Kintoneデータ抽出!D:D, _xlfn.AGGREGATE(15, 6, ROW(Kintoneデータ抽出!$K$2:$K$5000) / ((Kintoneデータ抽出!$K$2:$K$5000="院内")), ROW(A63))), "")</f>
        <v/>
      </c>
      <c r="G100" s="43" t="str">
        <f t="array" ref="G100">IFERROR(INDEX(Kintoneデータ抽出!C:C, _xlfn.AGGREGATE(15, 6, ROW(Kintoneデータ抽出!$K$2:$K$5000) / ((Kintoneデータ抽出!$K$2:$K$5000="院内")), ROW(A63))), "")</f>
        <v/>
      </c>
      <c r="H100" s="41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2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3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1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1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1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7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4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6.6" customHeight="1" x14ac:dyDescent="0.45">
      <c r="B101" s="142"/>
      <c r="C101" s="143"/>
      <c r="D101" s="67" t="str">
        <f t="shared" si="1"/>
        <v/>
      </c>
      <c r="E101" s="41" t="str">
        <f t="array" ref="E101">IFERROR(INDEX(Kintoneデータ抽出!A:A, _xlfn.AGGREGATE(15, 6, ROW(Kintoneデータ抽出!$K$2:$K$5000) / ((Kintoneデータ抽出!$K$2:$K$5000="院内")), ROW(A64))), "")</f>
        <v/>
      </c>
      <c r="F101" s="43" t="str">
        <f t="array" ref="F101">IFERROR(INDEX(Kintoneデータ抽出!D:D, _xlfn.AGGREGATE(15, 6, ROW(Kintoneデータ抽出!$K$2:$K$5000) / ((Kintoneデータ抽出!$K$2:$K$5000="院内")), ROW(A64))), "")</f>
        <v/>
      </c>
      <c r="G101" s="43" t="str">
        <f t="array" ref="G101">IFERROR(INDEX(Kintoneデータ抽出!C:C, _xlfn.AGGREGATE(15, 6, ROW(Kintoneデータ抽出!$K$2:$K$5000) / ((Kintoneデータ抽出!$K$2:$K$5000="院内")), ROW(A64))), "")</f>
        <v/>
      </c>
      <c r="H101" s="41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2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3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1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1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1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7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4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6.6" customHeight="1" x14ac:dyDescent="0.45">
      <c r="B102" s="142"/>
      <c r="C102" s="143"/>
      <c r="D102" s="67" t="str">
        <f t="shared" si="1"/>
        <v/>
      </c>
      <c r="E102" s="41" t="str">
        <f t="array" ref="E102">IFERROR(INDEX(Kintoneデータ抽出!A:A, _xlfn.AGGREGATE(15, 6, ROW(Kintoneデータ抽出!$K$2:$K$5000) / ((Kintoneデータ抽出!$K$2:$K$5000="院内")), ROW(A65))), "")</f>
        <v/>
      </c>
      <c r="F102" s="43" t="str">
        <f t="array" ref="F102">IFERROR(INDEX(Kintoneデータ抽出!D:D, _xlfn.AGGREGATE(15, 6, ROW(Kintoneデータ抽出!$K$2:$K$5000) / ((Kintoneデータ抽出!$K$2:$K$5000="院内")), ROW(A65))), "")</f>
        <v/>
      </c>
      <c r="G102" s="43" t="str">
        <f t="array" ref="G102">IFERROR(INDEX(Kintoneデータ抽出!C:C, _xlfn.AGGREGATE(15, 6, ROW(Kintoneデータ抽出!$K$2:$K$5000) / ((Kintoneデータ抽出!$K$2:$K$5000="院内")), ROW(A65))), "")</f>
        <v/>
      </c>
      <c r="H102" s="41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2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3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1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1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1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7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4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6.6" customHeight="1" x14ac:dyDescent="0.45">
      <c r="B103" s="142"/>
      <c r="C103" s="143"/>
      <c r="D103" s="67" t="str">
        <f t="shared" si="1"/>
        <v/>
      </c>
      <c r="E103" s="41" t="str">
        <f t="array" ref="E103">IFERROR(INDEX(Kintoneデータ抽出!A:A, _xlfn.AGGREGATE(15, 6, ROW(Kintoneデータ抽出!$K$2:$K$5000) / ((Kintoneデータ抽出!$K$2:$K$5000="院内")), ROW(A66))), "")</f>
        <v/>
      </c>
      <c r="F103" s="43" t="str">
        <f t="array" ref="F103">IFERROR(INDEX(Kintoneデータ抽出!D:D, _xlfn.AGGREGATE(15, 6, ROW(Kintoneデータ抽出!$K$2:$K$5000) / ((Kintoneデータ抽出!$K$2:$K$5000="院内")), ROW(A66))), "")</f>
        <v/>
      </c>
      <c r="G103" s="43" t="str">
        <f t="array" ref="G103">IFERROR(INDEX(Kintoneデータ抽出!C:C, _xlfn.AGGREGATE(15, 6, ROW(Kintoneデータ抽出!$K$2:$K$5000) / ((Kintoneデータ抽出!$K$2:$K$5000="院内")), ROW(A66))), "")</f>
        <v/>
      </c>
      <c r="H103" s="41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2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3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1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1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1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7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4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6.6" customHeight="1" x14ac:dyDescent="0.45">
      <c r="B104" s="142"/>
      <c r="C104" s="143"/>
      <c r="D104" s="67" t="str">
        <f t="shared" si="1"/>
        <v/>
      </c>
      <c r="E104" s="41" t="str">
        <f t="array" ref="E104">IFERROR(INDEX(Kintoneデータ抽出!A:A, _xlfn.AGGREGATE(15, 6, ROW(Kintoneデータ抽出!$K$2:$K$5000) / ((Kintoneデータ抽出!$K$2:$K$5000="院内")), ROW(A67))), "")</f>
        <v/>
      </c>
      <c r="F104" s="43" t="str">
        <f t="array" ref="F104">IFERROR(INDEX(Kintoneデータ抽出!D:D, _xlfn.AGGREGATE(15, 6, ROW(Kintoneデータ抽出!$K$2:$K$5000) / ((Kintoneデータ抽出!$K$2:$K$5000="院内")), ROW(A67))), "")</f>
        <v/>
      </c>
      <c r="G104" s="43" t="str">
        <f t="array" ref="G104">IFERROR(INDEX(Kintoneデータ抽出!C:C, _xlfn.AGGREGATE(15, 6, ROW(Kintoneデータ抽出!$K$2:$K$5000) / ((Kintoneデータ抽出!$K$2:$K$5000="院内")), ROW(A67))), "")</f>
        <v/>
      </c>
      <c r="H104" s="41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2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3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1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1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1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7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4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6.6" customHeight="1" x14ac:dyDescent="0.45">
      <c r="B105" s="142"/>
      <c r="C105" s="143"/>
      <c r="D105" s="67" t="str">
        <f t="shared" si="1"/>
        <v/>
      </c>
      <c r="E105" s="41" t="str">
        <f t="array" ref="E105">IFERROR(INDEX(Kintoneデータ抽出!A:A, _xlfn.AGGREGATE(15, 6, ROW(Kintoneデータ抽出!$K$2:$K$5000) / ((Kintoneデータ抽出!$K$2:$K$5000="院内")), ROW(A68))), "")</f>
        <v/>
      </c>
      <c r="F105" s="43" t="str">
        <f t="array" ref="F105">IFERROR(INDEX(Kintoneデータ抽出!D:D, _xlfn.AGGREGATE(15, 6, ROW(Kintoneデータ抽出!$K$2:$K$5000) / ((Kintoneデータ抽出!$K$2:$K$5000="院内")), ROW(A68))), "")</f>
        <v/>
      </c>
      <c r="G105" s="43" t="str">
        <f t="array" ref="G105">IFERROR(INDEX(Kintoneデータ抽出!C:C, _xlfn.AGGREGATE(15, 6, ROW(Kintoneデータ抽出!$K$2:$K$5000) / ((Kintoneデータ抽出!$K$2:$K$5000="院内")), ROW(A68))), "")</f>
        <v/>
      </c>
      <c r="H105" s="41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2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3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1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1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1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7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4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6.6" customHeight="1" x14ac:dyDescent="0.45">
      <c r="B106" s="142"/>
      <c r="C106" s="143"/>
      <c r="D106" s="67" t="str">
        <f t="shared" ref="D106:D169" si="2">IF(G106&lt;&gt;"",D105+1,D105)</f>
        <v/>
      </c>
      <c r="E106" s="41" t="str">
        <f t="array" ref="E106">IFERROR(INDEX(Kintoneデータ抽出!A:A, _xlfn.AGGREGATE(15, 6, ROW(Kintoneデータ抽出!$K$2:$K$5000) / ((Kintoneデータ抽出!$K$2:$K$5000="院内")), ROW(A69))), "")</f>
        <v/>
      </c>
      <c r="F106" s="43" t="str">
        <f t="array" ref="F106">IFERROR(INDEX(Kintoneデータ抽出!D:D, _xlfn.AGGREGATE(15, 6, ROW(Kintoneデータ抽出!$K$2:$K$5000) / ((Kintoneデータ抽出!$K$2:$K$5000="院内")), ROW(A69))), "")</f>
        <v/>
      </c>
      <c r="G106" s="43" t="str">
        <f t="array" ref="G106">IFERROR(INDEX(Kintoneデータ抽出!C:C, _xlfn.AGGREGATE(15, 6, ROW(Kintoneデータ抽出!$K$2:$K$5000) / ((Kintoneデータ抽出!$K$2:$K$5000="院内")), ROW(A69))), "")</f>
        <v/>
      </c>
      <c r="H106" s="41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2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3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1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1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1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7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4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6.6" customHeight="1" x14ac:dyDescent="0.45">
      <c r="B107" s="142"/>
      <c r="C107" s="143"/>
      <c r="D107" s="67" t="str">
        <f t="shared" si="2"/>
        <v/>
      </c>
      <c r="E107" s="41" t="str">
        <f t="array" ref="E107">IFERROR(INDEX(Kintoneデータ抽出!A:A, _xlfn.AGGREGATE(15, 6, ROW(Kintoneデータ抽出!$K$2:$K$5000) / ((Kintoneデータ抽出!$K$2:$K$5000="院内")), ROW(A70))), "")</f>
        <v/>
      </c>
      <c r="F107" s="43" t="str">
        <f t="array" ref="F107">IFERROR(INDEX(Kintoneデータ抽出!D:D, _xlfn.AGGREGATE(15, 6, ROW(Kintoneデータ抽出!$K$2:$K$5000) / ((Kintoneデータ抽出!$K$2:$K$5000="院内")), ROW(A70))), "")</f>
        <v/>
      </c>
      <c r="G107" s="43" t="str">
        <f t="array" ref="G107">IFERROR(INDEX(Kintoneデータ抽出!C:C, _xlfn.AGGREGATE(15, 6, ROW(Kintoneデータ抽出!$K$2:$K$5000) / ((Kintoneデータ抽出!$K$2:$K$5000="院内")), ROW(A70))), "")</f>
        <v/>
      </c>
      <c r="H107" s="41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2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3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1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1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1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7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4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6.6" customHeight="1" x14ac:dyDescent="0.45">
      <c r="B108" s="142"/>
      <c r="C108" s="143"/>
      <c r="D108" s="67" t="str">
        <f t="shared" si="2"/>
        <v/>
      </c>
      <c r="E108" s="41" t="str">
        <f t="array" ref="E108">IFERROR(INDEX(Kintoneデータ抽出!A:A, _xlfn.AGGREGATE(15, 6, ROW(Kintoneデータ抽出!$K$2:$K$5000) / ((Kintoneデータ抽出!$K$2:$K$5000="院内")), ROW(A71))), "")</f>
        <v/>
      </c>
      <c r="F108" s="43" t="str">
        <f t="array" ref="F108">IFERROR(INDEX(Kintoneデータ抽出!D:D, _xlfn.AGGREGATE(15, 6, ROW(Kintoneデータ抽出!$K$2:$K$5000) / ((Kintoneデータ抽出!$K$2:$K$5000="院内")), ROW(A71))), "")</f>
        <v/>
      </c>
      <c r="G108" s="43" t="str">
        <f t="array" ref="G108">IFERROR(INDEX(Kintoneデータ抽出!C:C, _xlfn.AGGREGATE(15, 6, ROW(Kintoneデータ抽出!$K$2:$K$5000) / ((Kintoneデータ抽出!$K$2:$K$5000="院内")), ROW(A71))), "")</f>
        <v/>
      </c>
      <c r="H108" s="41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2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3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1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1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1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7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4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6.6" customHeight="1" x14ac:dyDescent="0.45">
      <c r="B109" s="142"/>
      <c r="C109" s="143"/>
      <c r="D109" s="67" t="str">
        <f t="shared" si="2"/>
        <v/>
      </c>
      <c r="E109" s="41" t="str">
        <f t="array" ref="E109">IFERROR(INDEX(Kintoneデータ抽出!A:A, _xlfn.AGGREGATE(15, 6, ROW(Kintoneデータ抽出!$K$2:$K$5000) / ((Kintoneデータ抽出!$K$2:$K$5000="院内")), ROW(A72))), "")</f>
        <v/>
      </c>
      <c r="F109" s="43" t="str">
        <f t="array" ref="F109">IFERROR(INDEX(Kintoneデータ抽出!D:D, _xlfn.AGGREGATE(15, 6, ROW(Kintoneデータ抽出!$K$2:$K$5000) / ((Kintoneデータ抽出!$K$2:$K$5000="院内")), ROW(A72))), "")</f>
        <v/>
      </c>
      <c r="G109" s="43" t="str">
        <f t="array" ref="G109">IFERROR(INDEX(Kintoneデータ抽出!C:C, _xlfn.AGGREGATE(15, 6, ROW(Kintoneデータ抽出!$K$2:$K$5000) / ((Kintoneデータ抽出!$K$2:$K$5000="院内")), ROW(A72))), "")</f>
        <v/>
      </c>
      <c r="H109" s="41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2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3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1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1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1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7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4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6.6" customHeight="1" x14ac:dyDescent="0.45">
      <c r="B110" s="142"/>
      <c r="C110" s="143"/>
      <c r="D110" s="67" t="str">
        <f t="shared" si="2"/>
        <v/>
      </c>
      <c r="E110" s="41" t="str">
        <f t="array" ref="E110">IFERROR(INDEX(Kintoneデータ抽出!A:A, _xlfn.AGGREGATE(15, 6, ROW(Kintoneデータ抽出!$K$2:$K$5000) / ((Kintoneデータ抽出!$K$2:$K$5000="院内")), ROW(A73))), "")</f>
        <v/>
      </c>
      <c r="F110" s="43" t="str">
        <f t="array" ref="F110">IFERROR(INDEX(Kintoneデータ抽出!D:D, _xlfn.AGGREGATE(15, 6, ROW(Kintoneデータ抽出!$K$2:$K$5000) / ((Kintoneデータ抽出!$K$2:$K$5000="院内")), ROW(A73))), "")</f>
        <v/>
      </c>
      <c r="G110" s="43" t="str">
        <f t="array" ref="G110">IFERROR(INDEX(Kintoneデータ抽出!C:C, _xlfn.AGGREGATE(15, 6, ROW(Kintoneデータ抽出!$K$2:$K$5000) / ((Kintoneデータ抽出!$K$2:$K$5000="院内")), ROW(A73))), "")</f>
        <v/>
      </c>
      <c r="H110" s="41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2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3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1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1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1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7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4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6.6" customHeight="1" x14ac:dyDescent="0.45">
      <c r="B111" s="142"/>
      <c r="C111" s="143"/>
      <c r="D111" s="67" t="str">
        <f t="shared" si="2"/>
        <v/>
      </c>
      <c r="E111" s="41" t="str">
        <f t="array" ref="E111">IFERROR(INDEX(Kintoneデータ抽出!A:A, _xlfn.AGGREGATE(15, 6, ROW(Kintoneデータ抽出!$K$2:$K$5000) / ((Kintoneデータ抽出!$K$2:$K$5000="院内")), ROW(A74))), "")</f>
        <v/>
      </c>
      <c r="F111" s="43" t="str">
        <f t="array" ref="F111">IFERROR(INDEX(Kintoneデータ抽出!D:D, _xlfn.AGGREGATE(15, 6, ROW(Kintoneデータ抽出!$K$2:$K$5000) / ((Kintoneデータ抽出!$K$2:$K$5000="院内")), ROW(A74))), "")</f>
        <v/>
      </c>
      <c r="G111" s="43" t="str">
        <f t="array" ref="G111">IFERROR(INDEX(Kintoneデータ抽出!C:C, _xlfn.AGGREGATE(15, 6, ROW(Kintoneデータ抽出!$K$2:$K$5000) / ((Kintoneデータ抽出!$K$2:$K$5000="院内")), ROW(A74))), "")</f>
        <v/>
      </c>
      <c r="H111" s="41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2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3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1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1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1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7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4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6.6" customHeight="1" x14ac:dyDescent="0.45">
      <c r="B112" s="142"/>
      <c r="C112" s="143"/>
      <c r="D112" s="67" t="str">
        <f t="shared" si="2"/>
        <v/>
      </c>
      <c r="E112" s="41" t="str">
        <f t="array" ref="E112">IFERROR(INDEX(Kintoneデータ抽出!A:A, _xlfn.AGGREGATE(15, 6, ROW(Kintoneデータ抽出!$K$2:$K$5000) / ((Kintoneデータ抽出!$K$2:$K$5000="院内")), ROW(A75))), "")</f>
        <v/>
      </c>
      <c r="F112" s="43" t="str">
        <f t="array" ref="F112">IFERROR(INDEX(Kintoneデータ抽出!D:D, _xlfn.AGGREGATE(15, 6, ROW(Kintoneデータ抽出!$K$2:$K$5000) / ((Kintoneデータ抽出!$K$2:$K$5000="院内")), ROW(A75))), "")</f>
        <v/>
      </c>
      <c r="G112" s="43" t="str">
        <f t="array" ref="G112">IFERROR(INDEX(Kintoneデータ抽出!C:C, _xlfn.AGGREGATE(15, 6, ROW(Kintoneデータ抽出!$K$2:$K$5000) / ((Kintoneデータ抽出!$K$2:$K$5000="院内")), ROW(A75))), "")</f>
        <v/>
      </c>
      <c r="H112" s="41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2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3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1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1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1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7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4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6.6" customHeight="1" x14ac:dyDescent="0.45">
      <c r="B113" s="142"/>
      <c r="C113" s="143"/>
      <c r="D113" s="67" t="str">
        <f t="shared" si="2"/>
        <v/>
      </c>
      <c r="E113" s="41" t="str">
        <f t="array" ref="E113">IFERROR(INDEX(Kintoneデータ抽出!A:A, _xlfn.AGGREGATE(15, 6, ROW(Kintoneデータ抽出!$K$2:$K$5000) / ((Kintoneデータ抽出!$K$2:$K$5000="院内")), ROW(A76))), "")</f>
        <v/>
      </c>
      <c r="F113" s="43" t="str">
        <f t="array" ref="F113">IFERROR(INDEX(Kintoneデータ抽出!D:D, _xlfn.AGGREGATE(15, 6, ROW(Kintoneデータ抽出!$K$2:$K$5000) / ((Kintoneデータ抽出!$K$2:$K$5000="院内")), ROW(A76))), "")</f>
        <v/>
      </c>
      <c r="G113" s="43" t="str">
        <f t="array" ref="G113">IFERROR(INDEX(Kintoneデータ抽出!C:C, _xlfn.AGGREGATE(15, 6, ROW(Kintoneデータ抽出!$K$2:$K$5000) / ((Kintoneデータ抽出!$K$2:$K$5000="院内")), ROW(A76))), "")</f>
        <v/>
      </c>
      <c r="H113" s="41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2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3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1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1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1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7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4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6.6" customHeight="1" x14ac:dyDescent="0.45">
      <c r="B114" s="142"/>
      <c r="C114" s="143"/>
      <c r="D114" s="67" t="str">
        <f t="shared" si="2"/>
        <v/>
      </c>
      <c r="E114" s="41" t="str">
        <f t="array" ref="E114">IFERROR(INDEX(Kintoneデータ抽出!A:A, _xlfn.AGGREGATE(15, 6, ROW(Kintoneデータ抽出!$K$2:$K$5000) / ((Kintoneデータ抽出!$K$2:$K$5000="院内")), ROW(A77))), "")</f>
        <v/>
      </c>
      <c r="F114" s="43" t="str">
        <f t="array" ref="F114">IFERROR(INDEX(Kintoneデータ抽出!D:D, _xlfn.AGGREGATE(15, 6, ROW(Kintoneデータ抽出!$K$2:$K$5000) / ((Kintoneデータ抽出!$K$2:$K$5000="院内")), ROW(A77))), "")</f>
        <v/>
      </c>
      <c r="G114" s="43" t="str">
        <f t="array" ref="G114">IFERROR(INDEX(Kintoneデータ抽出!C:C, _xlfn.AGGREGATE(15, 6, ROW(Kintoneデータ抽出!$K$2:$K$5000) / ((Kintoneデータ抽出!$K$2:$K$5000="院内")), ROW(A77))), "")</f>
        <v/>
      </c>
      <c r="H114" s="41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2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3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1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1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1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7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4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6.6" customHeight="1" x14ac:dyDescent="0.45">
      <c r="B115" s="142"/>
      <c r="C115" s="143"/>
      <c r="D115" s="67" t="str">
        <f t="shared" si="2"/>
        <v/>
      </c>
      <c r="E115" s="41" t="str">
        <f t="array" ref="E115">IFERROR(INDEX(Kintoneデータ抽出!A:A, _xlfn.AGGREGATE(15, 6, ROW(Kintoneデータ抽出!$K$2:$K$5000) / ((Kintoneデータ抽出!$K$2:$K$5000="院内")), ROW(A78))), "")</f>
        <v/>
      </c>
      <c r="F115" s="43" t="str">
        <f t="array" ref="F115">IFERROR(INDEX(Kintoneデータ抽出!D:D, _xlfn.AGGREGATE(15, 6, ROW(Kintoneデータ抽出!$K$2:$K$5000) / ((Kintoneデータ抽出!$K$2:$K$5000="院内")), ROW(A78))), "")</f>
        <v/>
      </c>
      <c r="G115" s="43" t="str">
        <f t="array" ref="G115">IFERROR(INDEX(Kintoneデータ抽出!C:C, _xlfn.AGGREGATE(15, 6, ROW(Kintoneデータ抽出!$K$2:$K$5000) / ((Kintoneデータ抽出!$K$2:$K$5000="院内")), ROW(A78))), "")</f>
        <v/>
      </c>
      <c r="H115" s="41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2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3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1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1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1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7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4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6.6" customHeight="1" x14ac:dyDescent="0.45">
      <c r="B116" s="142"/>
      <c r="C116" s="143"/>
      <c r="D116" s="67" t="str">
        <f t="shared" si="2"/>
        <v/>
      </c>
      <c r="E116" s="41" t="str">
        <f t="array" ref="E116">IFERROR(INDEX(Kintoneデータ抽出!A:A, _xlfn.AGGREGATE(15, 6, ROW(Kintoneデータ抽出!$K$2:$K$5000) / ((Kintoneデータ抽出!$K$2:$K$5000="院内")), ROW(A79))), "")</f>
        <v/>
      </c>
      <c r="F116" s="43" t="str">
        <f t="array" ref="F116">IFERROR(INDEX(Kintoneデータ抽出!D:D, _xlfn.AGGREGATE(15, 6, ROW(Kintoneデータ抽出!$K$2:$K$5000) / ((Kintoneデータ抽出!$K$2:$K$5000="院内")), ROW(A79))), "")</f>
        <v/>
      </c>
      <c r="G116" s="43" t="str">
        <f t="array" ref="G116">IFERROR(INDEX(Kintoneデータ抽出!C:C, _xlfn.AGGREGATE(15, 6, ROW(Kintoneデータ抽出!$K$2:$K$5000) / ((Kintoneデータ抽出!$K$2:$K$5000="院内")), ROW(A79))), "")</f>
        <v/>
      </c>
      <c r="H116" s="41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2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3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1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1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1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7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4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6.6" customHeight="1" x14ac:dyDescent="0.45">
      <c r="B117" s="142"/>
      <c r="C117" s="143"/>
      <c r="D117" s="67" t="str">
        <f t="shared" si="2"/>
        <v/>
      </c>
      <c r="E117" s="41" t="str">
        <f t="array" ref="E117">IFERROR(INDEX(Kintoneデータ抽出!A:A, _xlfn.AGGREGATE(15, 6, ROW(Kintoneデータ抽出!$K$2:$K$5000) / ((Kintoneデータ抽出!$K$2:$K$5000="院内")), ROW(A80))), "")</f>
        <v/>
      </c>
      <c r="F117" s="43" t="str">
        <f t="array" ref="F117">IFERROR(INDEX(Kintoneデータ抽出!D:D, _xlfn.AGGREGATE(15, 6, ROW(Kintoneデータ抽出!$K$2:$K$5000) / ((Kintoneデータ抽出!$K$2:$K$5000="院内")), ROW(A80))), "")</f>
        <v/>
      </c>
      <c r="G117" s="43" t="str">
        <f t="array" ref="G117">IFERROR(INDEX(Kintoneデータ抽出!C:C, _xlfn.AGGREGATE(15, 6, ROW(Kintoneデータ抽出!$K$2:$K$5000) / ((Kintoneデータ抽出!$K$2:$K$5000="院内")), ROW(A80))), "")</f>
        <v/>
      </c>
      <c r="H117" s="41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2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3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1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1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1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7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4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6.6" customHeight="1" x14ac:dyDescent="0.45">
      <c r="B118" s="142"/>
      <c r="C118" s="143"/>
      <c r="D118" s="67" t="str">
        <f t="shared" si="2"/>
        <v/>
      </c>
      <c r="E118" s="41" t="str">
        <f t="array" ref="E118">IFERROR(INDEX(Kintoneデータ抽出!A:A, _xlfn.AGGREGATE(15, 6, ROW(Kintoneデータ抽出!$K$2:$K$5000) / ((Kintoneデータ抽出!$K$2:$K$5000="院内")), ROW(A81))), "")</f>
        <v/>
      </c>
      <c r="F118" s="43" t="str">
        <f t="array" ref="F118">IFERROR(INDEX(Kintoneデータ抽出!D:D, _xlfn.AGGREGATE(15, 6, ROW(Kintoneデータ抽出!$K$2:$K$5000) / ((Kintoneデータ抽出!$K$2:$K$5000="院内")), ROW(A81))), "")</f>
        <v/>
      </c>
      <c r="G118" s="43" t="str">
        <f t="array" ref="G118">IFERROR(INDEX(Kintoneデータ抽出!C:C, _xlfn.AGGREGATE(15, 6, ROW(Kintoneデータ抽出!$K$2:$K$5000) / ((Kintoneデータ抽出!$K$2:$K$5000="院内")), ROW(A81))), "")</f>
        <v/>
      </c>
      <c r="H118" s="41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2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3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1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1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1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7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4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6.6" customHeight="1" x14ac:dyDescent="0.45">
      <c r="B119" s="142"/>
      <c r="C119" s="143"/>
      <c r="D119" s="67" t="str">
        <f t="shared" si="2"/>
        <v/>
      </c>
      <c r="E119" s="41" t="str">
        <f t="array" ref="E119">IFERROR(INDEX(Kintoneデータ抽出!A:A, _xlfn.AGGREGATE(15, 6, ROW(Kintoneデータ抽出!$K$2:$K$5000) / ((Kintoneデータ抽出!$K$2:$K$5000="院内")), ROW(A82))), "")</f>
        <v/>
      </c>
      <c r="F119" s="43" t="str">
        <f t="array" ref="F119">IFERROR(INDEX(Kintoneデータ抽出!D:D, _xlfn.AGGREGATE(15, 6, ROW(Kintoneデータ抽出!$K$2:$K$5000) / ((Kintoneデータ抽出!$K$2:$K$5000="院内")), ROW(A82))), "")</f>
        <v/>
      </c>
      <c r="G119" s="43" t="str">
        <f t="array" ref="G119">IFERROR(INDEX(Kintoneデータ抽出!C:C, _xlfn.AGGREGATE(15, 6, ROW(Kintoneデータ抽出!$K$2:$K$5000) / ((Kintoneデータ抽出!$K$2:$K$5000="院内")), ROW(A82))), "")</f>
        <v/>
      </c>
      <c r="H119" s="41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2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3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1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1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1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7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4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6.6" customHeight="1" x14ac:dyDescent="0.45">
      <c r="B120" s="142"/>
      <c r="C120" s="143"/>
      <c r="D120" s="67" t="str">
        <f t="shared" si="2"/>
        <v/>
      </c>
      <c r="E120" s="41" t="str">
        <f t="array" ref="E120">IFERROR(INDEX(Kintoneデータ抽出!A:A, _xlfn.AGGREGATE(15, 6, ROW(Kintoneデータ抽出!$K$2:$K$5000) / ((Kintoneデータ抽出!$K$2:$K$5000="院内")), ROW(A83))), "")</f>
        <v/>
      </c>
      <c r="F120" s="43" t="str">
        <f t="array" ref="F120">IFERROR(INDEX(Kintoneデータ抽出!D:D, _xlfn.AGGREGATE(15, 6, ROW(Kintoneデータ抽出!$K$2:$K$5000) / ((Kintoneデータ抽出!$K$2:$K$5000="院内")), ROW(A83))), "")</f>
        <v/>
      </c>
      <c r="G120" s="43" t="str">
        <f t="array" ref="G120">IFERROR(INDEX(Kintoneデータ抽出!C:C, _xlfn.AGGREGATE(15, 6, ROW(Kintoneデータ抽出!$K$2:$K$5000) / ((Kintoneデータ抽出!$K$2:$K$5000="院内")), ROW(A83))), "")</f>
        <v/>
      </c>
      <c r="H120" s="41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2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3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1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1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1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7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4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6.6" customHeight="1" x14ac:dyDescent="0.45">
      <c r="B121" s="142"/>
      <c r="C121" s="143"/>
      <c r="D121" s="67" t="str">
        <f t="shared" si="2"/>
        <v/>
      </c>
      <c r="E121" s="41" t="str">
        <f t="array" ref="E121">IFERROR(INDEX(Kintoneデータ抽出!A:A, _xlfn.AGGREGATE(15, 6, ROW(Kintoneデータ抽出!$K$2:$K$5000) / ((Kintoneデータ抽出!$K$2:$K$5000="院内")), ROW(A84))), "")</f>
        <v/>
      </c>
      <c r="F121" s="43" t="str">
        <f t="array" ref="F121">IFERROR(INDEX(Kintoneデータ抽出!D:D, _xlfn.AGGREGATE(15, 6, ROW(Kintoneデータ抽出!$K$2:$K$5000) / ((Kintoneデータ抽出!$K$2:$K$5000="院内")), ROW(A84))), "")</f>
        <v/>
      </c>
      <c r="G121" s="43" t="str">
        <f t="array" ref="G121">IFERROR(INDEX(Kintoneデータ抽出!C:C, _xlfn.AGGREGATE(15, 6, ROW(Kintoneデータ抽出!$K$2:$K$5000) / ((Kintoneデータ抽出!$K$2:$K$5000="院内")), ROW(A84))), "")</f>
        <v/>
      </c>
      <c r="H121" s="41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2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3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1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1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1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7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4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6.6" customHeight="1" x14ac:dyDescent="0.45">
      <c r="B122" s="142"/>
      <c r="C122" s="143"/>
      <c r="D122" s="67" t="str">
        <f t="shared" si="2"/>
        <v/>
      </c>
      <c r="E122" s="41" t="str">
        <f t="array" ref="E122">IFERROR(INDEX(Kintoneデータ抽出!A:A, _xlfn.AGGREGATE(15, 6, ROW(Kintoneデータ抽出!$K$2:$K$5000) / ((Kintoneデータ抽出!$K$2:$K$5000="院内")), ROW(A85))), "")</f>
        <v/>
      </c>
      <c r="F122" s="43" t="str">
        <f t="array" ref="F122">IFERROR(INDEX(Kintoneデータ抽出!D:D, _xlfn.AGGREGATE(15, 6, ROW(Kintoneデータ抽出!$K$2:$K$5000) / ((Kintoneデータ抽出!$K$2:$K$5000="院内")), ROW(A85))), "")</f>
        <v/>
      </c>
      <c r="G122" s="43" t="str">
        <f t="array" ref="G122">IFERROR(INDEX(Kintoneデータ抽出!C:C, _xlfn.AGGREGATE(15, 6, ROW(Kintoneデータ抽出!$K$2:$K$5000) / ((Kintoneデータ抽出!$K$2:$K$5000="院内")), ROW(A85))), "")</f>
        <v/>
      </c>
      <c r="H122" s="41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2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3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1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1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1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7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4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6.6" customHeight="1" x14ac:dyDescent="0.45">
      <c r="B123" s="142"/>
      <c r="C123" s="143"/>
      <c r="D123" s="67" t="str">
        <f t="shared" si="2"/>
        <v/>
      </c>
      <c r="E123" s="41" t="str">
        <f t="array" ref="E123">IFERROR(INDEX(Kintoneデータ抽出!A:A, _xlfn.AGGREGATE(15, 6, ROW(Kintoneデータ抽出!$K$2:$K$5000) / ((Kintoneデータ抽出!$K$2:$K$5000="院内")), ROW(A86))), "")</f>
        <v/>
      </c>
      <c r="F123" s="43" t="str">
        <f t="array" ref="F123">IFERROR(INDEX(Kintoneデータ抽出!D:D, _xlfn.AGGREGATE(15, 6, ROW(Kintoneデータ抽出!$K$2:$K$5000) / ((Kintoneデータ抽出!$K$2:$K$5000="院内")), ROW(A86))), "")</f>
        <v/>
      </c>
      <c r="G123" s="43" t="str">
        <f t="array" ref="G123">IFERROR(INDEX(Kintoneデータ抽出!C:C, _xlfn.AGGREGATE(15, 6, ROW(Kintoneデータ抽出!$K$2:$K$5000) / ((Kintoneデータ抽出!$K$2:$K$5000="院内")), ROW(A86))), "")</f>
        <v/>
      </c>
      <c r="H123" s="41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2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3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1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1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1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7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4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6.6" customHeight="1" x14ac:dyDescent="0.45">
      <c r="B124" s="142"/>
      <c r="C124" s="143"/>
      <c r="D124" s="67" t="str">
        <f t="shared" si="2"/>
        <v/>
      </c>
      <c r="E124" s="41" t="str">
        <f t="array" ref="E124">IFERROR(INDEX(Kintoneデータ抽出!A:A, _xlfn.AGGREGATE(15, 6, ROW(Kintoneデータ抽出!$K$2:$K$5000) / ((Kintoneデータ抽出!$K$2:$K$5000="院内")), ROW(A87))), "")</f>
        <v/>
      </c>
      <c r="F124" s="43" t="str">
        <f t="array" ref="F124">IFERROR(INDEX(Kintoneデータ抽出!D:D, _xlfn.AGGREGATE(15, 6, ROW(Kintoneデータ抽出!$K$2:$K$5000) / ((Kintoneデータ抽出!$K$2:$K$5000="院内")), ROW(A87))), "")</f>
        <v/>
      </c>
      <c r="G124" s="43" t="str">
        <f t="array" ref="G124">IFERROR(INDEX(Kintoneデータ抽出!C:C, _xlfn.AGGREGATE(15, 6, ROW(Kintoneデータ抽出!$K$2:$K$5000) / ((Kintoneデータ抽出!$K$2:$K$5000="院内")), ROW(A87))), "")</f>
        <v/>
      </c>
      <c r="H124" s="41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2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3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1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1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1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7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4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6.6" customHeight="1" x14ac:dyDescent="0.45">
      <c r="B125" s="142"/>
      <c r="C125" s="143"/>
      <c r="D125" s="67" t="str">
        <f t="shared" si="2"/>
        <v/>
      </c>
      <c r="E125" s="41" t="str">
        <f t="array" ref="E125">IFERROR(INDEX(Kintoneデータ抽出!A:A, _xlfn.AGGREGATE(15, 6, ROW(Kintoneデータ抽出!$K$2:$K$5000) / ((Kintoneデータ抽出!$K$2:$K$5000="院内")), ROW(A88))), "")</f>
        <v/>
      </c>
      <c r="F125" s="43" t="str">
        <f t="array" ref="F125">IFERROR(INDEX(Kintoneデータ抽出!D:D, _xlfn.AGGREGATE(15, 6, ROW(Kintoneデータ抽出!$K$2:$K$5000) / ((Kintoneデータ抽出!$K$2:$K$5000="院内")), ROW(A88))), "")</f>
        <v/>
      </c>
      <c r="G125" s="43" t="str">
        <f t="array" ref="G125">IFERROR(INDEX(Kintoneデータ抽出!C:C, _xlfn.AGGREGATE(15, 6, ROW(Kintoneデータ抽出!$K$2:$K$5000) / ((Kintoneデータ抽出!$K$2:$K$5000="院内")), ROW(A88))), "")</f>
        <v/>
      </c>
      <c r="H125" s="41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2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3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1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1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1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7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4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6.6" customHeight="1" x14ac:dyDescent="0.45">
      <c r="B126" s="142"/>
      <c r="C126" s="143"/>
      <c r="D126" s="67" t="str">
        <f t="shared" si="2"/>
        <v/>
      </c>
      <c r="E126" s="41" t="str">
        <f t="array" ref="E126">IFERROR(INDEX(Kintoneデータ抽出!A:A, _xlfn.AGGREGATE(15, 6, ROW(Kintoneデータ抽出!$K$2:$K$5000) / ((Kintoneデータ抽出!$K$2:$K$5000="院内")), ROW(A89))), "")</f>
        <v/>
      </c>
      <c r="F126" s="43" t="str">
        <f t="array" ref="F126">IFERROR(INDEX(Kintoneデータ抽出!D:D, _xlfn.AGGREGATE(15, 6, ROW(Kintoneデータ抽出!$K$2:$K$5000) / ((Kintoneデータ抽出!$K$2:$K$5000="院内")), ROW(A89))), "")</f>
        <v/>
      </c>
      <c r="G126" s="43" t="str">
        <f t="array" ref="G126">IFERROR(INDEX(Kintoneデータ抽出!C:C, _xlfn.AGGREGATE(15, 6, ROW(Kintoneデータ抽出!$K$2:$K$5000) / ((Kintoneデータ抽出!$K$2:$K$5000="院内")), ROW(A89))), "")</f>
        <v/>
      </c>
      <c r="H126" s="41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2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3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1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1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1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7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4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6.6" customHeight="1" x14ac:dyDescent="0.45">
      <c r="B127" s="142"/>
      <c r="C127" s="143"/>
      <c r="D127" s="67" t="str">
        <f t="shared" si="2"/>
        <v/>
      </c>
      <c r="E127" s="41" t="str">
        <f t="array" ref="E127">IFERROR(INDEX(Kintoneデータ抽出!A:A, _xlfn.AGGREGATE(15, 6, ROW(Kintoneデータ抽出!$K$2:$K$5000) / ((Kintoneデータ抽出!$K$2:$K$5000="院内")), ROW(A90))), "")</f>
        <v/>
      </c>
      <c r="F127" s="43" t="str">
        <f t="array" ref="F127">IFERROR(INDEX(Kintoneデータ抽出!D:D, _xlfn.AGGREGATE(15, 6, ROW(Kintoneデータ抽出!$K$2:$K$5000) / ((Kintoneデータ抽出!$K$2:$K$5000="院内")), ROW(A90))), "")</f>
        <v/>
      </c>
      <c r="G127" s="43" t="str">
        <f t="array" ref="G127">IFERROR(INDEX(Kintoneデータ抽出!C:C, _xlfn.AGGREGATE(15, 6, ROW(Kintoneデータ抽出!$K$2:$K$5000) / ((Kintoneデータ抽出!$K$2:$K$5000="院内")), ROW(A90))), "")</f>
        <v/>
      </c>
      <c r="H127" s="41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2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3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1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1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1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7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4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6.6" customHeight="1" x14ac:dyDescent="0.45">
      <c r="B128" s="142"/>
      <c r="C128" s="143"/>
      <c r="D128" s="67" t="str">
        <f t="shared" si="2"/>
        <v/>
      </c>
      <c r="E128" s="41" t="str">
        <f t="array" ref="E128">IFERROR(INDEX(Kintoneデータ抽出!A:A, _xlfn.AGGREGATE(15, 6, ROW(Kintoneデータ抽出!$K$2:$K$5000) / ((Kintoneデータ抽出!$K$2:$K$5000="院内")), ROW(A91))), "")</f>
        <v/>
      </c>
      <c r="F128" s="43" t="str">
        <f t="array" ref="F128">IFERROR(INDEX(Kintoneデータ抽出!D:D, _xlfn.AGGREGATE(15, 6, ROW(Kintoneデータ抽出!$K$2:$K$5000) / ((Kintoneデータ抽出!$K$2:$K$5000="院内")), ROW(A91))), "")</f>
        <v/>
      </c>
      <c r="G128" s="43" t="str">
        <f t="array" ref="G128">IFERROR(INDEX(Kintoneデータ抽出!C:C, _xlfn.AGGREGATE(15, 6, ROW(Kintoneデータ抽出!$K$2:$K$5000) / ((Kintoneデータ抽出!$K$2:$K$5000="院内")), ROW(A91))), "")</f>
        <v/>
      </c>
      <c r="H128" s="41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2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3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1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1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1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7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4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6.6" customHeight="1" x14ac:dyDescent="0.45">
      <c r="B129" s="142"/>
      <c r="C129" s="143"/>
      <c r="D129" s="67" t="str">
        <f t="shared" si="2"/>
        <v/>
      </c>
      <c r="E129" s="41" t="str">
        <f t="array" ref="E129">IFERROR(INDEX(Kintoneデータ抽出!A:A, _xlfn.AGGREGATE(15, 6, ROW(Kintoneデータ抽出!$K$2:$K$5000) / ((Kintoneデータ抽出!$K$2:$K$5000="院内")), ROW(A92))), "")</f>
        <v/>
      </c>
      <c r="F129" s="43" t="str">
        <f t="array" ref="F129">IFERROR(INDEX(Kintoneデータ抽出!D:D, _xlfn.AGGREGATE(15, 6, ROW(Kintoneデータ抽出!$K$2:$K$5000) / ((Kintoneデータ抽出!$K$2:$K$5000="院内")), ROW(A92))), "")</f>
        <v/>
      </c>
      <c r="G129" s="43" t="str">
        <f t="array" ref="G129">IFERROR(INDEX(Kintoneデータ抽出!C:C, _xlfn.AGGREGATE(15, 6, ROW(Kintoneデータ抽出!$K$2:$K$5000) / ((Kintoneデータ抽出!$K$2:$K$5000="院内")), ROW(A92))), "")</f>
        <v/>
      </c>
      <c r="H129" s="41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2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3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1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1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1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7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4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6.6" customHeight="1" x14ac:dyDescent="0.45">
      <c r="B130" s="142"/>
      <c r="C130" s="143"/>
      <c r="D130" s="67" t="str">
        <f t="shared" si="2"/>
        <v/>
      </c>
      <c r="E130" s="41" t="str">
        <f t="array" ref="E130">IFERROR(INDEX(Kintoneデータ抽出!A:A, _xlfn.AGGREGATE(15, 6, ROW(Kintoneデータ抽出!$K$2:$K$5000) / ((Kintoneデータ抽出!$K$2:$K$5000="院内")), ROW(A93))), "")</f>
        <v/>
      </c>
      <c r="F130" s="43" t="str">
        <f t="array" ref="F130">IFERROR(INDEX(Kintoneデータ抽出!D:D, _xlfn.AGGREGATE(15, 6, ROW(Kintoneデータ抽出!$K$2:$K$5000) / ((Kintoneデータ抽出!$K$2:$K$5000="院内")), ROW(A93))), "")</f>
        <v/>
      </c>
      <c r="G130" s="43" t="str">
        <f t="array" ref="G130">IFERROR(INDEX(Kintoneデータ抽出!C:C, _xlfn.AGGREGATE(15, 6, ROW(Kintoneデータ抽出!$K$2:$K$5000) / ((Kintoneデータ抽出!$K$2:$K$5000="院内")), ROW(A93))), "")</f>
        <v/>
      </c>
      <c r="H130" s="41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2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3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1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1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1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7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4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6.6" customHeight="1" x14ac:dyDescent="0.45">
      <c r="B131" s="142"/>
      <c r="C131" s="143"/>
      <c r="D131" s="67" t="str">
        <f t="shared" si="2"/>
        <v/>
      </c>
      <c r="E131" s="41" t="str">
        <f t="array" ref="E131">IFERROR(INDEX(Kintoneデータ抽出!A:A, _xlfn.AGGREGATE(15, 6, ROW(Kintoneデータ抽出!$K$2:$K$5000) / ((Kintoneデータ抽出!$K$2:$K$5000="院内")), ROW(A94))), "")</f>
        <v/>
      </c>
      <c r="F131" s="43" t="str">
        <f t="array" ref="F131">IFERROR(INDEX(Kintoneデータ抽出!D:D, _xlfn.AGGREGATE(15, 6, ROW(Kintoneデータ抽出!$K$2:$K$5000) / ((Kintoneデータ抽出!$K$2:$K$5000="院内")), ROW(A94))), "")</f>
        <v/>
      </c>
      <c r="G131" s="43" t="str">
        <f t="array" ref="G131">IFERROR(INDEX(Kintoneデータ抽出!C:C, _xlfn.AGGREGATE(15, 6, ROW(Kintoneデータ抽出!$K$2:$K$5000) / ((Kintoneデータ抽出!$K$2:$K$5000="院内")), ROW(A94))), "")</f>
        <v/>
      </c>
      <c r="H131" s="41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2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3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1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1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1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7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4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6.6" customHeight="1" x14ac:dyDescent="0.45">
      <c r="B132" s="142"/>
      <c r="C132" s="143"/>
      <c r="D132" s="67" t="str">
        <f t="shared" si="2"/>
        <v/>
      </c>
      <c r="E132" s="41" t="str">
        <f t="array" ref="E132">IFERROR(INDEX(Kintoneデータ抽出!A:A, _xlfn.AGGREGATE(15, 6, ROW(Kintoneデータ抽出!$K$2:$K$5000) / ((Kintoneデータ抽出!$K$2:$K$5000="院内")), ROW(A95))), "")</f>
        <v/>
      </c>
      <c r="F132" s="43" t="str">
        <f t="array" ref="F132">IFERROR(INDEX(Kintoneデータ抽出!D:D, _xlfn.AGGREGATE(15, 6, ROW(Kintoneデータ抽出!$K$2:$K$5000) / ((Kintoneデータ抽出!$K$2:$K$5000="院内")), ROW(A95))), "")</f>
        <v/>
      </c>
      <c r="G132" s="43" t="str">
        <f t="array" ref="G132">IFERROR(INDEX(Kintoneデータ抽出!C:C, _xlfn.AGGREGATE(15, 6, ROW(Kintoneデータ抽出!$K$2:$K$5000) / ((Kintoneデータ抽出!$K$2:$K$5000="院内")), ROW(A95))), "")</f>
        <v/>
      </c>
      <c r="H132" s="41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2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3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1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1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1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7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4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6.6" customHeight="1" x14ac:dyDescent="0.45">
      <c r="B133" s="142"/>
      <c r="C133" s="143"/>
      <c r="D133" s="67" t="str">
        <f t="shared" si="2"/>
        <v/>
      </c>
      <c r="E133" s="41" t="str">
        <f t="array" ref="E133">IFERROR(INDEX(Kintoneデータ抽出!A:A, _xlfn.AGGREGATE(15, 6, ROW(Kintoneデータ抽出!$K$2:$K$5000) / ((Kintoneデータ抽出!$K$2:$K$5000="院内")), ROW(A96))), "")</f>
        <v/>
      </c>
      <c r="F133" s="43" t="str">
        <f t="array" ref="F133">IFERROR(INDEX(Kintoneデータ抽出!D:D, _xlfn.AGGREGATE(15, 6, ROW(Kintoneデータ抽出!$K$2:$K$5000) / ((Kintoneデータ抽出!$K$2:$K$5000="院内")), ROW(A96))), "")</f>
        <v/>
      </c>
      <c r="G133" s="43" t="str">
        <f t="array" ref="G133">IFERROR(INDEX(Kintoneデータ抽出!C:C, _xlfn.AGGREGATE(15, 6, ROW(Kintoneデータ抽出!$K$2:$K$5000) / ((Kintoneデータ抽出!$K$2:$K$5000="院内")), ROW(A96))), "")</f>
        <v/>
      </c>
      <c r="H133" s="41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2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3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1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1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1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7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4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6.6" customHeight="1" x14ac:dyDescent="0.45">
      <c r="B134" s="142"/>
      <c r="C134" s="143"/>
      <c r="D134" s="67" t="str">
        <f t="shared" si="2"/>
        <v/>
      </c>
      <c r="E134" s="41" t="str">
        <f t="array" ref="E134">IFERROR(INDEX(Kintoneデータ抽出!A:A, _xlfn.AGGREGATE(15, 6, ROW(Kintoneデータ抽出!$K$2:$K$5000) / ((Kintoneデータ抽出!$K$2:$K$5000="院内")), ROW(A97))), "")</f>
        <v/>
      </c>
      <c r="F134" s="43" t="str">
        <f t="array" ref="F134">IFERROR(INDEX(Kintoneデータ抽出!D:D, _xlfn.AGGREGATE(15, 6, ROW(Kintoneデータ抽出!$K$2:$K$5000) / ((Kintoneデータ抽出!$K$2:$K$5000="院内")), ROW(A97))), "")</f>
        <v/>
      </c>
      <c r="G134" s="43" t="str">
        <f t="array" ref="G134">IFERROR(INDEX(Kintoneデータ抽出!C:C, _xlfn.AGGREGATE(15, 6, ROW(Kintoneデータ抽出!$K$2:$K$5000) / ((Kintoneデータ抽出!$K$2:$K$5000="院内")), ROW(A97))), "")</f>
        <v/>
      </c>
      <c r="H134" s="41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2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3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1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1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1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7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4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6.6" customHeight="1" x14ac:dyDescent="0.45">
      <c r="B135" s="142"/>
      <c r="C135" s="143"/>
      <c r="D135" s="67" t="str">
        <f t="shared" si="2"/>
        <v/>
      </c>
      <c r="E135" s="41" t="str">
        <f t="array" ref="E135">IFERROR(INDEX(Kintoneデータ抽出!A:A, _xlfn.AGGREGATE(15, 6, ROW(Kintoneデータ抽出!$K$2:$K$5000) / ((Kintoneデータ抽出!$K$2:$K$5000="院内")), ROW(A98))), "")</f>
        <v/>
      </c>
      <c r="F135" s="43" t="str">
        <f t="array" ref="F135">IFERROR(INDEX(Kintoneデータ抽出!D:D, _xlfn.AGGREGATE(15, 6, ROW(Kintoneデータ抽出!$K$2:$K$5000) / ((Kintoneデータ抽出!$K$2:$K$5000="院内")), ROW(A98))), "")</f>
        <v/>
      </c>
      <c r="G135" s="43" t="str">
        <f t="array" ref="G135">IFERROR(INDEX(Kintoneデータ抽出!C:C, _xlfn.AGGREGATE(15, 6, ROW(Kintoneデータ抽出!$K$2:$K$5000) / ((Kintoneデータ抽出!$K$2:$K$5000="院内")), ROW(A98))), "")</f>
        <v/>
      </c>
      <c r="H135" s="41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2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3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1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1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1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7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4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6.6" customHeight="1" x14ac:dyDescent="0.45">
      <c r="B136" s="142"/>
      <c r="C136" s="143"/>
      <c r="D136" s="67" t="str">
        <f t="shared" si="2"/>
        <v/>
      </c>
      <c r="E136" s="41" t="str">
        <f t="array" ref="E136">IFERROR(INDEX(Kintoneデータ抽出!A:A, _xlfn.AGGREGATE(15, 6, ROW(Kintoneデータ抽出!$K$2:$K$5000) / ((Kintoneデータ抽出!$K$2:$K$5000="院内")), ROW(A99))), "")</f>
        <v/>
      </c>
      <c r="F136" s="43" t="str">
        <f t="array" ref="F136">IFERROR(INDEX(Kintoneデータ抽出!D:D, _xlfn.AGGREGATE(15, 6, ROW(Kintoneデータ抽出!$K$2:$K$5000) / ((Kintoneデータ抽出!$K$2:$K$5000="院内")), ROW(A99))), "")</f>
        <v/>
      </c>
      <c r="G136" s="43" t="str">
        <f t="array" ref="G136">IFERROR(INDEX(Kintoneデータ抽出!C:C, _xlfn.AGGREGATE(15, 6, ROW(Kintoneデータ抽出!$K$2:$K$5000) / ((Kintoneデータ抽出!$K$2:$K$5000="院内")), ROW(A99))), "")</f>
        <v/>
      </c>
      <c r="H136" s="41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2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3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1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1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1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7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4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6.6" customHeight="1" x14ac:dyDescent="0.45">
      <c r="B137" s="142"/>
      <c r="C137" s="143"/>
      <c r="D137" s="67" t="str">
        <f t="shared" si="2"/>
        <v/>
      </c>
      <c r="E137" s="41" t="str">
        <f t="array" ref="E137">IFERROR(INDEX(Kintoneデータ抽出!A:A, _xlfn.AGGREGATE(15, 6, ROW(Kintoneデータ抽出!$K$2:$K$5000) / ((Kintoneデータ抽出!$K$2:$K$5000="院内")), ROW(A100))), "")</f>
        <v/>
      </c>
      <c r="F137" s="43" t="str">
        <f t="array" ref="F137">IFERROR(INDEX(Kintoneデータ抽出!D:D, _xlfn.AGGREGATE(15, 6, ROW(Kintoneデータ抽出!$K$2:$K$5000) / ((Kintoneデータ抽出!$K$2:$K$5000="院内")), ROW(A100))), "")</f>
        <v/>
      </c>
      <c r="G137" s="43" t="str">
        <f t="array" ref="G137">IFERROR(INDEX(Kintoneデータ抽出!C:C, _xlfn.AGGREGATE(15, 6, ROW(Kintoneデータ抽出!$K$2:$K$5000) / ((Kintoneデータ抽出!$K$2:$K$5000="院内")), ROW(A100))), "")</f>
        <v/>
      </c>
      <c r="H137" s="41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2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3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1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1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1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7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4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6.6" customHeight="1" x14ac:dyDescent="0.45">
      <c r="B138" s="142"/>
      <c r="C138" s="143"/>
      <c r="D138" s="67" t="str">
        <f t="shared" si="2"/>
        <v/>
      </c>
      <c r="E138" s="41" t="str">
        <f t="array" ref="E138">IFERROR(INDEX(Kintoneデータ抽出!A:A, _xlfn.AGGREGATE(15, 6, ROW(Kintoneデータ抽出!$K$2:$K$5000) / ((Kintoneデータ抽出!$K$2:$K$5000="院内")), ROW(A101))), "")</f>
        <v/>
      </c>
      <c r="F138" s="43" t="str">
        <f t="array" ref="F138">IFERROR(INDEX(Kintoneデータ抽出!D:D, _xlfn.AGGREGATE(15, 6, ROW(Kintoneデータ抽出!$K$2:$K$5000) / ((Kintoneデータ抽出!$K$2:$K$5000="院内")), ROW(A101))), "")</f>
        <v/>
      </c>
      <c r="G138" s="43" t="str">
        <f t="array" ref="G138">IFERROR(INDEX(Kintoneデータ抽出!C:C, _xlfn.AGGREGATE(15, 6, ROW(Kintoneデータ抽出!$K$2:$K$5000) / ((Kintoneデータ抽出!$K$2:$K$5000="院内")), ROW(A101))), "")</f>
        <v/>
      </c>
      <c r="H138" s="41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2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3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1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1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1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7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4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6.6" customHeight="1" x14ac:dyDescent="0.45">
      <c r="B139" s="142"/>
      <c r="C139" s="143"/>
      <c r="D139" s="67" t="str">
        <f t="shared" si="2"/>
        <v/>
      </c>
      <c r="E139" s="41" t="str">
        <f t="array" ref="E139">IFERROR(INDEX(Kintoneデータ抽出!A:A, _xlfn.AGGREGATE(15, 6, ROW(Kintoneデータ抽出!$K$2:$K$5000) / ((Kintoneデータ抽出!$K$2:$K$5000="院内")), ROW(A102))), "")</f>
        <v/>
      </c>
      <c r="F139" s="43" t="str">
        <f t="array" ref="F139">IFERROR(INDEX(Kintoneデータ抽出!D:D, _xlfn.AGGREGATE(15, 6, ROW(Kintoneデータ抽出!$K$2:$K$5000) / ((Kintoneデータ抽出!$K$2:$K$5000="院内")), ROW(A102))), "")</f>
        <v/>
      </c>
      <c r="G139" s="43" t="str">
        <f t="array" ref="G139">IFERROR(INDEX(Kintoneデータ抽出!C:C, _xlfn.AGGREGATE(15, 6, ROW(Kintoneデータ抽出!$K$2:$K$5000) / ((Kintoneデータ抽出!$K$2:$K$5000="院内")), ROW(A102))), "")</f>
        <v/>
      </c>
      <c r="H139" s="41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2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3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1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1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1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7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4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6.6" customHeight="1" x14ac:dyDescent="0.45">
      <c r="B140" s="142"/>
      <c r="C140" s="143"/>
      <c r="D140" s="67" t="str">
        <f t="shared" si="2"/>
        <v/>
      </c>
      <c r="E140" s="41" t="str">
        <f t="array" ref="E140">IFERROR(INDEX(Kintoneデータ抽出!A:A, _xlfn.AGGREGATE(15, 6, ROW(Kintoneデータ抽出!$K$2:$K$5000) / ((Kintoneデータ抽出!$K$2:$K$5000="院内")), ROW(A103))), "")</f>
        <v/>
      </c>
      <c r="F140" s="43" t="str">
        <f t="array" ref="F140">IFERROR(INDEX(Kintoneデータ抽出!D:D, _xlfn.AGGREGATE(15, 6, ROW(Kintoneデータ抽出!$K$2:$K$5000) / ((Kintoneデータ抽出!$K$2:$K$5000="院内")), ROW(A103))), "")</f>
        <v/>
      </c>
      <c r="G140" s="43" t="str">
        <f t="array" ref="G140">IFERROR(INDEX(Kintoneデータ抽出!C:C, _xlfn.AGGREGATE(15, 6, ROW(Kintoneデータ抽出!$K$2:$K$5000) / ((Kintoneデータ抽出!$K$2:$K$5000="院内")), ROW(A103))), "")</f>
        <v/>
      </c>
      <c r="H140" s="41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2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3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1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1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1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7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4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6.6" customHeight="1" x14ac:dyDescent="0.45">
      <c r="B141" s="142"/>
      <c r="C141" s="143"/>
      <c r="D141" s="67" t="str">
        <f t="shared" si="2"/>
        <v/>
      </c>
      <c r="E141" s="41" t="str">
        <f t="array" ref="E141">IFERROR(INDEX(Kintoneデータ抽出!A:A, _xlfn.AGGREGATE(15, 6, ROW(Kintoneデータ抽出!$K$2:$K$5000) / ((Kintoneデータ抽出!$K$2:$K$5000="院内")), ROW(A104))), "")</f>
        <v/>
      </c>
      <c r="F141" s="43" t="str">
        <f t="array" ref="F141">IFERROR(INDEX(Kintoneデータ抽出!D:D, _xlfn.AGGREGATE(15, 6, ROW(Kintoneデータ抽出!$K$2:$K$5000) / ((Kintoneデータ抽出!$K$2:$K$5000="院内")), ROW(A104))), "")</f>
        <v/>
      </c>
      <c r="G141" s="43" t="str">
        <f t="array" ref="G141">IFERROR(INDEX(Kintoneデータ抽出!C:C, _xlfn.AGGREGATE(15, 6, ROW(Kintoneデータ抽出!$K$2:$K$5000) / ((Kintoneデータ抽出!$K$2:$K$5000="院内")), ROW(A104))), "")</f>
        <v/>
      </c>
      <c r="H141" s="41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2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3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1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1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1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7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4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6.6" customHeight="1" x14ac:dyDescent="0.45">
      <c r="B142" s="142"/>
      <c r="C142" s="143"/>
      <c r="D142" s="67" t="str">
        <f t="shared" si="2"/>
        <v/>
      </c>
      <c r="E142" s="41" t="str">
        <f t="array" ref="E142">IFERROR(INDEX(Kintoneデータ抽出!A:A, _xlfn.AGGREGATE(15, 6, ROW(Kintoneデータ抽出!$K$2:$K$5000) / ((Kintoneデータ抽出!$K$2:$K$5000="院内")), ROW(A105))), "")</f>
        <v/>
      </c>
      <c r="F142" s="43" t="str">
        <f t="array" ref="F142">IFERROR(INDEX(Kintoneデータ抽出!D:D, _xlfn.AGGREGATE(15, 6, ROW(Kintoneデータ抽出!$K$2:$K$5000) / ((Kintoneデータ抽出!$K$2:$K$5000="院内")), ROW(A105))), "")</f>
        <v/>
      </c>
      <c r="G142" s="43" t="str">
        <f t="array" ref="G142">IFERROR(INDEX(Kintoneデータ抽出!C:C, _xlfn.AGGREGATE(15, 6, ROW(Kintoneデータ抽出!$K$2:$K$5000) / ((Kintoneデータ抽出!$K$2:$K$5000="院内")), ROW(A105))), "")</f>
        <v/>
      </c>
      <c r="H142" s="41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2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3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1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1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1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7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4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6.6" customHeight="1" x14ac:dyDescent="0.45">
      <c r="B143" s="142"/>
      <c r="C143" s="143"/>
      <c r="D143" s="67" t="str">
        <f t="shared" si="2"/>
        <v/>
      </c>
      <c r="E143" s="41" t="str">
        <f t="array" ref="E143">IFERROR(INDEX(Kintoneデータ抽出!A:A, _xlfn.AGGREGATE(15, 6, ROW(Kintoneデータ抽出!$K$2:$K$5000) / ((Kintoneデータ抽出!$K$2:$K$5000="院内")), ROW(A106))), "")</f>
        <v/>
      </c>
      <c r="F143" s="43" t="str">
        <f t="array" ref="F143">IFERROR(INDEX(Kintoneデータ抽出!D:D, _xlfn.AGGREGATE(15, 6, ROW(Kintoneデータ抽出!$K$2:$K$5000) / ((Kintoneデータ抽出!$K$2:$K$5000="院内")), ROW(A106))), "")</f>
        <v/>
      </c>
      <c r="G143" s="43" t="str">
        <f t="array" ref="G143">IFERROR(INDEX(Kintoneデータ抽出!C:C, _xlfn.AGGREGATE(15, 6, ROW(Kintoneデータ抽出!$K$2:$K$5000) / ((Kintoneデータ抽出!$K$2:$K$5000="院内")), ROW(A106))), "")</f>
        <v/>
      </c>
      <c r="H143" s="41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2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3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1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1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1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7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4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6.6" customHeight="1" x14ac:dyDescent="0.45">
      <c r="B144" s="142"/>
      <c r="C144" s="143"/>
      <c r="D144" s="67" t="str">
        <f t="shared" si="2"/>
        <v/>
      </c>
      <c r="E144" s="41" t="str">
        <f t="array" ref="E144">IFERROR(INDEX(Kintoneデータ抽出!A:A, _xlfn.AGGREGATE(15, 6, ROW(Kintoneデータ抽出!$K$2:$K$5000) / ((Kintoneデータ抽出!$K$2:$K$5000="院内")), ROW(A107))), "")</f>
        <v/>
      </c>
      <c r="F144" s="43" t="str">
        <f t="array" ref="F144">IFERROR(INDEX(Kintoneデータ抽出!D:D, _xlfn.AGGREGATE(15, 6, ROW(Kintoneデータ抽出!$K$2:$K$5000) / ((Kintoneデータ抽出!$K$2:$K$5000="院内")), ROW(A107))), "")</f>
        <v/>
      </c>
      <c r="G144" s="43" t="str">
        <f t="array" ref="G144">IFERROR(INDEX(Kintoneデータ抽出!C:C, _xlfn.AGGREGATE(15, 6, ROW(Kintoneデータ抽出!$K$2:$K$5000) / ((Kintoneデータ抽出!$K$2:$K$5000="院内")), ROW(A107))), "")</f>
        <v/>
      </c>
      <c r="H144" s="41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2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3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1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1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1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7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4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6.6" customHeight="1" x14ac:dyDescent="0.45">
      <c r="B145" s="142"/>
      <c r="C145" s="143"/>
      <c r="D145" s="67" t="str">
        <f t="shared" si="2"/>
        <v/>
      </c>
      <c r="E145" s="41" t="str">
        <f t="array" ref="E145">IFERROR(INDEX(Kintoneデータ抽出!A:A, _xlfn.AGGREGATE(15, 6, ROW(Kintoneデータ抽出!$K$2:$K$5000) / ((Kintoneデータ抽出!$K$2:$K$5000="院内")), ROW(A108))), "")</f>
        <v/>
      </c>
      <c r="F145" s="43" t="str">
        <f t="array" ref="F145">IFERROR(INDEX(Kintoneデータ抽出!D:D, _xlfn.AGGREGATE(15, 6, ROW(Kintoneデータ抽出!$K$2:$K$5000) / ((Kintoneデータ抽出!$K$2:$K$5000="院内")), ROW(A108))), "")</f>
        <v/>
      </c>
      <c r="G145" s="43" t="str">
        <f t="array" ref="G145">IFERROR(INDEX(Kintoneデータ抽出!C:C, _xlfn.AGGREGATE(15, 6, ROW(Kintoneデータ抽出!$K$2:$K$5000) / ((Kintoneデータ抽出!$K$2:$K$5000="院内")), ROW(A108))), "")</f>
        <v/>
      </c>
      <c r="H145" s="41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2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3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1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1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1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7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4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6.6" customHeight="1" x14ac:dyDescent="0.45">
      <c r="B146" s="142"/>
      <c r="C146" s="143"/>
      <c r="D146" s="67" t="str">
        <f t="shared" si="2"/>
        <v/>
      </c>
      <c r="E146" s="41" t="str">
        <f t="array" ref="E146">IFERROR(INDEX(Kintoneデータ抽出!A:A, _xlfn.AGGREGATE(15, 6, ROW(Kintoneデータ抽出!$K$2:$K$5000) / ((Kintoneデータ抽出!$K$2:$K$5000="院内")), ROW(A109))), "")</f>
        <v/>
      </c>
      <c r="F146" s="43" t="str">
        <f t="array" ref="F146">IFERROR(INDEX(Kintoneデータ抽出!D:D, _xlfn.AGGREGATE(15, 6, ROW(Kintoneデータ抽出!$K$2:$K$5000) / ((Kintoneデータ抽出!$K$2:$K$5000="院内")), ROW(A109))), "")</f>
        <v/>
      </c>
      <c r="G146" s="43" t="str">
        <f t="array" ref="G146">IFERROR(INDEX(Kintoneデータ抽出!C:C, _xlfn.AGGREGATE(15, 6, ROW(Kintoneデータ抽出!$K$2:$K$5000) / ((Kintoneデータ抽出!$K$2:$K$5000="院内")), ROW(A109))), "")</f>
        <v/>
      </c>
      <c r="H146" s="41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2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3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1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1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1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7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4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6.6" customHeight="1" x14ac:dyDescent="0.45">
      <c r="B147" s="142"/>
      <c r="C147" s="143"/>
      <c r="D147" s="67" t="str">
        <f t="shared" si="2"/>
        <v/>
      </c>
      <c r="E147" s="41" t="str">
        <f t="array" ref="E147">IFERROR(INDEX(Kintoneデータ抽出!A:A, _xlfn.AGGREGATE(15, 6, ROW(Kintoneデータ抽出!$K$2:$K$5000) / ((Kintoneデータ抽出!$K$2:$K$5000="院内")), ROW(A110))), "")</f>
        <v/>
      </c>
      <c r="F147" s="43" t="str">
        <f t="array" ref="F147">IFERROR(INDEX(Kintoneデータ抽出!D:D, _xlfn.AGGREGATE(15, 6, ROW(Kintoneデータ抽出!$K$2:$K$5000) / ((Kintoneデータ抽出!$K$2:$K$5000="院内")), ROW(A110))), "")</f>
        <v/>
      </c>
      <c r="G147" s="43" t="str">
        <f t="array" ref="G147">IFERROR(INDEX(Kintoneデータ抽出!C:C, _xlfn.AGGREGATE(15, 6, ROW(Kintoneデータ抽出!$K$2:$K$5000) / ((Kintoneデータ抽出!$K$2:$K$5000="院内")), ROW(A110))), "")</f>
        <v/>
      </c>
      <c r="H147" s="41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2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3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1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1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1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7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4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6.6" customHeight="1" x14ac:dyDescent="0.45">
      <c r="B148" s="142"/>
      <c r="C148" s="143"/>
      <c r="D148" s="67" t="str">
        <f t="shared" si="2"/>
        <v/>
      </c>
      <c r="E148" s="41" t="str">
        <f t="array" ref="E148">IFERROR(INDEX(Kintoneデータ抽出!A:A, _xlfn.AGGREGATE(15, 6, ROW(Kintoneデータ抽出!$K$2:$K$5000) / ((Kintoneデータ抽出!$K$2:$K$5000="院内")), ROW(A111))), "")</f>
        <v/>
      </c>
      <c r="F148" s="43" t="str">
        <f t="array" ref="F148">IFERROR(INDEX(Kintoneデータ抽出!D:D, _xlfn.AGGREGATE(15, 6, ROW(Kintoneデータ抽出!$K$2:$K$5000) / ((Kintoneデータ抽出!$K$2:$K$5000="院内")), ROW(A111))), "")</f>
        <v/>
      </c>
      <c r="G148" s="43" t="str">
        <f t="array" ref="G148">IFERROR(INDEX(Kintoneデータ抽出!C:C, _xlfn.AGGREGATE(15, 6, ROW(Kintoneデータ抽出!$K$2:$K$5000) / ((Kintoneデータ抽出!$K$2:$K$5000="院内")), ROW(A111))), "")</f>
        <v/>
      </c>
      <c r="H148" s="41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2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3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1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1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1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7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4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6.6" customHeight="1" x14ac:dyDescent="0.45">
      <c r="B149" s="142"/>
      <c r="C149" s="143"/>
      <c r="D149" s="67" t="str">
        <f t="shared" si="2"/>
        <v/>
      </c>
      <c r="E149" s="41" t="str">
        <f t="array" ref="E149">IFERROR(INDEX(Kintoneデータ抽出!A:A, _xlfn.AGGREGATE(15, 6, ROW(Kintoneデータ抽出!$K$2:$K$5000) / ((Kintoneデータ抽出!$K$2:$K$5000="院内")), ROW(A112))), "")</f>
        <v/>
      </c>
      <c r="F149" s="43" t="str">
        <f t="array" ref="F149">IFERROR(INDEX(Kintoneデータ抽出!D:D, _xlfn.AGGREGATE(15, 6, ROW(Kintoneデータ抽出!$K$2:$K$5000) / ((Kintoneデータ抽出!$K$2:$K$5000="院内")), ROW(A112))), "")</f>
        <v/>
      </c>
      <c r="G149" s="43" t="str">
        <f t="array" ref="G149">IFERROR(INDEX(Kintoneデータ抽出!C:C, _xlfn.AGGREGATE(15, 6, ROW(Kintoneデータ抽出!$K$2:$K$5000) / ((Kintoneデータ抽出!$K$2:$K$5000="院内")), ROW(A112))), "")</f>
        <v/>
      </c>
      <c r="H149" s="41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2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3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1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1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1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7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4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6.6" customHeight="1" x14ac:dyDescent="0.45">
      <c r="B150" s="142"/>
      <c r="C150" s="143"/>
      <c r="D150" s="67" t="str">
        <f t="shared" si="2"/>
        <v/>
      </c>
      <c r="E150" s="41" t="str">
        <f t="array" ref="E150">IFERROR(INDEX(Kintoneデータ抽出!A:A, _xlfn.AGGREGATE(15, 6, ROW(Kintoneデータ抽出!$K$2:$K$5000) / ((Kintoneデータ抽出!$K$2:$K$5000="院内")), ROW(A113))), "")</f>
        <v/>
      </c>
      <c r="F150" s="43" t="str">
        <f t="array" ref="F150">IFERROR(INDEX(Kintoneデータ抽出!D:D, _xlfn.AGGREGATE(15, 6, ROW(Kintoneデータ抽出!$K$2:$K$5000) / ((Kintoneデータ抽出!$K$2:$K$5000="院内")), ROW(A113))), "")</f>
        <v/>
      </c>
      <c r="G150" s="43" t="str">
        <f t="array" ref="G150">IFERROR(INDEX(Kintoneデータ抽出!C:C, _xlfn.AGGREGATE(15, 6, ROW(Kintoneデータ抽出!$K$2:$K$5000) / ((Kintoneデータ抽出!$K$2:$K$5000="院内")), ROW(A113))), "")</f>
        <v/>
      </c>
      <c r="H150" s="41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2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3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1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1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1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7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4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6.6" customHeight="1" x14ac:dyDescent="0.45">
      <c r="B151" s="142"/>
      <c r="C151" s="143"/>
      <c r="D151" s="67" t="str">
        <f t="shared" si="2"/>
        <v/>
      </c>
      <c r="E151" s="41" t="str">
        <f t="array" ref="E151">IFERROR(INDEX(Kintoneデータ抽出!A:A, _xlfn.AGGREGATE(15, 6, ROW(Kintoneデータ抽出!$K$2:$K$5000) / ((Kintoneデータ抽出!$K$2:$K$5000="院内")), ROW(A114))), "")</f>
        <v/>
      </c>
      <c r="F151" s="43" t="str">
        <f t="array" ref="F151">IFERROR(INDEX(Kintoneデータ抽出!D:D, _xlfn.AGGREGATE(15, 6, ROW(Kintoneデータ抽出!$K$2:$K$5000) / ((Kintoneデータ抽出!$K$2:$K$5000="院内")), ROW(A114))), "")</f>
        <v/>
      </c>
      <c r="G151" s="43" t="str">
        <f t="array" ref="G151">IFERROR(INDEX(Kintoneデータ抽出!C:C, _xlfn.AGGREGATE(15, 6, ROW(Kintoneデータ抽出!$K$2:$K$5000) / ((Kintoneデータ抽出!$K$2:$K$5000="院内")), ROW(A114))), "")</f>
        <v/>
      </c>
      <c r="H151" s="41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2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3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1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1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1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7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4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6.6" customHeight="1" x14ac:dyDescent="0.45">
      <c r="B152" s="142"/>
      <c r="C152" s="143"/>
      <c r="D152" s="67" t="str">
        <f t="shared" si="2"/>
        <v/>
      </c>
      <c r="E152" s="41" t="str">
        <f t="array" ref="E152">IFERROR(INDEX(Kintoneデータ抽出!A:A, _xlfn.AGGREGATE(15, 6, ROW(Kintoneデータ抽出!$K$2:$K$5000) / ((Kintoneデータ抽出!$K$2:$K$5000="院内")), ROW(A115))), "")</f>
        <v/>
      </c>
      <c r="F152" s="43" t="str">
        <f t="array" ref="F152">IFERROR(INDEX(Kintoneデータ抽出!D:D, _xlfn.AGGREGATE(15, 6, ROW(Kintoneデータ抽出!$K$2:$K$5000) / ((Kintoneデータ抽出!$K$2:$K$5000="院内")), ROW(A115))), "")</f>
        <v/>
      </c>
      <c r="G152" s="43" t="str">
        <f t="array" ref="G152">IFERROR(INDEX(Kintoneデータ抽出!C:C, _xlfn.AGGREGATE(15, 6, ROW(Kintoneデータ抽出!$K$2:$K$5000) / ((Kintoneデータ抽出!$K$2:$K$5000="院内")), ROW(A115))), "")</f>
        <v/>
      </c>
      <c r="H152" s="41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2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3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1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1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1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7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4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6.6" customHeight="1" x14ac:dyDescent="0.45">
      <c r="B153" s="142"/>
      <c r="C153" s="143"/>
      <c r="D153" s="67" t="str">
        <f t="shared" si="2"/>
        <v/>
      </c>
      <c r="E153" s="41" t="str">
        <f t="array" ref="E153">IFERROR(INDEX(Kintoneデータ抽出!A:A, _xlfn.AGGREGATE(15, 6, ROW(Kintoneデータ抽出!$K$2:$K$5000) / ((Kintoneデータ抽出!$K$2:$K$5000="院内")), ROW(A116))), "")</f>
        <v/>
      </c>
      <c r="F153" s="43" t="str">
        <f t="array" ref="F153">IFERROR(INDEX(Kintoneデータ抽出!D:D, _xlfn.AGGREGATE(15, 6, ROW(Kintoneデータ抽出!$K$2:$K$5000) / ((Kintoneデータ抽出!$K$2:$K$5000="院内")), ROW(A116))), "")</f>
        <v/>
      </c>
      <c r="G153" s="43" t="str">
        <f t="array" ref="G153">IFERROR(INDEX(Kintoneデータ抽出!C:C, _xlfn.AGGREGATE(15, 6, ROW(Kintoneデータ抽出!$K$2:$K$5000) / ((Kintoneデータ抽出!$K$2:$K$5000="院内")), ROW(A116))), "")</f>
        <v/>
      </c>
      <c r="H153" s="41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2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3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1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1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1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7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4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6.6" customHeight="1" x14ac:dyDescent="0.45">
      <c r="B154" s="142"/>
      <c r="C154" s="143"/>
      <c r="D154" s="67" t="str">
        <f t="shared" si="2"/>
        <v/>
      </c>
      <c r="E154" s="41" t="str">
        <f t="array" ref="E154">IFERROR(INDEX(Kintoneデータ抽出!A:A, _xlfn.AGGREGATE(15, 6, ROW(Kintoneデータ抽出!$K$2:$K$5000) / ((Kintoneデータ抽出!$K$2:$K$5000="院内")), ROW(A117))), "")</f>
        <v/>
      </c>
      <c r="F154" s="43" t="str">
        <f t="array" ref="F154">IFERROR(INDEX(Kintoneデータ抽出!D:D, _xlfn.AGGREGATE(15, 6, ROW(Kintoneデータ抽出!$K$2:$K$5000) / ((Kintoneデータ抽出!$K$2:$K$5000="院内")), ROW(A117))), "")</f>
        <v/>
      </c>
      <c r="G154" s="43" t="str">
        <f t="array" ref="G154">IFERROR(INDEX(Kintoneデータ抽出!C:C, _xlfn.AGGREGATE(15, 6, ROW(Kintoneデータ抽出!$K$2:$K$5000) / ((Kintoneデータ抽出!$K$2:$K$5000="院内")), ROW(A117))), "")</f>
        <v/>
      </c>
      <c r="H154" s="41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2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3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1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1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1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7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4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6.6" customHeight="1" x14ac:dyDescent="0.45">
      <c r="B155" s="142" t="s">
        <v>56</v>
      </c>
      <c r="C155" s="143"/>
      <c r="D155" s="67" t="str">
        <f t="shared" si="2"/>
        <v/>
      </c>
      <c r="E155" s="41" t="str">
        <f t="array" ref="E155">IFERROR(INDEX(Kintoneデータ抽出!A:A, _xlfn.AGGREGATE(15, 6, ROW(Kintoneデータ抽出!$K$2:$K$5000) / ((Kintoneデータ抽出!$K$2:$K$5000="院内")), ROW(A118))), "")</f>
        <v/>
      </c>
      <c r="F155" s="43" t="str">
        <f t="array" ref="F155">IFERROR(INDEX(Kintoneデータ抽出!D:D, _xlfn.AGGREGATE(15, 6, ROW(Kintoneデータ抽出!$K$2:$K$5000) / ((Kintoneデータ抽出!$K$2:$K$5000="院内")), ROW(A118))), "")</f>
        <v/>
      </c>
      <c r="G155" s="43" t="str">
        <f t="array" ref="G155">IFERROR(INDEX(Kintoneデータ抽出!C:C, _xlfn.AGGREGATE(15, 6, ROW(Kintoneデータ抽出!$K$2:$K$5000) / ((Kintoneデータ抽出!$K$2:$K$5000="院内")), ROW(A118))), "")</f>
        <v/>
      </c>
      <c r="H155" s="41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2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3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1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1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1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7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4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6.6" customHeight="1" x14ac:dyDescent="0.45">
      <c r="B156" s="142"/>
      <c r="C156" s="143"/>
      <c r="D156" s="67" t="str">
        <f t="shared" si="2"/>
        <v/>
      </c>
      <c r="E156" s="41" t="str">
        <f t="array" ref="E156">IFERROR(INDEX(Kintoneデータ抽出!A:A, _xlfn.AGGREGATE(15, 6, ROW(Kintoneデータ抽出!$K$2:$K$5000) / ((Kintoneデータ抽出!$K$2:$K$5000="院内")), ROW(A119))), "")</f>
        <v/>
      </c>
      <c r="F156" s="43" t="str">
        <f t="array" ref="F156">IFERROR(INDEX(Kintoneデータ抽出!D:D, _xlfn.AGGREGATE(15, 6, ROW(Kintoneデータ抽出!$K$2:$K$5000) / ((Kintoneデータ抽出!$K$2:$K$5000="院内")), ROW(A119))), "")</f>
        <v/>
      </c>
      <c r="G156" s="43" t="str">
        <f t="array" ref="G156">IFERROR(INDEX(Kintoneデータ抽出!C:C, _xlfn.AGGREGATE(15, 6, ROW(Kintoneデータ抽出!$K$2:$K$5000) / ((Kintoneデータ抽出!$K$2:$K$5000="院内")), ROW(A119))), "")</f>
        <v/>
      </c>
      <c r="H156" s="41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2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3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1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1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1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7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4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6.6" customHeight="1" x14ac:dyDescent="0.45">
      <c r="B157" s="142"/>
      <c r="C157" s="143"/>
      <c r="D157" s="67" t="str">
        <f t="shared" si="2"/>
        <v/>
      </c>
      <c r="E157" s="41" t="str">
        <f t="array" ref="E157">IFERROR(INDEX(Kintoneデータ抽出!A:A, _xlfn.AGGREGATE(15, 6, ROW(Kintoneデータ抽出!$K$2:$K$5000) / ((Kintoneデータ抽出!$K$2:$K$5000="院内")), ROW(A120))), "")</f>
        <v/>
      </c>
      <c r="F157" s="43" t="str">
        <f t="array" ref="F157">IFERROR(INDEX(Kintoneデータ抽出!D:D, _xlfn.AGGREGATE(15, 6, ROW(Kintoneデータ抽出!$K$2:$K$5000) / ((Kintoneデータ抽出!$K$2:$K$5000="院内")), ROW(A120))), "")</f>
        <v/>
      </c>
      <c r="G157" s="43" t="str">
        <f t="array" ref="G157">IFERROR(INDEX(Kintoneデータ抽出!C:C, _xlfn.AGGREGATE(15, 6, ROW(Kintoneデータ抽出!$K$2:$K$5000) / ((Kintoneデータ抽出!$K$2:$K$5000="院内")), ROW(A120))), "")</f>
        <v/>
      </c>
      <c r="H157" s="41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2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3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1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1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1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7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4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6.6" customHeight="1" x14ac:dyDescent="0.45">
      <c r="B158" s="142"/>
      <c r="C158" s="143"/>
      <c r="D158" s="67" t="str">
        <f t="shared" si="2"/>
        <v/>
      </c>
      <c r="E158" s="41" t="str">
        <f t="array" ref="E158">IFERROR(INDEX(Kintoneデータ抽出!A:A, _xlfn.AGGREGATE(15, 6, ROW(Kintoneデータ抽出!$K$2:$K$5000) / ((Kintoneデータ抽出!$K$2:$K$5000="院内")), ROW(A121))), "")</f>
        <v/>
      </c>
      <c r="F158" s="43" t="str">
        <f t="array" ref="F158">IFERROR(INDEX(Kintoneデータ抽出!D:D, _xlfn.AGGREGATE(15, 6, ROW(Kintoneデータ抽出!$K$2:$K$5000) / ((Kintoneデータ抽出!$K$2:$K$5000="院内")), ROW(A121))), "")</f>
        <v/>
      </c>
      <c r="G158" s="43" t="str">
        <f t="array" ref="G158">IFERROR(INDEX(Kintoneデータ抽出!C:C, _xlfn.AGGREGATE(15, 6, ROW(Kintoneデータ抽出!$K$2:$K$5000) / ((Kintoneデータ抽出!$K$2:$K$5000="院内")), ROW(A121))), "")</f>
        <v/>
      </c>
      <c r="H158" s="41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2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3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1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1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1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7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4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6.6" customHeight="1" x14ac:dyDescent="0.45">
      <c r="B159" s="142"/>
      <c r="C159" s="143"/>
      <c r="D159" s="67" t="str">
        <f t="shared" si="2"/>
        <v/>
      </c>
      <c r="E159" s="41" t="str">
        <f t="array" ref="E159">IFERROR(INDEX(Kintoneデータ抽出!A:A, _xlfn.AGGREGATE(15, 6, ROW(Kintoneデータ抽出!$K$2:$K$5000) / ((Kintoneデータ抽出!$K$2:$K$5000="院内")), ROW(A122))), "")</f>
        <v/>
      </c>
      <c r="F159" s="43" t="str">
        <f t="array" ref="F159">IFERROR(INDEX(Kintoneデータ抽出!D:D, _xlfn.AGGREGATE(15, 6, ROW(Kintoneデータ抽出!$K$2:$K$5000) / ((Kintoneデータ抽出!$K$2:$K$5000="院内")), ROW(A122))), "")</f>
        <v/>
      </c>
      <c r="G159" s="43" t="str">
        <f t="array" ref="G159">IFERROR(INDEX(Kintoneデータ抽出!C:C, _xlfn.AGGREGATE(15, 6, ROW(Kintoneデータ抽出!$K$2:$K$5000) / ((Kintoneデータ抽出!$K$2:$K$5000="院内")), ROW(A122))), "")</f>
        <v/>
      </c>
      <c r="H159" s="41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2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3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1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1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1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7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4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6.6" customHeight="1" x14ac:dyDescent="0.45">
      <c r="B160" s="142"/>
      <c r="C160" s="143"/>
      <c r="D160" s="67" t="str">
        <f t="shared" si="2"/>
        <v/>
      </c>
      <c r="E160" s="41" t="str">
        <f t="array" ref="E160">IFERROR(INDEX(Kintoneデータ抽出!A:A, _xlfn.AGGREGATE(15, 6, ROW(Kintoneデータ抽出!$K$2:$K$5000) / ((Kintoneデータ抽出!$K$2:$K$5000="院内")), ROW(A123))), "")</f>
        <v/>
      </c>
      <c r="F160" s="43" t="str">
        <f t="array" ref="F160">IFERROR(INDEX(Kintoneデータ抽出!D:D, _xlfn.AGGREGATE(15, 6, ROW(Kintoneデータ抽出!$K$2:$K$5000) / ((Kintoneデータ抽出!$K$2:$K$5000="院内")), ROW(A123))), "")</f>
        <v/>
      </c>
      <c r="G160" s="43" t="str">
        <f t="array" ref="G160">IFERROR(INDEX(Kintoneデータ抽出!C:C, _xlfn.AGGREGATE(15, 6, ROW(Kintoneデータ抽出!$K$2:$K$5000) / ((Kintoneデータ抽出!$K$2:$K$5000="院内")), ROW(A123))), "")</f>
        <v/>
      </c>
      <c r="H160" s="41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2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3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1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1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1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7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4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6.6" customHeight="1" x14ac:dyDescent="0.45">
      <c r="B161" s="142"/>
      <c r="C161" s="143"/>
      <c r="D161" s="67" t="str">
        <f t="shared" si="2"/>
        <v/>
      </c>
      <c r="E161" s="41" t="str">
        <f t="array" ref="E161">IFERROR(INDEX(Kintoneデータ抽出!A:A, _xlfn.AGGREGATE(15, 6, ROW(Kintoneデータ抽出!$K$2:$K$5000) / ((Kintoneデータ抽出!$K$2:$K$5000="院内")), ROW(A124))), "")</f>
        <v/>
      </c>
      <c r="F161" s="43" t="str">
        <f t="array" ref="F161">IFERROR(INDEX(Kintoneデータ抽出!D:D, _xlfn.AGGREGATE(15, 6, ROW(Kintoneデータ抽出!$K$2:$K$5000) / ((Kintoneデータ抽出!$K$2:$K$5000="院内")), ROW(A124))), "")</f>
        <v/>
      </c>
      <c r="G161" s="43" t="str">
        <f t="array" ref="G161">IFERROR(INDEX(Kintoneデータ抽出!C:C, _xlfn.AGGREGATE(15, 6, ROW(Kintoneデータ抽出!$K$2:$K$5000) / ((Kintoneデータ抽出!$K$2:$K$5000="院内")), ROW(A124))), "")</f>
        <v/>
      </c>
      <c r="H161" s="41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2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3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1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1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1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7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4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6.6" customHeight="1" x14ac:dyDescent="0.45">
      <c r="B162" s="142"/>
      <c r="C162" s="143"/>
      <c r="D162" s="67" t="str">
        <f t="shared" si="2"/>
        <v/>
      </c>
      <c r="E162" s="41" t="str">
        <f t="array" ref="E162">IFERROR(INDEX(Kintoneデータ抽出!A:A, _xlfn.AGGREGATE(15, 6, ROW(Kintoneデータ抽出!$K$2:$K$5000) / ((Kintoneデータ抽出!$K$2:$K$5000="院内")), ROW(A125))), "")</f>
        <v/>
      </c>
      <c r="F162" s="43" t="str">
        <f t="array" ref="F162">IFERROR(INDEX(Kintoneデータ抽出!D:D, _xlfn.AGGREGATE(15, 6, ROW(Kintoneデータ抽出!$K$2:$K$5000) / ((Kintoneデータ抽出!$K$2:$K$5000="院内")), ROW(A125))), "")</f>
        <v/>
      </c>
      <c r="G162" s="43" t="str">
        <f t="array" ref="G162">IFERROR(INDEX(Kintoneデータ抽出!C:C, _xlfn.AGGREGATE(15, 6, ROW(Kintoneデータ抽出!$K$2:$K$5000) / ((Kintoneデータ抽出!$K$2:$K$5000="院内")), ROW(A125))), "")</f>
        <v/>
      </c>
      <c r="H162" s="41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2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3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1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1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1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7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4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6.6" customHeight="1" x14ac:dyDescent="0.45">
      <c r="B163" s="142"/>
      <c r="C163" s="143"/>
      <c r="D163" s="67" t="str">
        <f t="shared" si="2"/>
        <v/>
      </c>
      <c r="E163" s="41" t="str">
        <f t="array" ref="E163">IFERROR(INDEX(Kintoneデータ抽出!A:A, _xlfn.AGGREGATE(15, 6, ROW(Kintoneデータ抽出!$K$2:$K$5000) / ((Kintoneデータ抽出!$K$2:$K$5000="院内")), ROW(A126))), "")</f>
        <v/>
      </c>
      <c r="F163" s="43" t="str">
        <f t="array" ref="F163">IFERROR(INDEX(Kintoneデータ抽出!D:D, _xlfn.AGGREGATE(15, 6, ROW(Kintoneデータ抽出!$K$2:$K$5000) / ((Kintoneデータ抽出!$K$2:$K$5000="院内")), ROW(A126))), "")</f>
        <v/>
      </c>
      <c r="G163" s="43" t="str">
        <f t="array" ref="G163">IFERROR(INDEX(Kintoneデータ抽出!C:C, _xlfn.AGGREGATE(15, 6, ROW(Kintoneデータ抽出!$K$2:$K$5000) / ((Kintoneデータ抽出!$K$2:$K$5000="院内")), ROW(A126))), "")</f>
        <v/>
      </c>
      <c r="H163" s="41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2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3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1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1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1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7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4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6.6" customHeight="1" x14ac:dyDescent="0.45">
      <c r="B164" s="142"/>
      <c r="C164" s="143"/>
      <c r="D164" s="67" t="str">
        <f t="shared" si="2"/>
        <v/>
      </c>
      <c r="E164" s="41" t="str">
        <f t="array" ref="E164">IFERROR(INDEX(Kintoneデータ抽出!A:A, _xlfn.AGGREGATE(15, 6, ROW(Kintoneデータ抽出!$K$2:$K$5000) / ((Kintoneデータ抽出!$K$2:$K$5000="院内")), ROW(A127))), "")</f>
        <v/>
      </c>
      <c r="F164" s="43" t="str">
        <f t="array" ref="F164">IFERROR(INDEX(Kintoneデータ抽出!D:D, _xlfn.AGGREGATE(15, 6, ROW(Kintoneデータ抽出!$K$2:$K$5000) / ((Kintoneデータ抽出!$K$2:$K$5000="院内")), ROW(A127))), "")</f>
        <v/>
      </c>
      <c r="G164" s="43" t="str">
        <f t="array" ref="G164">IFERROR(INDEX(Kintoneデータ抽出!C:C, _xlfn.AGGREGATE(15, 6, ROW(Kintoneデータ抽出!$K$2:$K$5000) / ((Kintoneデータ抽出!$K$2:$K$5000="院内")), ROW(A127))), "")</f>
        <v/>
      </c>
      <c r="H164" s="41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2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3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1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1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1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7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4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6.6" customHeight="1" x14ac:dyDescent="0.45">
      <c r="B165" s="142"/>
      <c r="C165" s="143"/>
      <c r="D165" s="67" t="str">
        <f t="shared" si="2"/>
        <v/>
      </c>
      <c r="E165" s="41" t="str">
        <f t="array" ref="E165">IFERROR(INDEX(Kintoneデータ抽出!A:A, _xlfn.AGGREGATE(15, 6, ROW(Kintoneデータ抽出!$K$2:$K$5000) / ((Kintoneデータ抽出!$K$2:$K$5000="院内")), ROW(A128))), "")</f>
        <v/>
      </c>
      <c r="F165" s="43" t="str">
        <f t="array" ref="F165">IFERROR(INDEX(Kintoneデータ抽出!D:D, _xlfn.AGGREGATE(15, 6, ROW(Kintoneデータ抽出!$K$2:$K$5000) / ((Kintoneデータ抽出!$K$2:$K$5000="院内")), ROW(A128))), "")</f>
        <v/>
      </c>
      <c r="G165" s="43" t="str">
        <f t="array" ref="G165">IFERROR(INDEX(Kintoneデータ抽出!C:C, _xlfn.AGGREGATE(15, 6, ROW(Kintoneデータ抽出!$K$2:$K$5000) / ((Kintoneデータ抽出!$K$2:$K$5000="院内")), ROW(A128))), "")</f>
        <v/>
      </c>
      <c r="H165" s="41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2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3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1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1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1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7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4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6.6" customHeight="1" x14ac:dyDescent="0.45">
      <c r="B166" s="142"/>
      <c r="C166" s="143"/>
      <c r="D166" s="67" t="str">
        <f t="shared" si="2"/>
        <v/>
      </c>
      <c r="E166" s="41" t="str">
        <f t="array" ref="E166">IFERROR(INDEX(Kintoneデータ抽出!A:A, _xlfn.AGGREGATE(15, 6, ROW(Kintoneデータ抽出!$K$2:$K$5000) / ((Kintoneデータ抽出!$K$2:$K$5000="院内")), ROW(A129))), "")</f>
        <v/>
      </c>
      <c r="F166" s="43" t="str">
        <f t="array" ref="F166">IFERROR(INDEX(Kintoneデータ抽出!D:D, _xlfn.AGGREGATE(15, 6, ROW(Kintoneデータ抽出!$K$2:$K$5000) / ((Kintoneデータ抽出!$K$2:$K$5000="院内")), ROW(A129))), "")</f>
        <v/>
      </c>
      <c r="G166" s="43" t="str">
        <f t="array" ref="G166">IFERROR(INDEX(Kintoneデータ抽出!C:C, _xlfn.AGGREGATE(15, 6, ROW(Kintoneデータ抽出!$K$2:$K$5000) / ((Kintoneデータ抽出!$K$2:$K$5000="院内")), ROW(A129))), "")</f>
        <v/>
      </c>
      <c r="H166" s="41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2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3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1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1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1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7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4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6.6" customHeight="1" x14ac:dyDescent="0.45">
      <c r="B167" s="142"/>
      <c r="C167" s="143"/>
      <c r="D167" s="67" t="str">
        <f t="shared" si="2"/>
        <v/>
      </c>
      <c r="E167" s="41" t="str">
        <f t="array" ref="E167">IFERROR(INDEX(Kintoneデータ抽出!A:A, _xlfn.AGGREGATE(15, 6, ROW(Kintoneデータ抽出!$K$2:$K$5000) / ((Kintoneデータ抽出!$K$2:$K$5000="院内")), ROW(A130))), "")</f>
        <v/>
      </c>
      <c r="F167" s="43" t="str">
        <f t="array" ref="F167">IFERROR(INDEX(Kintoneデータ抽出!D:D, _xlfn.AGGREGATE(15, 6, ROW(Kintoneデータ抽出!$K$2:$K$5000) / ((Kintoneデータ抽出!$K$2:$K$5000="院内")), ROW(A130))), "")</f>
        <v/>
      </c>
      <c r="G167" s="43" t="str">
        <f t="array" ref="G167">IFERROR(INDEX(Kintoneデータ抽出!C:C, _xlfn.AGGREGATE(15, 6, ROW(Kintoneデータ抽出!$K$2:$K$5000) / ((Kintoneデータ抽出!$K$2:$K$5000="院内")), ROW(A130))), "")</f>
        <v/>
      </c>
      <c r="H167" s="41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2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3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1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1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1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7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4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6.6" customHeight="1" x14ac:dyDescent="0.45">
      <c r="B168" s="142"/>
      <c r="C168" s="143"/>
      <c r="D168" s="67" t="str">
        <f t="shared" si="2"/>
        <v/>
      </c>
      <c r="E168" s="41" t="str">
        <f t="array" ref="E168">IFERROR(INDEX(Kintoneデータ抽出!A:A, _xlfn.AGGREGATE(15, 6, ROW(Kintoneデータ抽出!$K$2:$K$5000) / ((Kintoneデータ抽出!$K$2:$K$5000="院内")), ROW(A131))), "")</f>
        <v/>
      </c>
      <c r="F168" s="43" t="str">
        <f t="array" ref="F168">IFERROR(INDEX(Kintoneデータ抽出!D:D, _xlfn.AGGREGATE(15, 6, ROW(Kintoneデータ抽出!$K$2:$K$5000) / ((Kintoneデータ抽出!$K$2:$K$5000="院内")), ROW(A131))), "")</f>
        <v/>
      </c>
      <c r="G168" s="43" t="str">
        <f t="array" ref="G168">IFERROR(INDEX(Kintoneデータ抽出!C:C, _xlfn.AGGREGATE(15, 6, ROW(Kintoneデータ抽出!$K$2:$K$5000) / ((Kintoneデータ抽出!$K$2:$K$5000="院内")), ROW(A131))), "")</f>
        <v/>
      </c>
      <c r="H168" s="41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2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3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1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1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1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7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4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6.6" customHeight="1" x14ac:dyDescent="0.45">
      <c r="B169" s="142"/>
      <c r="C169" s="143"/>
      <c r="D169" s="67" t="str">
        <f t="shared" si="2"/>
        <v/>
      </c>
      <c r="E169" s="41" t="str">
        <f t="array" ref="E169">IFERROR(INDEX(Kintoneデータ抽出!A:A, _xlfn.AGGREGATE(15, 6, ROW(Kintoneデータ抽出!$K$2:$K$5000) / ((Kintoneデータ抽出!$K$2:$K$5000="院内")), ROW(A132))), "")</f>
        <v/>
      </c>
      <c r="F169" s="43" t="str">
        <f t="array" ref="F169">IFERROR(INDEX(Kintoneデータ抽出!D:D, _xlfn.AGGREGATE(15, 6, ROW(Kintoneデータ抽出!$K$2:$K$5000) / ((Kintoneデータ抽出!$K$2:$K$5000="院内")), ROW(A132))), "")</f>
        <v/>
      </c>
      <c r="G169" s="43" t="str">
        <f t="array" ref="G169">IFERROR(INDEX(Kintoneデータ抽出!C:C, _xlfn.AGGREGATE(15, 6, ROW(Kintoneデータ抽出!$K$2:$K$5000) / ((Kintoneデータ抽出!$K$2:$K$5000="院内")), ROW(A132))), "")</f>
        <v/>
      </c>
      <c r="H169" s="41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2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3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1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1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1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7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4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6.6" customHeight="1" x14ac:dyDescent="0.45">
      <c r="B170" s="142"/>
      <c r="C170" s="143"/>
      <c r="D170" s="67" t="str">
        <f t="shared" ref="D170:D233" si="3">IF(G170&lt;&gt;"",D169+1,D169)</f>
        <v/>
      </c>
      <c r="E170" s="41" t="str">
        <f t="array" ref="E170">IFERROR(INDEX(Kintoneデータ抽出!A:A, _xlfn.AGGREGATE(15, 6, ROW(Kintoneデータ抽出!$K$2:$K$5000) / ((Kintoneデータ抽出!$K$2:$K$5000="院内")), ROW(A133))), "")</f>
        <v/>
      </c>
      <c r="F170" s="43" t="str">
        <f t="array" ref="F170">IFERROR(INDEX(Kintoneデータ抽出!D:D, _xlfn.AGGREGATE(15, 6, ROW(Kintoneデータ抽出!$K$2:$K$5000) / ((Kintoneデータ抽出!$K$2:$K$5000="院内")), ROW(A133))), "")</f>
        <v/>
      </c>
      <c r="G170" s="43" t="str">
        <f t="array" ref="G170">IFERROR(INDEX(Kintoneデータ抽出!C:C, _xlfn.AGGREGATE(15, 6, ROW(Kintoneデータ抽出!$K$2:$K$5000) / ((Kintoneデータ抽出!$K$2:$K$5000="院内")), ROW(A133))), "")</f>
        <v/>
      </c>
      <c r="H170" s="41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2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3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1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1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1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7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4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6.6" customHeight="1" x14ac:dyDescent="0.45">
      <c r="B171" s="142"/>
      <c r="C171" s="143"/>
      <c r="D171" s="67" t="str">
        <f t="shared" si="3"/>
        <v/>
      </c>
      <c r="E171" s="41" t="str">
        <f t="array" ref="E171">IFERROR(INDEX(Kintoneデータ抽出!A:A, _xlfn.AGGREGATE(15, 6, ROW(Kintoneデータ抽出!$K$2:$K$5000) / ((Kintoneデータ抽出!$K$2:$K$5000="院内")), ROW(A134))), "")</f>
        <v/>
      </c>
      <c r="F171" s="43" t="str">
        <f t="array" ref="F171">IFERROR(INDEX(Kintoneデータ抽出!D:D, _xlfn.AGGREGATE(15, 6, ROW(Kintoneデータ抽出!$K$2:$K$5000) / ((Kintoneデータ抽出!$K$2:$K$5000="院内")), ROW(A134))), "")</f>
        <v/>
      </c>
      <c r="G171" s="43" t="str">
        <f t="array" ref="G171">IFERROR(INDEX(Kintoneデータ抽出!C:C, _xlfn.AGGREGATE(15, 6, ROW(Kintoneデータ抽出!$K$2:$K$5000) / ((Kintoneデータ抽出!$K$2:$K$5000="院内")), ROW(A134))), "")</f>
        <v/>
      </c>
      <c r="H171" s="41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2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3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1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1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1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7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4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6.6" customHeight="1" x14ac:dyDescent="0.45">
      <c r="B172" s="142"/>
      <c r="C172" s="143"/>
      <c r="D172" s="67" t="str">
        <f t="shared" si="3"/>
        <v/>
      </c>
      <c r="E172" s="41" t="str">
        <f t="array" ref="E172">IFERROR(INDEX(Kintoneデータ抽出!A:A, _xlfn.AGGREGATE(15, 6, ROW(Kintoneデータ抽出!$K$2:$K$5000) / ((Kintoneデータ抽出!$K$2:$K$5000="院内")), ROW(A135))), "")</f>
        <v/>
      </c>
      <c r="F172" s="43" t="str">
        <f t="array" ref="F172">IFERROR(INDEX(Kintoneデータ抽出!D:D, _xlfn.AGGREGATE(15, 6, ROW(Kintoneデータ抽出!$K$2:$K$5000) / ((Kintoneデータ抽出!$K$2:$K$5000="院内")), ROW(A135))), "")</f>
        <v/>
      </c>
      <c r="G172" s="43" t="str">
        <f t="array" ref="G172">IFERROR(INDEX(Kintoneデータ抽出!C:C, _xlfn.AGGREGATE(15, 6, ROW(Kintoneデータ抽出!$K$2:$K$5000) / ((Kintoneデータ抽出!$K$2:$K$5000="院内")), ROW(A135))), "")</f>
        <v/>
      </c>
      <c r="H172" s="41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2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3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1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1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1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7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4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6.6" customHeight="1" x14ac:dyDescent="0.45">
      <c r="B173" s="142"/>
      <c r="C173" s="143"/>
      <c r="D173" s="67" t="str">
        <f t="shared" si="3"/>
        <v/>
      </c>
      <c r="E173" s="41" t="str">
        <f t="array" ref="E173">IFERROR(INDEX(Kintoneデータ抽出!A:A, _xlfn.AGGREGATE(15, 6, ROW(Kintoneデータ抽出!$K$2:$K$5000) / ((Kintoneデータ抽出!$K$2:$K$5000="院内")), ROW(A136))), "")</f>
        <v/>
      </c>
      <c r="F173" s="43" t="str">
        <f t="array" ref="F173">IFERROR(INDEX(Kintoneデータ抽出!D:D, _xlfn.AGGREGATE(15, 6, ROW(Kintoneデータ抽出!$K$2:$K$5000) / ((Kintoneデータ抽出!$K$2:$K$5000="院内")), ROW(A136))), "")</f>
        <v/>
      </c>
      <c r="G173" s="43" t="str">
        <f t="array" ref="G173">IFERROR(INDEX(Kintoneデータ抽出!C:C, _xlfn.AGGREGATE(15, 6, ROW(Kintoneデータ抽出!$K$2:$K$5000) / ((Kintoneデータ抽出!$K$2:$K$5000="院内")), ROW(A136))), "")</f>
        <v/>
      </c>
      <c r="H173" s="41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2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3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1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1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1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7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4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6.6" customHeight="1" x14ac:dyDescent="0.45">
      <c r="B174" s="142"/>
      <c r="C174" s="143"/>
      <c r="D174" s="67" t="str">
        <f t="shared" si="3"/>
        <v/>
      </c>
      <c r="E174" s="41" t="str">
        <f t="array" ref="E174">IFERROR(INDEX(Kintoneデータ抽出!A:A, _xlfn.AGGREGATE(15, 6, ROW(Kintoneデータ抽出!$K$2:$K$5000) / ((Kintoneデータ抽出!$K$2:$K$5000="院内")), ROW(A137))), "")</f>
        <v/>
      </c>
      <c r="F174" s="43" t="str">
        <f t="array" ref="F174">IFERROR(INDEX(Kintoneデータ抽出!D:D, _xlfn.AGGREGATE(15, 6, ROW(Kintoneデータ抽出!$K$2:$K$5000) / ((Kintoneデータ抽出!$K$2:$K$5000="院内")), ROW(A137))), "")</f>
        <v/>
      </c>
      <c r="G174" s="43" t="str">
        <f t="array" ref="G174">IFERROR(INDEX(Kintoneデータ抽出!C:C, _xlfn.AGGREGATE(15, 6, ROW(Kintoneデータ抽出!$K$2:$K$5000) / ((Kintoneデータ抽出!$K$2:$K$5000="院内")), ROW(A137))), "")</f>
        <v/>
      </c>
      <c r="H174" s="41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2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3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1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1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1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7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4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6.6" customHeight="1" x14ac:dyDescent="0.45">
      <c r="B175" s="142"/>
      <c r="C175" s="143"/>
      <c r="D175" s="67" t="str">
        <f t="shared" si="3"/>
        <v/>
      </c>
      <c r="E175" s="41" t="str">
        <f t="array" ref="E175">IFERROR(INDEX(Kintoneデータ抽出!A:A, _xlfn.AGGREGATE(15, 6, ROW(Kintoneデータ抽出!$K$2:$K$5000) / ((Kintoneデータ抽出!$K$2:$K$5000="院内")), ROW(A138))), "")</f>
        <v/>
      </c>
      <c r="F175" s="43" t="str">
        <f t="array" ref="F175">IFERROR(INDEX(Kintoneデータ抽出!D:D, _xlfn.AGGREGATE(15, 6, ROW(Kintoneデータ抽出!$K$2:$K$5000) / ((Kintoneデータ抽出!$K$2:$K$5000="院内")), ROW(A138))), "")</f>
        <v/>
      </c>
      <c r="G175" s="43" t="str">
        <f t="array" ref="G175">IFERROR(INDEX(Kintoneデータ抽出!C:C, _xlfn.AGGREGATE(15, 6, ROW(Kintoneデータ抽出!$K$2:$K$5000) / ((Kintoneデータ抽出!$K$2:$K$5000="院内")), ROW(A138))), "")</f>
        <v/>
      </c>
      <c r="H175" s="41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2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3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1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1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1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7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4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6.6" customHeight="1" x14ac:dyDescent="0.45">
      <c r="B176" s="142"/>
      <c r="C176" s="143"/>
      <c r="D176" s="67" t="str">
        <f t="shared" si="3"/>
        <v/>
      </c>
      <c r="E176" s="41" t="str">
        <f t="array" ref="E176">IFERROR(INDEX(Kintoneデータ抽出!A:A, _xlfn.AGGREGATE(15, 6, ROW(Kintoneデータ抽出!$K$2:$K$5000) / ((Kintoneデータ抽出!$K$2:$K$5000="院内")), ROW(A139))), "")</f>
        <v/>
      </c>
      <c r="F176" s="43" t="str">
        <f t="array" ref="F176">IFERROR(INDEX(Kintoneデータ抽出!D:D, _xlfn.AGGREGATE(15, 6, ROW(Kintoneデータ抽出!$K$2:$K$5000) / ((Kintoneデータ抽出!$K$2:$K$5000="院内")), ROW(A139))), "")</f>
        <v/>
      </c>
      <c r="G176" s="43" t="str">
        <f t="array" ref="G176">IFERROR(INDEX(Kintoneデータ抽出!C:C, _xlfn.AGGREGATE(15, 6, ROW(Kintoneデータ抽出!$K$2:$K$5000) / ((Kintoneデータ抽出!$K$2:$K$5000="院内")), ROW(A139))), "")</f>
        <v/>
      </c>
      <c r="H176" s="41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2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3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1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1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1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7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4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6.6" customHeight="1" x14ac:dyDescent="0.45">
      <c r="B177" s="142"/>
      <c r="C177" s="143"/>
      <c r="D177" s="67" t="str">
        <f t="shared" si="3"/>
        <v/>
      </c>
      <c r="E177" s="41" t="str">
        <f t="array" ref="E177">IFERROR(INDEX(Kintoneデータ抽出!A:A, _xlfn.AGGREGATE(15, 6, ROW(Kintoneデータ抽出!$K$2:$K$5000) / ((Kintoneデータ抽出!$K$2:$K$5000="院内")), ROW(A140))), "")</f>
        <v/>
      </c>
      <c r="F177" s="43" t="str">
        <f t="array" ref="F177">IFERROR(INDEX(Kintoneデータ抽出!D:D, _xlfn.AGGREGATE(15, 6, ROW(Kintoneデータ抽出!$K$2:$K$5000) / ((Kintoneデータ抽出!$K$2:$K$5000="院内")), ROW(A140))), "")</f>
        <v/>
      </c>
      <c r="G177" s="43" t="str">
        <f t="array" ref="G177">IFERROR(INDEX(Kintoneデータ抽出!C:C, _xlfn.AGGREGATE(15, 6, ROW(Kintoneデータ抽出!$K$2:$K$5000) / ((Kintoneデータ抽出!$K$2:$K$5000="院内")), ROW(A140))), "")</f>
        <v/>
      </c>
      <c r="H177" s="41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2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3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1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1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1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7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4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6.6" customHeight="1" x14ac:dyDescent="0.45">
      <c r="B178" s="142"/>
      <c r="C178" s="143"/>
      <c r="D178" s="67" t="str">
        <f t="shared" si="3"/>
        <v/>
      </c>
      <c r="E178" s="41" t="str">
        <f t="array" ref="E178">IFERROR(INDEX(Kintoneデータ抽出!A:A, _xlfn.AGGREGATE(15, 6, ROW(Kintoneデータ抽出!$K$2:$K$5000) / ((Kintoneデータ抽出!$K$2:$K$5000="院内")), ROW(A141))), "")</f>
        <v/>
      </c>
      <c r="F178" s="43" t="str">
        <f t="array" ref="F178">IFERROR(INDEX(Kintoneデータ抽出!D:D, _xlfn.AGGREGATE(15, 6, ROW(Kintoneデータ抽出!$K$2:$K$5000) / ((Kintoneデータ抽出!$K$2:$K$5000="院内")), ROW(A141))), "")</f>
        <v/>
      </c>
      <c r="G178" s="43" t="str">
        <f t="array" ref="G178">IFERROR(INDEX(Kintoneデータ抽出!C:C, _xlfn.AGGREGATE(15, 6, ROW(Kintoneデータ抽出!$K$2:$K$5000) / ((Kintoneデータ抽出!$K$2:$K$5000="院内")), ROW(A141))), "")</f>
        <v/>
      </c>
      <c r="H178" s="41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2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3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1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1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1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7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4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6.6" customHeight="1" x14ac:dyDescent="0.45">
      <c r="B179" s="142"/>
      <c r="C179" s="143"/>
      <c r="D179" s="67" t="str">
        <f t="shared" si="3"/>
        <v/>
      </c>
      <c r="E179" s="41" t="str">
        <f t="array" ref="E179">IFERROR(INDEX(Kintoneデータ抽出!A:A, _xlfn.AGGREGATE(15, 6, ROW(Kintoneデータ抽出!$K$2:$K$5000) / ((Kintoneデータ抽出!$K$2:$K$5000="院内")), ROW(A142))), "")</f>
        <v/>
      </c>
      <c r="F179" s="43" t="str">
        <f t="array" ref="F179">IFERROR(INDEX(Kintoneデータ抽出!D:D, _xlfn.AGGREGATE(15, 6, ROW(Kintoneデータ抽出!$K$2:$K$5000) / ((Kintoneデータ抽出!$K$2:$K$5000="院内")), ROW(A142))), "")</f>
        <v/>
      </c>
      <c r="G179" s="43" t="str">
        <f t="array" ref="G179">IFERROR(INDEX(Kintoneデータ抽出!C:C, _xlfn.AGGREGATE(15, 6, ROW(Kintoneデータ抽出!$K$2:$K$5000) / ((Kintoneデータ抽出!$K$2:$K$5000="院内")), ROW(A142))), "")</f>
        <v/>
      </c>
      <c r="H179" s="41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2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3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1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1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1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7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4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6.6" customHeight="1" x14ac:dyDescent="0.45">
      <c r="B180" s="142"/>
      <c r="C180" s="143"/>
      <c r="D180" s="67" t="str">
        <f t="shared" si="3"/>
        <v/>
      </c>
      <c r="E180" s="41" t="str">
        <f t="array" ref="E180">IFERROR(INDEX(Kintoneデータ抽出!A:A, _xlfn.AGGREGATE(15, 6, ROW(Kintoneデータ抽出!$K$2:$K$5000) / ((Kintoneデータ抽出!$K$2:$K$5000="院内")), ROW(A143))), "")</f>
        <v/>
      </c>
      <c r="F180" s="43" t="str">
        <f t="array" ref="F180">IFERROR(INDEX(Kintoneデータ抽出!D:D, _xlfn.AGGREGATE(15, 6, ROW(Kintoneデータ抽出!$K$2:$K$5000) / ((Kintoneデータ抽出!$K$2:$K$5000="院内")), ROW(A143))), "")</f>
        <v/>
      </c>
      <c r="G180" s="43" t="str">
        <f t="array" ref="G180">IFERROR(INDEX(Kintoneデータ抽出!C:C, _xlfn.AGGREGATE(15, 6, ROW(Kintoneデータ抽出!$K$2:$K$5000) / ((Kintoneデータ抽出!$K$2:$K$5000="院内")), ROW(A143))), "")</f>
        <v/>
      </c>
      <c r="H180" s="41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2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3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1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1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1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7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4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6.6" customHeight="1" x14ac:dyDescent="0.45">
      <c r="B181" s="142"/>
      <c r="C181" s="143"/>
      <c r="D181" s="67" t="str">
        <f t="shared" si="3"/>
        <v/>
      </c>
      <c r="E181" s="41" t="str">
        <f t="array" ref="E181">IFERROR(INDEX(Kintoneデータ抽出!A:A, _xlfn.AGGREGATE(15, 6, ROW(Kintoneデータ抽出!$K$2:$K$5000) / ((Kintoneデータ抽出!$K$2:$K$5000="院内")), ROW(A144))), "")</f>
        <v/>
      </c>
      <c r="F181" s="43" t="str">
        <f t="array" ref="F181">IFERROR(INDEX(Kintoneデータ抽出!D:D, _xlfn.AGGREGATE(15, 6, ROW(Kintoneデータ抽出!$K$2:$K$5000) / ((Kintoneデータ抽出!$K$2:$K$5000="院内")), ROW(A144))), "")</f>
        <v/>
      </c>
      <c r="G181" s="43" t="str">
        <f t="array" ref="G181">IFERROR(INDEX(Kintoneデータ抽出!C:C, _xlfn.AGGREGATE(15, 6, ROW(Kintoneデータ抽出!$K$2:$K$5000) / ((Kintoneデータ抽出!$K$2:$K$5000="院内")), ROW(A144))), "")</f>
        <v/>
      </c>
      <c r="H181" s="41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2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3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1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1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1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7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4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6.6" customHeight="1" x14ac:dyDescent="0.45">
      <c r="B182" s="142"/>
      <c r="C182" s="143"/>
      <c r="D182" s="67" t="str">
        <f t="shared" si="3"/>
        <v/>
      </c>
      <c r="E182" s="41" t="str">
        <f t="array" ref="E182">IFERROR(INDEX(Kintoneデータ抽出!A:A, _xlfn.AGGREGATE(15, 6, ROW(Kintoneデータ抽出!$K$2:$K$5000) / ((Kintoneデータ抽出!$K$2:$K$5000="院内")), ROW(A145))), "")</f>
        <v/>
      </c>
      <c r="F182" s="43" t="str">
        <f t="array" ref="F182">IFERROR(INDEX(Kintoneデータ抽出!D:D, _xlfn.AGGREGATE(15, 6, ROW(Kintoneデータ抽出!$K$2:$K$5000) / ((Kintoneデータ抽出!$K$2:$K$5000="院内")), ROW(A145))), "")</f>
        <v/>
      </c>
      <c r="G182" s="43" t="str">
        <f t="array" ref="G182">IFERROR(INDEX(Kintoneデータ抽出!C:C, _xlfn.AGGREGATE(15, 6, ROW(Kintoneデータ抽出!$K$2:$K$5000) / ((Kintoneデータ抽出!$K$2:$K$5000="院内")), ROW(A145))), "")</f>
        <v/>
      </c>
      <c r="H182" s="41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2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3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1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1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1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7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4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6.6" customHeight="1" x14ac:dyDescent="0.45">
      <c r="B183" s="142"/>
      <c r="C183" s="143"/>
      <c r="D183" s="67" t="str">
        <f t="shared" si="3"/>
        <v/>
      </c>
      <c r="E183" s="41" t="str">
        <f t="array" ref="E183">IFERROR(INDEX(Kintoneデータ抽出!A:A, _xlfn.AGGREGATE(15, 6, ROW(Kintoneデータ抽出!$K$2:$K$5000) / ((Kintoneデータ抽出!$K$2:$K$5000="院内")), ROW(A146))), "")</f>
        <v/>
      </c>
      <c r="F183" s="43" t="str">
        <f t="array" ref="F183">IFERROR(INDEX(Kintoneデータ抽出!D:D, _xlfn.AGGREGATE(15, 6, ROW(Kintoneデータ抽出!$K$2:$K$5000) / ((Kintoneデータ抽出!$K$2:$K$5000="院内")), ROW(A146))), "")</f>
        <v/>
      </c>
      <c r="G183" s="43" t="str">
        <f t="array" ref="G183">IFERROR(INDEX(Kintoneデータ抽出!C:C, _xlfn.AGGREGATE(15, 6, ROW(Kintoneデータ抽出!$K$2:$K$5000) / ((Kintoneデータ抽出!$K$2:$K$5000="院内")), ROW(A146))), "")</f>
        <v/>
      </c>
      <c r="H183" s="41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2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3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1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1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1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7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4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6.6" customHeight="1" x14ac:dyDescent="0.45">
      <c r="B184" s="142"/>
      <c r="C184" s="143"/>
      <c r="D184" s="67" t="str">
        <f t="shared" si="3"/>
        <v/>
      </c>
      <c r="E184" s="41" t="str">
        <f t="array" ref="E184">IFERROR(INDEX(Kintoneデータ抽出!A:A, _xlfn.AGGREGATE(15, 6, ROW(Kintoneデータ抽出!$K$2:$K$5000) / ((Kintoneデータ抽出!$K$2:$K$5000="院内")), ROW(A147))), "")</f>
        <v/>
      </c>
      <c r="F184" s="43" t="str">
        <f t="array" ref="F184">IFERROR(INDEX(Kintoneデータ抽出!D:D, _xlfn.AGGREGATE(15, 6, ROW(Kintoneデータ抽出!$K$2:$K$5000) / ((Kintoneデータ抽出!$K$2:$K$5000="院内")), ROW(A147))), "")</f>
        <v/>
      </c>
      <c r="G184" s="43" t="str">
        <f t="array" ref="G184">IFERROR(INDEX(Kintoneデータ抽出!C:C, _xlfn.AGGREGATE(15, 6, ROW(Kintoneデータ抽出!$K$2:$K$5000) / ((Kintoneデータ抽出!$K$2:$K$5000="院内")), ROW(A147))), "")</f>
        <v/>
      </c>
      <c r="H184" s="41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2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3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1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1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1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7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4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6.6" customHeight="1" x14ac:dyDescent="0.45">
      <c r="B185" s="142"/>
      <c r="C185" s="143"/>
      <c r="D185" s="67" t="str">
        <f t="shared" si="3"/>
        <v/>
      </c>
      <c r="E185" s="41" t="str">
        <f t="array" ref="E185">IFERROR(INDEX(Kintoneデータ抽出!A:A, _xlfn.AGGREGATE(15, 6, ROW(Kintoneデータ抽出!$K$2:$K$5000) / ((Kintoneデータ抽出!$K$2:$K$5000="院内")), ROW(A148))), "")</f>
        <v/>
      </c>
      <c r="F185" s="43" t="str">
        <f t="array" ref="F185">IFERROR(INDEX(Kintoneデータ抽出!D:D, _xlfn.AGGREGATE(15, 6, ROW(Kintoneデータ抽出!$K$2:$K$5000) / ((Kintoneデータ抽出!$K$2:$K$5000="院内")), ROW(A148))), "")</f>
        <v/>
      </c>
      <c r="G185" s="43" t="str">
        <f t="array" ref="G185">IFERROR(INDEX(Kintoneデータ抽出!C:C, _xlfn.AGGREGATE(15, 6, ROW(Kintoneデータ抽出!$K$2:$K$5000) / ((Kintoneデータ抽出!$K$2:$K$5000="院内")), ROW(A148))), "")</f>
        <v/>
      </c>
      <c r="H185" s="41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2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3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1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1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1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7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4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6.6" customHeight="1" x14ac:dyDescent="0.45">
      <c r="B186" s="142"/>
      <c r="C186" s="143"/>
      <c r="D186" s="67" t="str">
        <f t="shared" si="3"/>
        <v/>
      </c>
      <c r="E186" s="41" t="str">
        <f t="array" ref="E186">IFERROR(INDEX(Kintoneデータ抽出!A:A, _xlfn.AGGREGATE(15, 6, ROW(Kintoneデータ抽出!$K$2:$K$5000) / ((Kintoneデータ抽出!$K$2:$K$5000="院内")), ROW(A149))), "")</f>
        <v/>
      </c>
      <c r="F186" s="43" t="str">
        <f t="array" ref="F186">IFERROR(INDEX(Kintoneデータ抽出!D:D, _xlfn.AGGREGATE(15, 6, ROW(Kintoneデータ抽出!$K$2:$K$5000) / ((Kintoneデータ抽出!$K$2:$K$5000="院内")), ROW(A149))), "")</f>
        <v/>
      </c>
      <c r="G186" s="43" t="str">
        <f t="array" ref="G186">IFERROR(INDEX(Kintoneデータ抽出!C:C, _xlfn.AGGREGATE(15, 6, ROW(Kintoneデータ抽出!$K$2:$K$5000) / ((Kintoneデータ抽出!$K$2:$K$5000="院内")), ROW(A149))), "")</f>
        <v/>
      </c>
      <c r="H186" s="41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2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3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1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1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1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7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4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6.6" customHeight="1" x14ac:dyDescent="0.45">
      <c r="B187" s="142"/>
      <c r="C187" s="143"/>
      <c r="D187" s="67" t="str">
        <f t="shared" si="3"/>
        <v/>
      </c>
      <c r="E187" s="41" t="str">
        <f t="array" ref="E187">IFERROR(INDEX(Kintoneデータ抽出!A:A, _xlfn.AGGREGATE(15, 6, ROW(Kintoneデータ抽出!$K$2:$K$5000) / ((Kintoneデータ抽出!$K$2:$K$5000="院内")), ROW(A150))), "")</f>
        <v/>
      </c>
      <c r="F187" s="43" t="str">
        <f t="array" ref="F187">IFERROR(INDEX(Kintoneデータ抽出!D:D, _xlfn.AGGREGATE(15, 6, ROW(Kintoneデータ抽出!$K$2:$K$5000) / ((Kintoneデータ抽出!$K$2:$K$5000="院内")), ROW(A150))), "")</f>
        <v/>
      </c>
      <c r="G187" s="43" t="str">
        <f t="array" ref="G187">IFERROR(INDEX(Kintoneデータ抽出!C:C, _xlfn.AGGREGATE(15, 6, ROW(Kintoneデータ抽出!$K$2:$K$5000) / ((Kintoneデータ抽出!$K$2:$K$5000="院内")), ROW(A150))), "")</f>
        <v/>
      </c>
      <c r="H187" s="41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2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3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1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1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1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7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4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6.6" customHeight="1" x14ac:dyDescent="0.45">
      <c r="B188" s="142"/>
      <c r="C188" s="143"/>
      <c r="D188" s="67" t="str">
        <f t="shared" si="3"/>
        <v/>
      </c>
      <c r="E188" s="41" t="str">
        <f t="array" ref="E188">IFERROR(INDEX(Kintoneデータ抽出!A:A, _xlfn.AGGREGATE(15, 6, ROW(Kintoneデータ抽出!$K$2:$K$5000) / ((Kintoneデータ抽出!$K$2:$K$5000="院内")), ROW(A151))), "")</f>
        <v/>
      </c>
      <c r="F188" s="43" t="str">
        <f t="array" ref="F188">IFERROR(INDEX(Kintoneデータ抽出!D:D, _xlfn.AGGREGATE(15, 6, ROW(Kintoneデータ抽出!$K$2:$K$5000) / ((Kintoneデータ抽出!$K$2:$K$5000="院内")), ROW(A151))), "")</f>
        <v/>
      </c>
      <c r="G188" s="43" t="str">
        <f t="array" ref="G188">IFERROR(INDEX(Kintoneデータ抽出!C:C, _xlfn.AGGREGATE(15, 6, ROW(Kintoneデータ抽出!$K$2:$K$5000) / ((Kintoneデータ抽出!$K$2:$K$5000="院内")), ROW(A151))), "")</f>
        <v/>
      </c>
      <c r="H188" s="41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2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3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1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1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1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7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4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6.6" customHeight="1" x14ac:dyDescent="0.45">
      <c r="B189" s="142"/>
      <c r="C189" s="143"/>
      <c r="D189" s="67" t="str">
        <f t="shared" si="3"/>
        <v/>
      </c>
      <c r="E189" s="41" t="str">
        <f t="array" ref="E189">IFERROR(INDEX(Kintoneデータ抽出!A:A, _xlfn.AGGREGATE(15, 6, ROW(Kintoneデータ抽出!$K$2:$K$5000) / ((Kintoneデータ抽出!$K$2:$K$5000="院内")), ROW(A152))), "")</f>
        <v/>
      </c>
      <c r="F189" s="43" t="str">
        <f t="array" ref="F189">IFERROR(INDEX(Kintoneデータ抽出!D:D, _xlfn.AGGREGATE(15, 6, ROW(Kintoneデータ抽出!$K$2:$K$5000) / ((Kintoneデータ抽出!$K$2:$K$5000="院内")), ROW(A152))), "")</f>
        <v/>
      </c>
      <c r="G189" s="43" t="str">
        <f t="array" ref="G189">IFERROR(INDEX(Kintoneデータ抽出!C:C, _xlfn.AGGREGATE(15, 6, ROW(Kintoneデータ抽出!$K$2:$K$5000) / ((Kintoneデータ抽出!$K$2:$K$5000="院内")), ROW(A152))), "")</f>
        <v/>
      </c>
      <c r="H189" s="41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2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3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1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1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1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7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4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6.6" customHeight="1" x14ac:dyDescent="0.45">
      <c r="B190" s="142"/>
      <c r="C190" s="143"/>
      <c r="D190" s="67" t="str">
        <f t="shared" si="3"/>
        <v/>
      </c>
      <c r="E190" s="41" t="str">
        <f t="array" ref="E190">IFERROR(INDEX(Kintoneデータ抽出!A:A, _xlfn.AGGREGATE(15, 6, ROW(Kintoneデータ抽出!$K$2:$K$5000) / ((Kintoneデータ抽出!$K$2:$K$5000="院内")), ROW(A153))), "")</f>
        <v/>
      </c>
      <c r="F190" s="43" t="str">
        <f t="array" ref="F190">IFERROR(INDEX(Kintoneデータ抽出!D:D, _xlfn.AGGREGATE(15, 6, ROW(Kintoneデータ抽出!$K$2:$K$5000) / ((Kintoneデータ抽出!$K$2:$K$5000="院内")), ROW(A153))), "")</f>
        <v/>
      </c>
      <c r="G190" s="43" t="str">
        <f t="array" ref="G190">IFERROR(INDEX(Kintoneデータ抽出!C:C, _xlfn.AGGREGATE(15, 6, ROW(Kintoneデータ抽出!$K$2:$K$5000) / ((Kintoneデータ抽出!$K$2:$K$5000="院内")), ROW(A153))), "")</f>
        <v/>
      </c>
      <c r="H190" s="41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2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3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1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1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1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7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4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6.6" customHeight="1" x14ac:dyDescent="0.45">
      <c r="B191" s="142"/>
      <c r="C191" s="143"/>
      <c r="D191" s="67" t="str">
        <f t="shared" si="3"/>
        <v/>
      </c>
      <c r="E191" s="41" t="str">
        <f t="array" ref="E191">IFERROR(INDEX(Kintoneデータ抽出!A:A, _xlfn.AGGREGATE(15, 6, ROW(Kintoneデータ抽出!$K$2:$K$5000) / ((Kintoneデータ抽出!$K$2:$K$5000="院内")), ROW(A154))), "")</f>
        <v/>
      </c>
      <c r="F191" s="43" t="str">
        <f t="array" ref="F191">IFERROR(INDEX(Kintoneデータ抽出!D:D, _xlfn.AGGREGATE(15, 6, ROW(Kintoneデータ抽出!$K$2:$K$5000) / ((Kintoneデータ抽出!$K$2:$K$5000="院内")), ROW(A154))), "")</f>
        <v/>
      </c>
      <c r="G191" s="43" t="str">
        <f t="array" ref="G191">IFERROR(INDEX(Kintoneデータ抽出!C:C, _xlfn.AGGREGATE(15, 6, ROW(Kintoneデータ抽出!$K$2:$K$5000) / ((Kintoneデータ抽出!$K$2:$K$5000="院内")), ROW(A154))), "")</f>
        <v/>
      </c>
      <c r="H191" s="41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2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3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1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1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1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7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4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6.6" customHeight="1" x14ac:dyDescent="0.45">
      <c r="B192" s="142"/>
      <c r="C192" s="143"/>
      <c r="D192" s="67" t="str">
        <f t="shared" si="3"/>
        <v/>
      </c>
      <c r="E192" s="41" t="str">
        <f t="array" ref="E192">IFERROR(INDEX(Kintoneデータ抽出!A:A, _xlfn.AGGREGATE(15, 6, ROW(Kintoneデータ抽出!$K$2:$K$5000) / ((Kintoneデータ抽出!$K$2:$K$5000="院内")), ROW(A155))), "")</f>
        <v/>
      </c>
      <c r="F192" s="43" t="str">
        <f t="array" ref="F192">IFERROR(INDEX(Kintoneデータ抽出!D:D, _xlfn.AGGREGATE(15, 6, ROW(Kintoneデータ抽出!$K$2:$K$5000) / ((Kintoneデータ抽出!$K$2:$K$5000="院内")), ROW(A155))), "")</f>
        <v/>
      </c>
      <c r="G192" s="43" t="str">
        <f t="array" ref="G192">IFERROR(INDEX(Kintoneデータ抽出!C:C, _xlfn.AGGREGATE(15, 6, ROW(Kintoneデータ抽出!$K$2:$K$5000) / ((Kintoneデータ抽出!$K$2:$K$5000="院内")), ROW(A155))), "")</f>
        <v/>
      </c>
      <c r="H192" s="41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2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3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1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1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1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7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4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6.6" customHeight="1" x14ac:dyDescent="0.45">
      <c r="B193" s="142"/>
      <c r="C193" s="143"/>
      <c r="D193" s="67" t="str">
        <f t="shared" si="3"/>
        <v/>
      </c>
      <c r="E193" s="41" t="str">
        <f t="array" ref="E193">IFERROR(INDEX(Kintoneデータ抽出!A:A, _xlfn.AGGREGATE(15, 6, ROW(Kintoneデータ抽出!$K$2:$K$5000) / ((Kintoneデータ抽出!$K$2:$K$5000="院内")), ROW(A156))), "")</f>
        <v/>
      </c>
      <c r="F193" s="43" t="str">
        <f t="array" ref="F193">IFERROR(INDEX(Kintoneデータ抽出!D:D, _xlfn.AGGREGATE(15, 6, ROW(Kintoneデータ抽出!$K$2:$K$5000) / ((Kintoneデータ抽出!$K$2:$K$5000="院内")), ROW(A156))), "")</f>
        <v/>
      </c>
      <c r="G193" s="43" t="str">
        <f t="array" ref="G193">IFERROR(INDEX(Kintoneデータ抽出!C:C, _xlfn.AGGREGATE(15, 6, ROW(Kintoneデータ抽出!$K$2:$K$5000) / ((Kintoneデータ抽出!$K$2:$K$5000="院内")), ROW(A156))), "")</f>
        <v/>
      </c>
      <c r="H193" s="41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2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3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1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1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1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7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4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6.6" customHeight="1" x14ac:dyDescent="0.45">
      <c r="B194" s="142"/>
      <c r="C194" s="143"/>
      <c r="D194" s="67" t="str">
        <f t="shared" si="3"/>
        <v/>
      </c>
      <c r="E194" s="41" t="str">
        <f t="array" ref="E194">IFERROR(INDEX(Kintoneデータ抽出!A:A, _xlfn.AGGREGATE(15, 6, ROW(Kintoneデータ抽出!$K$2:$K$5000) / ((Kintoneデータ抽出!$K$2:$K$5000="院内")), ROW(A157))), "")</f>
        <v/>
      </c>
      <c r="F194" s="43" t="str">
        <f t="array" ref="F194">IFERROR(INDEX(Kintoneデータ抽出!D:D, _xlfn.AGGREGATE(15, 6, ROW(Kintoneデータ抽出!$K$2:$K$5000) / ((Kintoneデータ抽出!$K$2:$K$5000="院内")), ROW(A157))), "")</f>
        <v/>
      </c>
      <c r="G194" s="43" t="str">
        <f t="array" ref="G194">IFERROR(INDEX(Kintoneデータ抽出!C:C, _xlfn.AGGREGATE(15, 6, ROW(Kintoneデータ抽出!$K$2:$K$5000) / ((Kintoneデータ抽出!$K$2:$K$5000="院内")), ROW(A157))), "")</f>
        <v/>
      </c>
      <c r="H194" s="41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2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3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1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1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1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7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4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6.6" customHeight="1" x14ac:dyDescent="0.45">
      <c r="B195" s="142"/>
      <c r="C195" s="143"/>
      <c r="D195" s="67" t="str">
        <f t="shared" si="3"/>
        <v/>
      </c>
      <c r="E195" s="41" t="str">
        <f t="array" ref="E195">IFERROR(INDEX(Kintoneデータ抽出!A:A, _xlfn.AGGREGATE(15, 6, ROW(Kintoneデータ抽出!$K$2:$K$5000) / ((Kintoneデータ抽出!$K$2:$K$5000="院内")), ROW(A158))), "")</f>
        <v/>
      </c>
      <c r="F195" s="43" t="str">
        <f t="array" ref="F195">IFERROR(INDEX(Kintoneデータ抽出!D:D, _xlfn.AGGREGATE(15, 6, ROW(Kintoneデータ抽出!$K$2:$K$5000) / ((Kintoneデータ抽出!$K$2:$K$5000="院内")), ROW(A158))), "")</f>
        <v/>
      </c>
      <c r="G195" s="43" t="str">
        <f t="array" ref="G195">IFERROR(INDEX(Kintoneデータ抽出!C:C, _xlfn.AGGREGATE(15, 6, ROW(Kintoneデータ抽出!$K$2:$K$5000) / ((Kintoneデータ抽出!$K$2:$K$5000="院内")), ROW(A158))), "")</f>
        <v/>
      </c>
      <c r="H195" s="41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2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3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1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1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1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7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4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6.6" customHeight="1" x14ac:dyDescent="0.45">
      <c r="B196" s="142" t="s">
        <v>57</v>
      </c>
      <c r="C196" s="143"/>
      <c r="D196" s="67" t="str">
        <f t="shared" si="3"/>
        <v/>
      </c>
      <c r="E196" s="41" t="str">
        <f t="array" ref="E196">IFERROR(INDEX(Kintoneデータ抽出!A:A, _xlfn.AGGREGATE(15, 6, ROW(Kintoneデータ抽出!$K$2:$K$5000) / ((Kintoneデータ抽出!$K$2:$K$5000="院内")), ROW(A159))), "")</f>
        <v/>
      </c>
      <c r="F196" s="43" t="str">
        <f t="array" ref="F196">IFERROR(INDEX(Kintoneデータ抽出!D:D, _xlfn.AGGREGATE(15, 6, ROW(Kintoneデータ抽出!$K$2:$K$5000) / ((Kintoneデータ抽出!$K$2:$K$5000="院内")), ROW(A159))), "")</f>
        <v/>
      </c>
      <c r="G196" s="43" t="str">
        <f t="array" ref="G196">IFERROR(INDEX(Kintoneデータ抽出!C:C, _xlfn.AGGREGATE(15, 6, ROW(Kintoneデータ抽出!$K$2:$K$5000) / ((Kintoneデータ抽出!$K$2:$K$5000="院内")), ROW(A159))), "")</f>
        <v/>
      </c>
      <c r="H196" s="41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2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3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1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1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1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7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4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6.6" customHeight="1" x14ac:dyDescent="0.45">
      <c r="B197" s="142"/>
      <c r="C197" s="143"/>
      <c r="D197" s="67" t="str">
        <f t="shared" si="3"/>
        <v/>
      </c>
      <c r="E197" s="41" t="str">
        <f t="array" ref="E197">IFERROR(INDEX(Kintoneデータ抽出!A:A, _xlfn.AGGREGATE(15, 6, ROW(Kintoneデータ抽出!$K$2:$K$5000) / ((Kintoneデータ抽出!$K$2:$K$5000="院内")), ROW(A160))), "")</f>
        <v/>
      </c>
      <c r="F197" s="43" t="str">
        <f t="array" ref="F197">IFERROR(INDEX(Kintoneデータ抽出!D:D, _xlfn.AGGREGATE(15, 6, ROW(Kintoneデータ抽出!$K$2:$K$5000) / ((Kintoneデータ抽出!$K$2:$K$5000="院内")), ROW(A160))), "")</f>
        <v/>
      </c>
      <c r="G197" s="43" t="str">
        <f t="array" ref="G197">IFERROR(INDEX(Kintoneデータ抽出!C:C, _xlfn.AGGREGATE(15, 6, ROW(Kintoneデータ抽出!$K$2:$K$5000) / ((Kintoneデータ抽出!$K$2:$K$5000="院内")), ROW(A160))), "")</f>
        <v/>
      </c>
      <c r="H197" s="41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2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3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1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1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1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7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4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6.6" customHeight="1" x14ac:dyDescent="0.45">
      <c r="B198" s="142"/>
      <c r="C198" s="143"/>
      <c r="D198" s="67" t="str">
        <f t="shared" si="3"/>
        <v/>
      </c>
      <c r="E198" s="41" t="str">
        <f t="array" ref="E198">IFERROR(INDEX(Kintoneデータ抽出!A:A, _xlfn.AGGREGATE(15, 6, ROW(Kintoneデータ抽出!$K$2:$K$5000) / ((Kintoneデータ抽出!$K$2:$K$5000="院内")), ROW(A161))), "")</f>
        <v/>
      </c>
      <c r="F198" s="43" t="str">
        <f t="array" ref="F198">IFERROR(INDEX(Kintoneデータ抽出!D:D, _xlfn.AGGREGATE(15, 6, ROW(Kintoneデータ抽出!$K$2:$K$5000) / ((Kintoneデータ抽出!$K$2:$K$5000="院内")), ROW(A161))), "")</f>
        <v/>
      </c>
      <c r="G198" s="43" t="str">
        <f t="array" ref="G198">IFERROR(INDEX(Kintoneデータ抽出!C:C, _xlfn.AGGREGATE(15, 6, ROW(Kintoneデータ抽出!$K$2:$K$5000) / ((Kintoneデータ抽出!$K$2:$K$5000="院内")), ROW(A161))), "")</f>
        <v/>
      </c>
      <c r="H198" s="41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2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3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1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1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1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7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4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6.6" customHeight="1" x14ac:dyDescent="0.45">
      <c r="B199" s="142"/>
      <c r="C199" s="143"/>
      <c r="D199" s="67" t="str">
        <f t="shared" si="3"/>
        <v/>
      </c>
      <c r="E199" s="41" t="str">
        <f t="array" ref="E199">IFERROR(INDEX(Kintoneデータ抽出!A:A, _xlfn.AGGREGATE(15, 6, ROW(Kintoneデータ抽出!$K$2:$K$5000) / ((Kintoneデータ抽出!$K$2:$K$5000="院内")), ROW(A162))), "")</f>
        <v/>
      </c>
      <c r="F199" s="43" t="str">
        <f t="array" ref="F199">IFERROR(INDEX(Kintoneデータ抽出!D:D, _xlfn.AGGREGATE(15, 6, ROW(Kintoneデータ抽出!$K$2:$K$5000) / ((Kintoneデータ抽出!$K$2:$K$5000="院内")), ROW(A162))), "")</f>
        <v/>
      </c>
      <c r="G199" s="43" t="str">
        <f t="array" ref="G199">IFERROR(INDEX(Kintoneデータ抽出!C:C, _xlfn.AGGREGATE(15, 6, ROW(Kintoneデータ抽出!$K$2:$K$5000) / ((Kintoneデータ抽出!$K$2:$K$5000="院内")), ROW(A162))), "")</f>
        <v/>
      </c>
      <c r="H199" s="41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2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3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1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1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1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7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4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6.6" customHeight="1" x14ac:dyDescent="0.45">
      <c r="B200" s="142"/>
      <c r="C200" s="143"/>
      <c r="D200" s="67" t="str">
        <f t="shared" si="3"/>
        <v/>
      </c>
      <c r="E200" s="41" t="str">
        <f t="array" ref="E200">IFERROR(INDEX(Kintoneデータ抽出!A:A, _xlfn.AGGREGATE(15, 6, ROW(Kintoneデータ抽出!$K$2:$K$5000) / ((Kintoneデータ抽出!$K$2:$K$5000="院内")), ROW(A163))), "")</f>
        <v/>
      </c>
      <c r="F200" s="43" t="str">
        <f t="array" ref="F200">IFERROR(INDEX(Kintoneデータ抽出!D:D, _xlfn.AGGREGATE(15, 6, ROW(Kintoneデータ抽出!$K$2:$K$5000) / ((Kintoneデータ抽出!$K$2:$K$5000="院内")), ROW(A163))), "")</f>
        <v/>
      </c>
      <c r="G200" s="43" t="str">
        <f t="array" ref="G200">IFERROR(INDEX(Kintoneデータ抽出!C:C, _xlfn.AGGREGATE(15, 6, ROW(Kintoneデータ抽出!$K$2:$K$5000) / ((Kintoneデータ抽出!$K$2:$K$5000="院内")), ROW(A163))), "")</f>
        <v/>
      </c>
      <c r="H200" s="41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2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3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1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1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1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7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4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6.6" customHeight="1" x14ac:dyDescent="0.45">
      <c r="B201" s="142"/>
      <c r="C201" s="143"/>
      <c r="D201" s="67" t="str">
        <f t="shared" si="3"/>
        <v/>
      </c>
      <c r="E201" s="41" t="str">
        <f t="array" ref="E201">IFERROR(INDEX(Kintoneデータ抽出!A:A, _xlfn.AGGREGATE(15, 6, ROW(Kintoneデータ抽出!$K$2:$K$5000) / ((Kintoneデータ抽出!$K$2:$K$5000="院内")), ROW(A164))), "")</f>
        <v/>
      </c>
      <c r="F201" s="43" t="str">
        <f t="array" ref="F201">IFERROR(INDEX(Kintoneデータ抽出!D:D, _xlfn.AGGREGATE(15, 6, ROW(Kintoneデータ抽出!$K$2:$K$5000) / ((Kintoneデータ抽出!$K$2:$K$5000="院内")), ROW(A164))), "")</f>
        <v/>
      </c>
      <c r="G201" s="43" t="str">
        <f t="array" ref="G201">IFERROR(INDEX(Kintoneデータ抽出!C:C, _xlfn.AGGREGATE(15, 6, ROW(Kintoneデータ抽出!$K$2:$K$5000) / ((Kintoneデータ抽出!$K$2:$K$5000="院内")), ROW(A164))), "")</f>
        <v/>
      </c>
      <c r="H201" s="41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2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3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1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1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1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7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4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6.6" customHeight="1" x14ac:dyDescent="0.45">
      <c r="B202" s="142"/>
      <c r="C202" s="143"/>
      <c r="D202" s="67" t="str">
        <f t="shared" si="3"/>
        <v/>
      </c>
      <c r="E202" s="41" t="str">
        <f t="array" ref="E202">IFERROR(INDEX(Kintoneデータ抽出!A:A, _xlfn.AGGREGATE(15, 6, ROW(Kintoneデータ抽出!$K$2:$K$5000) / ((Kintoneデータ抽出!$K$2:$K$5000="院内")), ROW(A165))), "")</f>
        <v/>
      </c>
      <c r="F202" s="43" t="str">
        <f t="array" ref="F202">IFERROR(INDEX(Kintoneデータ抽出!D:D, _xlfn.AGGREGATE(15, 6, ROW(Kintoneデータ抽出!$K$2:$K$5000) / ((Kintoneデータ抽出!$K$2:$K$5000="院内")), ROW(A165))), "")</f>
        <v/>
      </c>
      <c r="G202" s="43" t="str">
        <f t="array" ref="G202">IFERROR(INDEX(Kintoneデータ抽出!C:C, _xlfn.AGGREGATE(15, 6, ROW(Kintoneデータ抽出!$K$2:$K$5000) / ((Kintoneデータ抽出!$K$2:$K$5000="院内")), ROW(A165))), "")</f>
        <v/>
      </c>
      <c r="H202" s="41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2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3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1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1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1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7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4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6.6" customHeight="1" x14ac:dyDescent="0.45">
      <c r="B203" s="142"/>
      <c r="C203" s="143"/>
      <c r="D203" s="67" t="str">
        <f t="shared" si="3"/>
        <v/>
      </c>
      <c r="E203" s="41" t="str">
        <f t="array" ref="E203">IFERROR(INDEX(Kintoneデータ抽出!A:A, _xlfn.AGGREGATE(15, 6, ROW(Kintoneデータ抽出!$K$2:$K$5000) / ((Kintoneデータ抽出!$K$2:$K$5000="院内")), ROW(A166))), "")</f>
        <v/>
      </c>
      <c r="F203" s="43" t="str">
        <f t="array" ref="F203">IFERROR(INDEX(Kintoneデータ抽出!D:D, _xlfn.AGGREGATE(15, 6, ROW(Kintoneデータ抽出!$K$2:$K$5000) / ((Kintoneデータ抽出!$K$2:$K$5000="院内")), ROW(A166))), "")</f>
        <v/>
      </c>
      <c r="G203" s="43" t="str">
        <f t="array" ref="G203">IFERROR(INDEX(Kintoneデータ抽出!C:C, _xlfn.AGGREGATE(15, 6, ROW(Kintoneデータ抽出!$K$2:$K$5000) / ((Kintoneデータ抽出!$K$2:$K$5000="院内")), ROW(A166))), "")</f>
        <v/>
      </c>
      <c r="H203" s="41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2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3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1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1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1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7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4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6.6" customHeight="1" x14ac:dyDescent="0.45">
      <c r="B204" s="142"/>
      <c r="C204" s="143"/>
      <c r="D204" s="67" t="str">
        <f t="shared" si="3"/>
        <v/>
      </c>
      <c r="E204" s="41" t="str">
        <f t="array" ref="E204">IFERROR(INDEX(Kintoneデータ抽出!A:A, _xlfn.AGGREGATE(15, 6, ROW(Kintoneデータ抽出!$K$2:$K$5000) / ((Kintoneデータ抽出!$K$2:$K$5000="院内")), ROW(A167))), "")</f>
        <v/>
      </c>
      <c r="F204" s="43" t="str">
        <f t="array" ref="F204">IFERROR(INDEX(Kintoneデータ抽出!D:D, _xlfn.AGGREGATE(15, 6, ROW(Kintoneデータ抽出!$K$2:$K$5000) / ((Kintoneデータ抽出!$K$2:$K$5000="院内")), ROW(A167))), "")</f>
        <v/>
      </c>
      <c r="G204" s="43" t="str">
        <f t="array" ref="G204">IFERROR(INDEX(Kintoneデータ抽出!C:C, _xlfn.AGGREGATE(15, 6, ROW(Kintoneデータ抽出!$K$2:$K$5000) / ((Kintoneデータ抽出!$K$2:$K$5000="院内")), ROW(A167))), "")</f>
        <v/>
      </c>
      <c r="H204" s="41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2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3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1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1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1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7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4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6.6" customHeight="1" x14ac:dyDescent="0.45">
      <c r="B205" s="142"/>
      <c r="C205" s="143"/>
      <c r="D205" s="67" t="str">
        <f t="shared" si="3"/>
        <v/>
      </c>
      <c r="E205" s="41" t="str">
        <f t="array" ref="E205">IFERROR(INDEX(Kintoneデータ抽出!A:A, _xlfn.AGGREGATE(15, 6, ROW(Kintoneデータ抽出!$K$2:$K$5000) / ((Kintoneデータ抽出!$K$2:$K$5000="院内")), ROW(A168))), "")</f>
        <v/>
      </c>
      <c r="F205" s="43" t="str">
        <f t="array" ref="F205">IFERROR(INDEX(Kintoneデータ抽出!D:D, _xlfn.AGGREGATE(15, 6, ROW(Kintoneデータ抽出!$K$2:$K$5000) / ((Kintoneデータ抽出!$K$2:$K$5000="院内")), ROW(A168))), "")</f>
        <v/>
      </c>
      <c r="G205" s="43" t="str">
        <f t="array" ref="G205">IFERROR(INDEX(Kintoneデータ抽出!C:C, _xlfn.AGGREGATE(15, 6, ROW(Kintoneデータ抽出!$K$2:$K$5000) / ((Kintoneデータ抽出!$K$2:$K$5000="院内")), ROW(A168))), "")</f>
        <v/>
      </c>
      <c r="H205" s="41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2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3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1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1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1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7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4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6.6" customHeight="1" x14ac:dyDescent="0.45">
      <c r="B206" s="142"/>
      <c r="C206" s="143"/>
      <c r="D206" s="67" t="str">
        <f t="shared" si="3"/>
        <v/>
      </c>
      <c r="E206" s="41" t="str">
        <f t="array" ref="E206">IFERROR(INDEX(Kintoneデータ抽出!A:A, _xlfn.AGGREGATE(15, 6, ROW(Kintoneデータ抽出!$K$2:$K$5000) / ((Kintoneデータ抽出!$K$2:$K$5000="院内")), ROW(A169))), "")</f>
        <v/>
      </c>
      <c r="F206" s="43" t="str">
        <f t="array" ref="F206">IFERROR(INDEX(Kintoneデータ抽出!D:D, _xlfn.AGGREGATE(15, 6, ROW(Kintoneデータ抽出!$K$2:$K$5000) / ((Kintoneデータ抽出!$K$2:$K$5000="院内")), ROW(A169))), "")</f>
        <v/>
      </c>
      <c r="G206" s="43" t="str">
        <f t="array" ref="G206">IFERROR(INDEX(Kintoneデータ抽出!C:C, _xlfn.AGGREGATE(15, 6, ROW(Kintoneデータ抽出!$K$2:$K$5000) / ((Kintoneデータ抽出!$K$2:$K$5000="院内")), ROW(A169))), "")</f>
        <v/>
      </c>
      <c r="H206" s="41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2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3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1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1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1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7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4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6.6" customHeight="1" x14ac:dyDescent="0.45">
      <c r="B207" s="142"/>
      <c r="C207" s="143"/>
      <c r="D207" s="67" t="str">
        <f t="shared" si="3"/>
        <v/>
      </c>
      <c r="E207" s="41" t="str">
        <f t="array" ref="E207">IFERROR(INDEX(Kintoneデータ抽出!A:A, _xlfn.AGGREGATE(15, 6, ROW(Kintoneデータ抽出!$K$2:$K$5000) / ((Kintoneデータ抽出!$K$2:$K$5000="院内")), ROW(A170))), "")</f>
        <v/>
      </c>
      <c r="F207" s="43" t="str">
        <f t="array" ref="F207">IFERROR(INDEX(Kintoneデータ抽出!D:D, _xlfn.AGGREGATE(15, 6, ROW(Kintoneデータ抽出!$K$2:$K$5000) / ((Kintoneデータ抽出!$K$2:$K$5000="院内")), ROW(A170))), "")</f>
        <v/>
      </c>
      <c r="G207" s="43" t="str">
        <f t="array" ref="G207">IFERROR(INDEX(Kintoneデータ抽出!C:C, _xlfn.AGGREGATE(15, 6, ROW(Kintoneデータ抽出!$K$2:$K$5000) / ((Kintoneデータ抽出!$K$2:$K$5000="院内")), ROW(A170))), "")</f>
        <v/>
      </c>
      <c r="H207" s="41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2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3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1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1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1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7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4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6.6" customHeight="1" x14ac:dyDescent="0.45">
      <c r="B208" s="142"/>
      <c r="C208" s="143"/>
      <c r="D208" s="67" t="str">
        <f t="shared" si="3"/>
        <v/>
      </c>
      <c r="E208" s="41" t="str">
        <f t="array" ref="E208">IFERROR(INDEX(Kintoneデータ抽出!A:A, _xlfn.AGGREGATE(15, 6, ROW(Kintoneデータ抽出!$K$2:$K$5000) / ((Kintoneデータ抽出!$K$2:$K$5000="院内")), ROW(A171))), "")</f>
        <v/>
      </c>
      <c r="F208" s="43" t="str">
        <f t="array" ref="F208">IFERROR(INDEX(Kintoneデータ抽出!D:D, _xlfn.AGGREGATE(15, 6, ROW(Kintoneデータ抽出!$K$2:$K$5000) / ((Kintoneデータ抽出!$K$2:$K$5000="院内")), ROW(A171))), "")</f>
        <v/>
      </c>
      <c r="G208" s="43" t="str">
        <f t="array" ref="G208">IFERROR(INDEX(Kintoneデータ抽出!C:C, _xlfn.AGGREGATE(15, 6, ROW(Kintoneデータ抽出!$K$2:$K$5000) / ((Kintoneデータ抽出!$K$2:$K$5000="院内")), ROW(A171))), "")</f>
        <v/>
      </c>
      <c r="H208" s="41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2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3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1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1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1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7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4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6.6" customHeight="1" x14ac:dyDescent="0.45">
      <c r="B209" s="142"/>
      <c r="C209" s="143"/>
      <c r="D209" s="67" t="str">
        <f t="shared" si="3"/>
        <v/>
      </c>
      <c r="E209" s="41" t="str">
        <f t="array" ref="E209">IFERROR(INDEX(Kintoneデータ抽出!A:A, _xlfn.AGGREGATE(15, 6, ROW(Kintoneデータ抽出!$K$2:$K$5000) / ((Kintoneデータ抽出!$K$2:$K$5000="院内")), ROW(A172))), "")</f>
        <v/>
      </c>
      <c r="F209" s="43" t="str">
        <f t="array" ref="F209">IFERROR(INDEX(Kintoneデータ抽出!D:D, _xlfn.AGGREGATE(15, 6, ROW(Kintoneデータ抽出!$K$2:$K$5000) / ((Kintoneデータ抽出!$K$2:$K$5000="院内")), ROW(A172))), "")</f>
        <v/>
      </c>
      <c r="G209" s="43" t="str">
        <f t="array" ref="G209">IFERROR(INDEX(Kintoneデータ抽出!C:C, _xlfn.AGGREGATE(15, 6, ROW(Kintoneデータ抽出!$K$2:$K$5000) / ((Kintoneデータ抽出!$K$2:$K$5000="院内")), ROW(A172))), "")</f>
        <v/>
      </c>
      <c r="H209" s="41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2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3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1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1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1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7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4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6.6" customHeight="1" x14ac:dyDescent="0.45">
      <c r="B210" s="142"/>
      <c r="C210" s="143"/>
      <c r="D210" s="67" t="str">
        <f t="shared" si="3"/>
        <v/>
      </c>
      <c r="E210" s="41" t="str">
        <f t="array" ref="E210">IFERROR(INDEX(Kintoneデータ抽出!A:A, _xlfn.AGGREGATE(15, 6, ROW(Kintoneデータ抽出!$K$2:$K$5000) / ((Kintoneデータ抽出!$K$2:$K$5000="院内")), ROW(A173))), "")</f>
        <v/>
      </c>
      <c r="F210" s="43" t="str">
        <f t="array" ref="F210">IFERROR(INDEX(Kintoneデータ抽出!D:D, _xlfn.AGGREGATE(15, 6, ROW(Kintoneデータ抽出!$K$2:$K$5000) / ((Kintoneデータ抽出!$K$2:$K$5000="院内")), ROW(A173))), "")</f>
        <v/>
      </c>
      <c r="G210" s="43" t="str">
        <f t="array" ref="G210">IFERROR(INDEX(Kintoneデータ抽出!C:C, _xlfn.AGGREGATE(15, 6, ROW(Kintoneデータ抽出!$K$2:$K$5000) / ((Kintoneデータ抽出!$K$2:$K$5000="院内")), ROW(A173))), "")</f>
        <v/>
      </c>
      <c r="H210" s="41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2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3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1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1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1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7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4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6.6" customHeight="1" x14ac:dyDescent="0.45">
      <c r="B211" s="142"/>
      <c r="C211" s="143"/>
      <c r="D211" s="67" t="str">
        <f t="shared" si="3"/>
        <v/>
      </c>
      <c r="E211" s="41" t="str">
        <f t="array" ref="E211">IFERROR(INDEX(Kintoneデータ抽出!A:A, _xlfn.AGGREGATE(15, 6, ROW(Kintoneデータ抽出!$K$2:$K$5000) / ((Kintoneデータ抽出!$K$2:$K$5000="院内")), ROW(A174))), "")</f>
        <v/>
      </c>
      <c r="F211" s="43" t="str">
        <f t="array" ref="F211">IFERROR(INDEX(Kintoneデータ抽出!D:D, _xlfn.AGGREGATE(15, 6, ROW(Kintoneデータ抽出!$K$2:$K$5000) / ((Kintoneデータ抽出!$K$2:$K$5000="院内")), ROW(A174))), "")</f>
        <v/>
      </c>
      <c r="G211" s="43" t="str">
        <f t="array" ref="G211">IFERROR(INDEX(Kintoneデータ抽出!C:C, _xlfn.AGGREGATE(15, 6, ROW(Kintoneデータ抽出!$K$2:$K$5000) / ((Kintoneデータ抽出!$K$2:$K$5000="院内")), ROW(A174))), "")</f>
        <v/>
      </c>
      <c r="H211" s="41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2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3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1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1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1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7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4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6.6" customHeight="1" x14ac:dyDescent="0.45">
      <c r="B212" s="142"/>
      <c r="C212" s="143"/>
      <c r="D212" s="67" t="str">
        <f t="shared" si="3"/>
        <v/>
      </c>
      <c r="E212" s="41" t="str">
        <f t="array" ref="E212">IFERROR(INDEX(Kintoneデータ抽出!A:A, _xlfn.AGGREGATE(15, 6, ROW(Kintoneデータ抽出!$K$2:$K$5000) / ((Kintoneデータ抽出!$K$2:$K$5000="院内")), ROW(A175))), "")</f>
        <v/>
      </c>
      <c r="F212" s="43" t="str">
        <f t="array" ref="F212">IFERROR(INDEX(Kintoneデータ抽出!D:D, _xlfn.AGGREGATE(15, 6, ROW(Kintoneデータ抽出!$K$2:$K$5000) / ((Kintoneデータ抽出!$K$2:$K$5000="院内")), ROW(A175))), "")</f>
        <v/>
      </c>
      <c r="G212" s="43" t="str">
        <f t="array" ref="G212">IFERROR(INDEX(Kintoneデータ抽出!C:C, _xlfn.AGGREGATE(15, 6, ROW(Kintoneデータ抽出!$K$2:$K$5000) / ((Kintoneデータ抽出!$K$2:$K$5000="院内")), ROW(A175))), "")</f>
        <v/>
      </c>
      <c r="H212" s="41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2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3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1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1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1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7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4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6.6" customHeight="1" x14ac:dyDescent="0.45">
      <c r="B213" s="142"/>
      <c r="C213" s="143"/>
      <c r="D213" s="67" t="str">
        <f t="shared" si="3"/>
        <v/>
      </c>
      <c r="E213" s="41" t="str">
        <f t="array" ref="E213">IFERROR(INDEX(Kintoneデータ抽出!A:A, _xlfn.AGGREGATE(15, 6, ROW(Kintoneデータ抽出!$K$2:$K$5000) / ((Kintoneデータ抽出!$K$2:$K$5000="院内")), ROW(A176))), "")</f>
        <v/>
      </c>
      <c r="F213" s="43" t="str">
        <f t="array" ref="F213">IFERROR(INDEX(Kintoneデータ抽出!D:D, _xlfn.AGGREGATE(15, 6, ROW(Kintoneデータ抽出!$K$2:$K$5000) / ((Kintoneデータ抽出!$K$2:$K$5000="院内")), ROW(A176))), "")</f>
        <v/>
      </c>
      <c r="G213" s="43" t="str">
        <f t="array" ref="G213">IFERROR(INDEX(Kintoneデータ抽出!C:C, _xlfn.AGGREGATE(15, 6, ROW(Kintoneデータ抽出!$K$2:$K$5000) / ((Kintoneデータ抽出!$K$2:$K$5000="院内")), ROW(A176))), "")</f>
        <v/>
      </c>
      <c r="H213" s="41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2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3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1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1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1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7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4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6.6" customHeight="1" x14ac:dyDescent="0.45">
      <c r="B214" s="142"/>
      <c r="C214" s="143"/>
      <c r="D214" s="67" t="str">
        <f t="shared" si="3"/>
        <v/>
      </c>
      <c r="E214" s="41" t="str">
        <f t="array" ref="E214">IFERROR(INDEX(Kintoneデータ抽出!A:A, _xlfn.AGGREGATE(15, 6, ROW(Kintoneデータ抽出!$K$2:$K$5000) / ((Kintoneデータ抽出!$K$2:$K$5000="院内")), ROW(A177))), "")</f>
        <v/>
      </c>
      <c r="F214" s="43" t="str">
        <f t="array" ref="F214">IFERROR(INDEX(Kintoneデータ抽出!D:D, _xlfn.AGGREGATE(15, 6, ROW(Kintoneデータ抽出!$K$2:$K$5000) / ((Kintoneデータ抽出!$K$2:$K$5000="院内")), ROW(A177))), "")</f>
        <v/>
      </c>
      <c r="G214" s="43" t="str">
        <f t="array" ref="G214">IFERROR(INDEX(Kintoneデータ抽出!C:C, _xlfn.AGGREGATE(15, 6, ROW(Kintoneデータ抽出!$K$2:$K$5000) / ((Kintoneデータ抽出!$K$2:$K$5000="院内")), ROW(A177))), "")</f>
        <v/>
      </c>
      <c r="H214" s="41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2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3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1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1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1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7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4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6.6" customHeight="1" x14ac:dyDescent="0.45">
      <c r="B215" s="142"/>
      <c r="C215" s="143"/>
      <c r="D215" s="67" t="str">
        <f t="shared" si="3"/>
        <v/>
      </c>
      <c r="E215" s="41" t="str">
        <f t="array" ref="E215">IFERROR(INDEX(Kintoneデータ抽出!A:A, _xlfn.AGGREGATE(15, 6, ROW(Kintoneデータ抽出!$K$2:$K$5000) / ((Kintoneデータ抽出!$K$2:$K$5000="院内")), ROW(A178))), "")</f>
        <v/>
      </c>
      <c r="F215" s="43" t="str">
        <f t="array" ref="F215">IFERROR(INDEX(Kintoneデータ抽出!D:D, _xlfn.AGGREGATE(15, 6, ROW(Kintoneデータ抽出!$K$2:$K$5000) / ((Kintoneデータ抽出!$K$2:$K$5000="院内")), ROW(A178))), "")</f>
        <v/>
      </c>
      <c r="G215" s="43" t="str">
        <f t="array" ref="G215">IFERROR(INDEX(Kintoneデータ抽出!C:C, _xlfn.AGGREGATE(15, 6, ROW(Kintoneデータ抽出!$K$2:$K$5000) / ((Kintoneデータ抽出!$K$2:$K$5000="院内")), ROW(A178))), "")</f>
        <v/>
      </c>
      <c r="H215" s="41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2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3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1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1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1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7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4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6.6" customHeight="1" x14ac:dyDescent="0.45">
      <c r="B216" s="142"/>
      <c r="C216" s="143"/>
      <c r="D216" s="67" t="str">
        <f t="shared" si="3"/>
        <v/>
      </c>
      <c r="E216" s="41" t="str">
        <f t="array" ref="E216">IFERROR(INDEX(Kintoneデータ抽出!A:A, _xlfn.AGGREGATE(15, 6, ROW(Kintoneデータ抽出!$K$2:$K$5000) / ((Kintoneデータ抽出!$K$2:$K$5000="院内")), ROW(A179))), "")</f>
        <v/>
      </c>
      <c r="F216" s="43" t="str">
        <f t="array" ref="F216">IFERROR(INDEX(Kintoneデータ抽出!D:D, _xlfn.AGGREGATE(15, 6, ROW(Kintoneデータ抽出!$K$2:$K$5000) / ((Kintoneデータ抽出!$K$2:$K$5000="院内")), ROW(A179))), "")</f>
        <v/>
      </c>
      <c r="G216" s="43" t="str">
        <f t="array" ref="G216">IFERROR(INDEX(Kintoneデータ抽出!C:C, _xlfn.AGGREGATE(15, 6, ROW(Kintoneデータ抽出!$K$2:$K$5000) / ((Kintoneデータ抽出!$K$2:$K$5000="院内")), ROW(A179))), "")</f>
        <v/>
      </c>
      <c r="H216" s="41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2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3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1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1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1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7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4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6.6" customHeight="1" x14ac:dyDescent="0.45">
      <c r="B217" s="142"/>
      <c r="C217" s="143"/>
      <c r="D217" s="67" t="str">
        <f t="shared" si="3"/>
        <v/>
      </c>
      <c r="E217" s="41" t="str">
        <f t="array" ref="E217">IFERROR(INDEX(Kintoneデータ抽出!A:A, _xlfn.AGGREGATE(15, 6, ROW(Kintoneデータ抽出!$K$2:$K$5000) / ((Kintoneデータ抽出!$K$2:$K$5000="院内")), ROW(A180))), "")</f>
        <v/>
      </c>
      <c r="F217" s="43" t="str">
        <f t="array" ref="F217">IFERROR(INDEX(Kintoneデータ抽出!D:D, _xlfn.AGGREGATE(15, 6, ROW(Kintoneデータ抽出!$K$2:$K$5000) / ((Kintoneデータ抽出!$K$2:$K$5000="院内")), ROW(A180))), "")</f>
        <v/>
      </c>
      <c r="G217" s="43" t="str">
        <f t="array" ref="G217">IFERROR(INDEX(Kintoneデータ抽出!C:C, _xlfn.AGGREGATE(15, 6, ROW(Kintoneデータ抽出!$K$2:$K$5000) / ((Kintoneデータ抽出!$K$2:$K$5000="院内")), ROW(A180))), "")</f>
        <v/>
      </c>
      <c r="H217" s="41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2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3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1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1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1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7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4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6.6" customHeight="1" x14ac:dyDescent="0.45">
      <c r="B218" s="142"/>
      <c r="C218" s="143"/>
      <c r="D218" s="67" t="str">
        <f t="shared" si="3"/>
        <v/>
      </c>
      <c r="E218" s="41" t="str">
        <f t="array" ref="E218">IFERROR(INDEX(Kintoneデータ抽出!A:A, _xlfn.AGGREGATE(15, 6, ROW(Kintoneデータ抽出!$K$2:$K$5000) / ((Kintoneデータ抽出!$K$2:$K$5000="院内")), ROW(A181))), "")</f>
        <v/>
      </c>
      <c r="F218" s="43" t="str">
        <f t="array" ref="F218">IFERROR(INDEX(Kintoneデータ抽出!D:D, _xlfn.AGGREGATE(15, 6, ROW(Kintoneデータ抽出!$K$2:$K$5000) / ((Kintoneデータ抽出!$K$2:$K$5000="院内")), ROW(A181))), "")</f>
        <v/>
      </c>
      <c r="G218" s="43" t="str">
        <f t="array" ref="G218">IFERROR(INDEX(Kintoneデータ抽出!C:C, _xlfn.AGGREGATE(15, 6, ROW(Kintoneデータ抽出!$K$2:$K$5000) / ((Kintoneデータ抽出!$K$2:$K$5000="院内")), ROW(A181))), "")</f>
        <v/>
      </c>
      <c r="H218" s="41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2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3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1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1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1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7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4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6.6" customHeight="1" x14ac:dyDescent="0.45">
      <c r="B219" s="142"/>
      <c r="C219" s="143"/>
      <c r="D219" s="67" t="str">
        <f t="shared" si="3"/>
        <v/>
      </c>
      <c r="E219" s="41" t="str">
        <f t="array" ref="E219">IFERROR(INDEX(Kintoneデータ抽出!A:A, _xlfn.AGGREGATE(15, 6, ROW(Kintoneデータ抽出!$K$2:$K$5000) / ((Kintoneデータ抽出!$K$2:$K$5000="院内")), ROW(A182))), "")</f>
        <v/>
      </c>
      <c r="F219" s="43" t="str">
        <f t="array" ref="F219">IFERROR(INDEX(Kintoneデータ抽出!D:D, _xlfn.AGGREGATE(15, 6, ROW(Kintoneデータ抽出!$K$2:$K$5000) / ((Kintoneデータ抽出!$K$2:$K$5000="院内")), ROW(A182))), "")</f>
        <v/>
      </c>
      <c r="G219" s="43" t="str">
        <f t="array" ref="G219">IFERROR(INDEX(Kintoneデータ抽出!C:C, _xlfn.AGGREGATE(15, 6, ROW(Kintoneデータ抽出!$K$2:$K$5000) / ((Kintoneデータ抽出!$K$2:$K$5000="院内")), ROW(A182))), "")</f>
        <v/>
      </c>
      <c r="H219" s="41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2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3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1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1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1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7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4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6.6" customHeight="1" x14ac:dyDescent="0.45">
      <c r="B220" s="142"/>
      <c r="C220" s="143"/>
      <c r="D220" s="67" t="str">
        <f t="shared" si="3"/>
        <v/>
      </c>
      <c r="E220" s="41" t="str">
        <f t="array" ref="E220">IFERROR(INDEX(Kintoneデータ抽出!A:A, _xlfn.AGGREGATE(15, 6, ROW(Kintoneデータ抽出!$K$2:$K$5000) / ((Kintoneデータ抽出!$K$2:$K$5000="院内")), ROW(A183))), "")</f>
        <v/>
      </c>
      <c r="F220" s="43" t="str">
        <f t="array" ref="F220">IFERROR(INDEX(Kintoneデータ抽出!D:D, _xlfn.AGGREGATE(15, 6, ROW(Kintoneデータ抽出!$K$2:$K$5000) / ((Kintoneデータ抽出!$K$2:$K$5000="院内")), ROW(A183))), "")</f>
        <v/>
      </c>
      <c r="G220" s="43" t="str">
        <f t="array" ref="G220">IFERROR(INDEX(Kintoneデータ抽出!C:C, _xlfn.AGGREGATE(15, 6, ROW(Kintoneデータ抽出!$K$2:$K$5000) / ((Kintoneデータ抽出!$K$2:$K$5000="院内")), ROW(A183))), "")</f>
        <v/>
      </c>
      <c r="H220" s="41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2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3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1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1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1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7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4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6.6" customHeight="1" x14ac:dyDescent="0.45">
      <c r="B221" s="142"/>
      <c r="C221" s="143"/>
      <c r="D221" s="67" t="str">
        <f t="shared" si="3"/>
        <v/>
      </c>
      <c r="E221" s="41" t="str">
        <f t="array" ref="E221">IFERROR(INDEX(Kintoneデータ抽出!A:A, _xlfn.AGGREGATE(15, 6, ROW(Kintoneデータ抽出!$K$2:$K$5000) / ((Kintoneデータ抽出!$K$2:$K$5000="院内")), ROW(A184))), "")</f>
        <v/>
      </c>
      <c r="F221" s="43" t="str">
        <f t="array" ref="F221">IFERROR(INDEX(Kintoneデータ抽出!D:D, _xlfn.AGGREGATE(15, 6, ROW(Kintoneデータ抽出!$K$2:$K$5000) / ((Kintoneデータ抽出!$K$2:$K$5000="院内")), ROW(A184))), "")</f>
        <v/>
      </c>
      <c r="G221" s="43" t="str">
        <f t="array" ref="G221">IFERROR(INDEX(Kintoneデータ抽出!C:C, _xlfn.AGGREGATE(15, 6, ROW(Kintoneデータ抽出!$K$2:$K$5000) / ((Kintoneデータ抽出!$K$2:$K$5000="院内")), ROW(A184))), "")</f>
        <v/>
      </c>
      <c r="H221" s="41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2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3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1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1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1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7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4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6.6" customHeight="1" x14ac:dyDescent="0.45">
      <c r="B222" s="142"/>
      <c r="C222" s="143"/>
      <c r="D222" s="67" t="str">
        <f t="shared" si="3"/>
        <v/>
      </c>
      <c r="E222" s="41" t="str">
        <f t="array" ref="E222">IFERROR(INDEX(Kintoneデータ抽出!A:A, _xlfn.AGGREGATE(15, 6, ROW(Kintoneデータ抽出!$K$2:$K$5000) / ((Kintoneデータ抽出!$K$2:$K$5000="院内")), ROW(A185))), "")</f>
        <v/>
      </c>
      <c r="F222" s="43" t="str">
        <f t="array" ref="F222">IFERROR(INDEX(Kintoneデータ抽出!D:D, _xlfn.AGGREGATE(15, 6, ROW(Kintoneデータ抽出!$K$2:$K$5000) / ((Kintoneデータ抽出!$K$2:$K$5000="院内")), ROW(A185))), "")</f>
        <v/>
      </c>
      <c r="G222" s="43" t="str">
        <f t="array" ref="G222">IFERROR(INDEX(Kintoneデータ抽出!C:C, _xlfn.AGGREGATE(15, 6, ROW(Kintoneデータ抽出!$K$2:$K$5000) / ((Kintoneデータ抽出!$K$2:$K$5000="院内")), ROW(A185))), "")</f>
        <v/>
      </c>
      <c r="H222" s="41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2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3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1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1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1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7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4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6.6" customHeight="1" x14ac:dyDescent="0.45">
      <c r="B223" s="142"/>
      <c r="C223" s="143"/>
      <c r="D223" s="67" t="str">
        <f t="shared" si="3"/>
        <v/>
      </c>
      <c r="E223" s="41" t="str">
        <f t="array" ref="E223">IFERROR(INDEX(Kintoneデータ抽出!A:A, _xlfn.AGGREGATE(15, 6, ROW(Kintoneデータ抽出!$K$2:$K$5000) / ((Kintoneデータ抽出!$K$2:$K$5000="院内")), ROW(A186))), "")</f>
        <v/>
      </c>
      <c r="F223" s="43" t="str">
        <f t="array" ref="F223">IFERROR(INDEX(Kintoneデータ抽出!D:D, _xlfn.AGGREGATE(15, 6, ROW(Kintoneデータ抽出!$K$2:$K$5000) / ((Kintoneデータ抽出!$K$2:$K$5000="院内")), ROW(A186))), "")</f>
        <v/>
      </c>
      <c r="G223" s="43" t="str">
        <f t="array" ref="G223">IFERROR(INDEX(Kintoneデータ抽出!C:C, _xlfn.AGGREGATE(15, 6, ROW(Kintoneデータ抽出!$K$2:$K$5000) / ((Kintoneデータ抽出!$K$2:$K$5000="院内")), ROW(A186))), "")</f>
        <v/>
      </c>
      <c r="H223" s="41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2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3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1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1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1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7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4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6.6" customHeight="1" x14ac:dyDescent="0.45">
      <c r="B224" s="142"/>
      <c r="C224" s="143"/>
      <c r="D224" s="67" t="str">
        <f t="shared" si="3"/>
        <v/>
      </c>
      <c r="E224" s="41" t="str">
        <f t="array" ref="E224">IFERROR(INDEX(Kintoneデータ抽出!A:A, _xlfn.AGGREGATE(15, 6, ROW(Kintoneデータ抽出!$K$2:$K$5000) / ((Kintoneデータ抽出!$K$2:$K$5000="院内")), ROW(A187))), "")</f>
        <v/>
      </c>
      <c r="F224" s="43" t="str">
        <f t="array" ref="F224">IFERROR(INDEX(Kintoneデータ抽出!D:D, _xlfn.AGGREGATE(15, 6, ROW(Kintoneデータ抽出!$K$2:$K$5000) / ((Kintoneデータ抽出!$K$2:$K$5000="院内")), ROW(A187))), "")</f>
        <v/>
      </c>
      <c r="G224" s="43" t="str">
        <f t="array" ref="G224">IFERROR(INDEX(Kintoneデータ抽出!C:C, _xlfn.AGGREGATE(15, 6, ROW(Kintoneデータ抽出!$K$2:$K$5000) / ((Kintoneデータ抽出!$K$2:$K$5000="院内")), ROW(A187))), "")</f>
        <v/>
      </c>
      <c r="H224" s="41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2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3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1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1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1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7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4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6.6" customHeight="1" x14ac:dyDescent="0.45">
      <c r="B225" s="142"/>
      <c r="C225" s="143"/>
      <c r="D225" s="67" t="str">
        <f t="shared" si="3"/>
        <v/>
      </c>
      <c r="E225" s="41" t="str">
        <f t="array" ref="E225">IFERROR(INDEX(Kintoneデータ抽出!A:A, _xlfn.AGGREGATE(15, 6, ROW(Kintoneデータ抽出!$K$2:$K$5000) / ((Kintoneデータ抽出!$K$2:$K$5000="院内")), ROW(A188))), "")</f>
        <v/>
      </c>
      <c r="F225" s="43" t="str">
        <f t="array" ref="F225">IFERROR(INDEX(Kintoneデータ抽出!D:D, _xlfn.AGGREGATE(15, 6, ROW(Kintoneデータ抽出!$K$2:$K$5000) / ((Kintoneデータ抽出!$K$2:$K$5000="院内")), ROW(A188))), "")</f>
        <v/>
      </c>
      <c r="G225" s="43" t="str">
        <f t="array" ref="G225">IFERROR(INDEX(Kintoneデータ抽出!C:C, _xlfn.AGGREGATE(15, 6, ROW(Kintoneデータ抽出!$K$2:$K$5000) / ((Kintoneデータ抽出!$K$2:$K$5000="院内")), ROW(A188))), "")</f>
        <v/>
      </c>
      <c r="H225" s="41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2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3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1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1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1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7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4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6.6" customHeight="1" x14ac:dyDescent="0.45">
      <c r="B226" s="142"/>
      <c r="C226" s="143"/>
      <c r="D226" s="67" t="str">
        <f t="shared" si="3"/>
        <v/>
      </c>
      <c r="E226" s="41" t="str">
        <f t="array" ref="E226">IFERROR(INDEX(Kintoneデータ抽出!A:A, _xlfn.AGGREGATE(15, 6, ROW(Kintoneデータ抽出!$K$2:$K$5000) / ((Kintoneデータ抽出!$K$2:$K$5000="院内")), ROW(A189))), "")</f>
        <v/>
      </c>
      <c r="F226" s="43" t="str">
        <f t="array" ref="F226">IFERROR(INDEX(Kintoneデータ抽出!D:D, _xlfn.AGGREGATE(15, 6, ROW(Kintoneデータ抽出!$K$2:$K$5000) / ((Kintoneデータ抽出!$K$2:$K$5000="院内")), ROW(A189))), "")</f>
        <v/>
      </c>
      <c r="G226" s="43" t="str">
        <f t="array" ref="G226">IFERROR(INDEX(Kintoneデータ抽出!C:C, _xlfn.AGGREGATE(15, 6, ROW(Kintoneデータ抽出!$K$2:$K$5000) / ((Kintoneデータ抽出!$K$2:$K$5000="院内")), ROW(A189))), "")</f>
        <v/>
      </c>
      <c r="H226" s="41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2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3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1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1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1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7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4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6.6" customHeight="1" x14ac:dyDescent="0.45">
      <c r="B227" s="142"/>
      <c r="C227" s="143"/>
      <c r="D227" s="67" t="str">
        <f t="shared" si="3"/>
        <v/>
      </c>
      <c r="E227" s="41" t="str">
        <f t="array" ref="E227">IFERROR(INDEX(Kintoneデータ抽出!A:A, _xlfn.AGGREGATE(15, 6, ROW(Kintoneデータ抽出!$K$2:$K$5000) / ((Kintoneデータ抽出!$K$2:$K$5000="院内")), ROW(A190))), "")</f>
        <v/>
      </c>
      <c r="F227" s="43" t="str">
        <f t="array" ref="F227">IFERROR(INDEX(Kintoneデータ抽出!D:D, _xlfn.AGGREGATE(15, 6, ROW(Kintoneデータ抽出!$K$2:$K$5000) / ((Kintoneデータ抽出!$K$2:$K$5000="院内")), ROW(A190))), "")</f>
        <v/>
      </c>
      <c r="G227" s="43" t="str">
        <f t="array" ref="G227">IFERROR(INDEX(Kintoneデータ抽出!C:C, _xlfn.AGGREGATE(15, 6, ROW(Kintoneデータ抽出!$K$2:$K$5000) / ((Kintoneデータ抽出!$K$2:$K$5000="院内")), ROW(A190))), "")</f>
        <v/>
      </c>
      <c r="H227" s="41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2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3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1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1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1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7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4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6.6" customHeight="1" x14ac:dyDescent="0.45">
      <c r="B228" s="142"/>
      <c r="C228" s="143"/>
      <c r="D228" s="67" t="str">
        <f t="shared" si="3"/>
        <v/>
      </c>
      <c r="E228" s="41" t="str">
        <f t="array" ref="E228">IFERROR(INDEX(Kintoneデータ抽出!A:A, _xlfn.AGGREGATE(15, 6, ROW(Kintoneデータ抽出!$K$2:$K$5000) / ((Kintoneデータ抽出!$K$2:$K$5000="院内")), ROW(A191))), "")</f>
        <v/>
      </c>
      <c r="F228" s="43" t="str">
        <f t="array" ref="F228">IFERROR(INDEX(Kintoneデータ抽出!D:D, _xlfn.AGGREGATE(15, 6, ROW(Kintoneデータ抽出!$K$2:$K$5000) / ((Kintoneデータ抽出!$K$2:$K$5000="院内")), ROW(A191))), "")</f>
        <v/>
      </c>
      <c r="G228" s="43" t="str">
        <f t="array" ref="G228">IFERROR(INDEX(Kintoneデータ抽出!C:C, _xlfn.AGGREGATE(15, 6, ROW(Kintoneデータ抽出!$K$2:$K$5000) / ((Kintoneデータ抽出!$K$2:$K$5000="院内")), ROW(A191))), "")</f>
        <v/>
      </c>
      <c r="H228" s="41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2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3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1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1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1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7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4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6.6" customHeight="1" x14ac:dyDescent="0.45">
      <c r="B229" s="142"/>
      <c r="C229" s="143"/>
      <c r="D229" s="67" t="str">
        <f t="shared" si="3"/>
        <v/>
      </c>
      <c r="E229" s="41" t="str">
        <f t="array" ref="E229">IFERROR(INDEX(Kintoneデータ抽出!A:A, _xlfn.AGGREGATE(15, 6, ROW(Kintoneデータ抽出!$K$2:$K$5000) / ((Kintoneデータ抽出!$K$2:$K$5000="院内")), ROW(A192))), "")</f>
        <v/>
      </c>
      <c r="F229" s="43" t="str">
        <f t="array" ref="F229">IFERROR(INDEX(Kintoneデータ抽出!D:D, _xlfn.AGGREGATE(15, 6, ROW(Kintoneデータ抽出!$K$2:$K$5000) / ((Kintoneデータ抽出!$K$2:$K$5000="院内")), ROW(A192))), "")</f>
        <v/>
      </c>
      <c r="G229" s="43" t="str">
        <f t="array" ref="G229">IFERROR(INDEX(Kintoneデータ抽出!C:C, _xlfn.AGGREGATE(15, 6, ROW(Kintoneデータ抽出!$K$2:$K$5000) / ((Kintoneデータ抽出!$K$2:$K$5000="院内")), ROW(A192))), "")</f>
        <v/>
      </c>
      <c r="H229" s="41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2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3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1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1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1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7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4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6.6" customHeight="1" x14ac:dyDescent="0.45">
      <c r="B230" s="142"/>
      <c r="C230" s="143"/>
      <c r="D230" s="67" t="str">
        <f t="shared" si="3"/>
        <v/>
      </c>
      <c r="E230" s="41" t="str">
        <f t="array" ref="E230">IFERROR(INDEX(Kintoneデータ抽出!A:A, _xlfn.AGGREGATE(15, 6, ROW(Kintoneデータ抽出!$K$2:$K$5000) / ((Kintoneデータ抽出!$K$2:$K$5000="院内")), ROW(A193))), "")</f>
        <v/>
      </c>
      <c r="F230" s="43" t="str">
        <f t="array" ref="F230">IFERROR(INDEX(Kintoneデータ抽出!D:D, _xlfn.AGGREGATE(15, 6, ROW(Kintoneデータ抽出!$K$2:$K$5000) / ((Kintoneデータ抽出!$K$2:$K$5000="院内")), ROW(A193))), "")</f>
        <v/>
      </c>
      <c r="G230" s="43" t="str">
        <f t="array" ref="G230">IFERROR(INDEX(Kintoneデータ抽出!C:C, _xlfn.AGGREGATE(15, 6, ROW(Kintoneデータ抽出!$K$2:$K$5000) / ((Kintoneデータ抽出!$K$2:$K$5000="院内")), ROW(A193))), "")</f>
        <v/>
      </c>
      <c r="H230" s="41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2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3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1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1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1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7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4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6.6" customHeight="1" x14ac:dyDescent="0.45">
      <c r="B231" s="142"/>
      <c r="C231" s="143"/>
      <c r="D231" s="67" t="str">
        <f t="shared" si="3"/>
        <v/>
      </c>
      <c r="E231" s="41" t="str">
        <f t="array" ref="E231">IFERROR(INDEX(Kintoneデータ抽出!A:A, _xlfn.AGGREGATE(15, 6, ROW(Kintoneデータ抽出!$K$2:$K$5000) / ((Kintoneデータ抽出!$K$2:$K$5000="院内")), ROW(A194))), "")</f>
        <v/>
      </c>
      <c r="F231" s="43" t="str">
        <f t="array" ref="F231">IFERROR(INDEX(Kintoneデータ抽出!D:D, _xlfn.AGGREGATE(15, 6, ROW(Kintoneデータ抽出!$K$2:$K$5000) / ((Kintoneデータ抽出!$K$2:$K$5000="院内")), ROW(A194))), "")</f>
        <v/>
      </c>
      <c r="G231" s="43" t="str">
        <f t="array" ref="G231">IFERROR(INDEX(Kintoneデータ抽出!C:C, _xlfn.AGGREGATE(15, 6, ROW(Kintoneデータ抽出!$K$2:$K$5000) / ((Kintoneデータ抽出!$K$2:$K$5000="院内")), ROW(A194))), "")</f>
        <v/>
      </c>
      <c r="H231" s="41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2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3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1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1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1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7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4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6.6" customHeight="1" x14ac:dyDescent="0.45">
      <c r="B232" s="142"/>
      <c r="C232" s="143"/>
      <c r="D232" s="67" t="str">
        <f t="shared" si="3"/>
        <v/>
      </c>
      <c r="E232" s="41" t="str">
        <f t="array" ref="E232">IFERROR(INDEX(Kintoneデータ抽出!A:A, _xlfn.AGGREGATE(15, 6, ROW(Kintoneデータ抽出!$K$2:$K$5000) / ((Kintoneデータ抽出!$K$2:$K$5000="院内")), ROW(A195))), "")</f>
        <v/>
      </c>
      <c r="F232" s="43" t="str">
        <f t="array" ref="F232">IFERROR(INDEX(Kintoneデータ抽出!D:D, _xlfn.AGGREGATE(15, 6, ROW(Kintoneデータ抽出!$K$2:$K$5000) / ((Kintoneデータ抽出!$K$2:$K$5000="院内")), ROW(A195))), "")</f>
        <v/>
      </c>
      <c r="G232" s="43" t="str">
        <f t="array" ref="G232">IFERROR(INDEX(Kintoneデータ抽出!C:C, _xlfn.AGGREGATE(15, 6, ROW(Kintoneデータ抽出!$K$2:$K$5000) / ((Kintoneデータ抽出!$K$2:$K$5000="院内")), ROW(A195))), "")</f>
        <v/>
      </c>
      <c r="H232" s="41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2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3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1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1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1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7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4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6.6" customHeight="1" x14ac:dyDescent="0.45">
      <c r="B233" s="142"/>
      <c r="C233" s="143"/>
      <c r="D233" s="67" t="str">
        <f t="shared" si="3"/>
        <v/>
      </c>
      <c r="E233" s="41" t="str">
        <f t="array" ref="E233">IFERROR(INDEX(Kintoneデータ抽出!A:A, _xlfn.AGGREGATE(15, 6, ROW(Kintoneデータ抽出!$K$2:$K$5000) / ((Kintoneデータ抽出!$K$2:$K$5000="院内")), ROW(A196))), "")</f>
        <v/>
      </c>
      <c r="F233" s="43" t="str">
        <f t="array" ref="F233">IFERROR(INDEX(Kintoneデータ抽出!D:D, _xlfn.AGGREGATE(15, 6, ROW(Kintoneデータ抽出!$K$2:$K$5000) / ((Kintoneデータ抽出!$K$2:$K$5000="院内")), ROW(A196))), "")</f>
        <v/>
      </c>
      <c r="G233" s="43" t="str">
        <f t="array" ref="G233">IFERROR(INDEX(Kintoneデータ抽出!C:C, _xlfn.AGGREGATE(15, 6, ROW(Kintoneデータ抽出!$K$2:$K$5000) / ((Kintoneデータ抽出!$K$2:$K$5000="院内")), ROW(A196))), "")</f>
        <v/>
      </c>
      <c r="H233" s="41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2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3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1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1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1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7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4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6.6" customHeight="1" x14ac:dyDescent="0.45">
      <c r="B234" s="142"/>
      <c r="C234" s="143"/>
      <c r="D234" s="67" t="str">
        <f t="shared" ref="D234:D297" si="4">IF(G234&lt;&gt;"",D233+1,D233)</f>
        <v/>
      </c>
      <c r="E234" s="41" t="str">
        <f t="array" ref="E234">IFERROR(INDEX(Kintoneデータ抽出!A:A, _xlfn.AGGREGATE(15, 6, ROW(Kintoneデータ抽出!$K$2:$K$5000) / ((Kintoneデータ抽出!$K$2:$K$5000="院内")), ROW(A197))), "")</f>
        <v/>
      </c>
      <c r="F234" s="43" t="str">
        <f t="array" ref="F234">IFERROR(INDEX(Kintoneデータ抽出!D:D, _xlfn.AGGREGATE(15, 6, ROW(Kintoneデータ抽出!$K$2:$K$5000) / ((Kintoneデータ抽出!$K$2:$K$5000="院内")), ROW(A197))), "")</f>
        <v/>
      </c>
      <c r="G234" s="43" t="str">
        <f t="array" ref="G234">IFERROR(INDEX(Kintoneデータ抽出!C:C, _xlfn.AGGREGATE(15, 6, ROW(Kintoneデータ抽出!$K$2:$K$5000) / ((Kintoneデータ抽出!$K$2:$K$5000="院内")), ROW(A197))), "")</f>
        <v/>
      </c>
      <c r="H234" s="41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2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3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1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1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1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7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4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6.6" customHeight="1" x14ac:dyDescent="0.45">
      <c r="B235" s="142"/>
      <c r="C235" s="143"/>
      <c r="D235" s="67" t="str">
        <f t="shared" si="4"/>
        <v/>
      </c>
      <c r="E235" s="41" t="str">
        <f t="array" ref="E235">IFERROR(INDEX(Kintoneデータ抽出!A:A, _xlfn.AGGREGATE(15, 6, ROW(Kintoneデータ抽出!$K$2:$K$5000) / ((Kintoneデータ抽出!$K$2:$K$5000="院内")), ROW(A198))), "")</f>
        <v/>
      </c>
      <c r="F235" s="43" t="str">
        <f t="array" ref="F235">IFERROR(INDEX(Kintoneデータ抽出!D:D, _xlfn.AGGREGATE(15, 6, ROW(Kintoneデータ抽出!$K$2:$K$5000) / ((Kintoneデータ抽出!$K$2:$K$5000="院内")), ROW(A198))), "")</f>
        <v/>
      </c>
      <c r="G235" s="43" t="str">
        <f t="array" ref="G235">IFERROR(INDEX(Kintoneデータ抽出!C:C, _xlfn.AGGREGATE(15, 6, ROW(Kintoneデータ抽出!$K$2:$K$5000) / ((Kintoneデータ抽出!$K$2:$K$5000="院内")), ROW(A198))), "")</f>
        <v/>
      </c>
      <c r="H235" s="41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2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3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1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1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1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7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4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6.6" customHeight="1" x14ac:dyDescent="0.45">
      <c r="B236" s="142"/>
      <c r="C236" s="143"/>
      <c r="D236" s="67" t="str">
        <f t="shared" si="4"/>
        <v/>
      </c>
      <c r="E236" s="41" t="str">
        <f t="array" ref="E236">IFERROR(INDEX(Kintoneデータ抽出!A:A, _xlfn.AGGREGATE(15, 6, ROW(Kintoneデータ抽出!$K$2:$K$5000) / ((Kintoneデータ抽出!$K$2:$K$5000="院内")), ROW(A199))), "")</f>
        <v/>
      </c>
      <c r="F236" s="43" t="str">
        <f t="array" ref="F236">IFERROR(INDEX(Kintoneデータ抽出!D:D, _xlfn.AGGREGATE(15, 6, ROW(Kintoneデータ抽出!$K$2:$K$5000) / ((Kintoneデータ抽出!$K$2:$K$5000="院内")), ROW(A199))), "")</f>
        <v/>
      </c>
      <c r="G236" s="43" t="str">
        <f t="array" ref="G236">IFERROR(INDEX(Kintoneデータ抽出!C:C, _xlfn.AGGREGATE(15, 6, ROW(Kintoneデータ抽出!$K$2:$K$5000) / ((Kintoneデータ抽出!$K$2:$K$5000="院内")), ROW(A199))), "")</f>
        <v/>
      </c>
      <c r="H236" s="41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2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3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1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1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1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7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4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6.6" customHeight="1" x14ac:dyDescent="0.45">
      <c r="B237" s="142"/>
      <c r="C237" s="143"/>
      <c r="D237" s="67" t="str">
        <f t="shared" si="4"/>
        <v/>
      </c>
      <c r="E237" s="41" t="str">
        <f t="array" ref="E237">IFERROR(INDEX(Kintoneデータ抽出!A:A, _xlfn.AGGREGATE(15, 6, ROW(Kintoneデータ抽出!$K$2:$K$5000) / ((Kintoneデータ抽出!$K$2:$K$5000="院内")), ROW(A200))), "")</f>
        <v/>
      </c>
      <c r="F237" s="43" t="str">
        <f t="array" ref="F237">IFERROR(INDEX(Kintoneデータ抽出!D:D, _xlfn.AGGREGATE(15, 6, ROW(Kintoneデータ抽出!$K$2:$K$5000) / ((Kintoneデータ抽出!$K$2:$K$5000="院内")), ROW(A200))), "")</f>
        <v/>
      </c>
      <c r="G237" s="43" t="str">
        <f t="array" ref="G237">IFERROR(INDEX(Kintoneデータ抽出!C:C, _xlfn.AGGREGATE(15, 6, ROW(Kintoneデータ抽出!$K$2:$K$5000) / ((Kintoneデータ抽出!$K$2:$K$5000="院内")), ROW(A200))), "")</f>
        <v/>
      </c>
      <c r="H237" s="41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2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3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1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1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1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7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4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6.6" customHeight="1" x14ac:dyDescent="0.45">
      <c r="B238" s="142"/>
      <c r="C238" s="143"/>
      <c r="D238" s="67" t="str">
        <f t="shared" si="4"/>
        <v/>
      </c>
      <c r="E238" s="41" t="str">
        <f t="array" ref="E238">IFERROR(INDEX(Kintoneデータ抽出!A:A, _xlfn.AGGREGATE(15, 6, ROW(Kintoneデータ抽出!$K$2:$K$5000) / ((Kintoneデータ抽出!$K$2:$K$5000="院内")), ROW(A201))), "")</f>
        <v/>
      </c>
      <c r="F238" s="43" t="str">
        <f t="array" ref="F238">IFERROR(INDEX(Kintoneデータ抽出!D:D, _xlfn.AGGREGATE(15, 6, ROW(Kintoneデータ抽出!$K$2:$K$5000) / ((Kintoneデータ抽出!$K$2:$K$5000="院内")), ROW(A201))), "")</f>
        <v/>
      </c>
      <c r="G238" s="43" t="str">
        <f t="array" ref="G238">IFERROR(INDEX(Kintoneデータ抽出!C:C, _xlfn.AGGREGATE(15, 6, ROW(Kintoneデータ抽出!$K$2:$K$5000) / ((Kintoneデータ抽出!$K$2:$K$5000="院内")), ROW(A201))), "")</f>
        <v/>
      </c>
      <c r="H238" s="41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2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3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1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1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1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7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4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6.6" customHeight="1" x14ac:dyDescent="0.45">
      <c r="B239" s="142"/>
      <c r="C239" s="143"/>
      <c r="D239" s="67" t="str">
        <f t="shared" si="4"/>
        <v/>
      </c>
      <c r="E239" s="41" t="str">
        <f t="array" ref="E239">IFERROR(INDEX(Kintoneデータ抽出!A:A, _xlfn.AGGREGATE(15, 6, ROW(Kintoneデータ抽出!$K$2:$K$5000) / ((Kintoneデータ抽出!$K$2:$K$5000="院内")), ROW(A202))), "")</f>
        <v/>
      </c>
      <c r="F239" s="43" t="str">
        <f t="array" ref="F239">IFERROR(INDEX(Kintoneデータ抽出!D:D, _xlfn.AGGREGATE(15, 6, ROW(Kintoneデータ抽出!$K$2:$K$5000) / ((Kintoneデータ抽出!$K$2:$K$5000="院内")), ROW(A202))), "")</f>
        <v/>
      </c>
      <c r="G239" s="43" t="str">
        <f t="array" ref="G239">IFERROR(INDEX(Kintoneデータ抽出!C:C, _xlfn.AGGREGATE(15, 6, ROW(Kintoneデータ抽出!$K$2:$K$5000) / ((Kintoneデータ抽出!$K$2:$K$5000="院内")), ROW(A202))), "")</f>
        <v/>
      </c>
      <c r="H239" s="41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2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3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1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1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1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7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4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6.6" customHeight="1" x14ac:dyDescent="0.45">
      <c r="B240" s="142"/>
      <c r="C240" s="143"/>
      <c r="D240" s="67" t="str">
        <f t="shared" si="4"/>
        <v/>
      </c>
      <c r="E240" s="41" t="str">
        <f t="array" ref="E240">IFERROR(INDEX(Kintoneデータ抽出!A:A, _xlfn.AGGREGATE(15, 6, ROW(Kintoneデータ抽出!$K$2:$K$5000) / ((Kintoneデータ抽出!$K$2:$K$5000="院内")), ROW(A203))), "")</f>
        <v/>
      </c>
      <c r="F240" s="43" t="str">
        <f t="array" ref="F240">IFERROR(INDEX(Kintoneデータ抽出!D:D, _xlfn.AGGREGATE(15, 6, ROW(Kintoneデータ抽出!$K$2:$K$5000) / ((Kintoneデータ抽出!$K$2:$K$5000="院内")), ROW(A203))), "")</f>
        <v/>
      </c>
      <c r="G240" s="43" t="str">
        <f t="array" ref="G240">IFERROR(INDEX(Kintoneデータ抽出!C:C, _xlfn.AGGREGATE(15, 6, ROW(Kintoneデータ抽出!$K$2:$K$5000) / ((Kintoneデータ抽出!$K$2:$K$5000="院内")), ROW(A203))), "")</f>
        <v/>
      </c>
      <c r="H240" s="41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2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3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1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1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1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7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4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6.6" customHeight="1" x14ac:dyDescent="0.45">
      <c r="B241" s="142"/>
      <c r="C241" s="143"/>
      <c r="D241" s="67" t="str">
        <f t="shared" si="4"/>
        <v/>
      </c>
      <c r="E241" s="41" t="str">
        <f t="array" ref="E241">IFERROR(INDEX(Kintoneデータ抽出!A:A, _xlfn.AGGREGATE(15, 6, ROW(Kintoneデータ抽出!$K$2:$K$5000) / ((Kintoneデータ抽出!$K$2:$K$5000="院内")), ROW(A204))), "")</f>
        <v/>
      </c>
      <c r="F241" s="43" t="str">
        <f t="array" ref="F241">IFERROR(INDEX(Kintoneデータ抽出!D:D, _xlfn.AGGREGATE(15, 6, ROW(Kintoneデータ抽出!$K$2:$K$5000) / ((Kintoneデータ抽出!$K$2:$K$5000="院内")), ROW(A204))), "")</f>
        <v/>
      </c>
      <c r="G241" s="43" t="str">
        <f t="array" ref="G241">IFERROR(INDEX(Kintoneデータ抽出!C:C, _xlfn.AGGREGATE(15, 6, ROW(Kintoneデータ抽出!$K$2:$K$5000) / ((Kintoneデータ抽出!$K$2:$K$5000="院内")), ROW(A204))), "")</f>
        <v/>
      </c>
      <c r="H241" s="41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2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3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1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1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1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7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4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6.6" customHeight="1" x14ac:dyDescent="0.45">
      <c r="B242" s="142"/>
      <c r="C242" s="143"/>
      <c r="D242" s="67" t="str">
        <f t="shared" si="4"/>
        <v/>
      </c>
      <c r="E242" s="41" t="str">
        <f t="array" ref="E242">IFERROR(INDEX(Kintoneデータ抽出!A:A, _xlfn.AGGREGATE(15, 6, ROW(Kintoneデータ抽出!$K$2:$K$5000) / ((Kintoneデータ抽出!$K$2:$K$5000="院内")), ROW(A205))), "")</f>
        <v/>
      </c>
      <c r="F242" s="43" t="str">
        <f t="array" ref="F242">IFERROR(INDEX(Kintoneデータ抽出!D:D, _xlfn.AGGREGATE(15, 6, ROW(Kintoneデータ抽出!$K$2:$K$5000) / ((Kintoneデータ抽出!$K$2:$K$5000="院内")), ROW(A205))), "")</f>
        <v/>
      </c>
      <c r="G242" s="43" t="str">
        <f t="array" ref="G242">IFERROR(INDEX(Kintoneデータ抽出!C:C, _xlfn.AGGREGATE(15, 6, ROW(Kintoneデータ抽出!$K$2:$K$5000) / ((Kintoneデータ抽出!$K$2:$K$5000="院内")), ROW(A205))), "")</f>
        <v/>
      </c>
      <c r="H242" s="41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2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3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1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1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1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7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4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6.6" customHeight="1" x14ac:dyDescent="0.45">
      <c r="B243" s="142"/>
      <c r="C243" s="143"/>
      <c r="D243" s="67" t="str">
        <f t="shared" si="4"/>
        <v/>
      </c>
      <c r="E243" s="41" t="str">
        <f t="array" ref="E243">IFERROR(INDEX(Kintoneデータ抽出!A:A, _xlfn.AGGREGATE(15, 6, ROW(Kintoneデータ抽出!$K$2:$K$5000) / ((Kintoneデータ抽出!$K$2:$K$5000="院内")), ROW(A206))), "")</f>
        <v/>
      </c>
      <c r="F243" s="43" t="str">
        <f t="array" ref="F243">IFERROR(INDEX(Kintoneデータ抽出!D:D, _xlfn.AGGREGATE(15, 6, ROW(Kintoneデータ抽出!$K$2:$K$5000) / ((Kintoneデータ抽出!$K$2:$K$5000="院内")), ROW(A206))), "")</f>
        <v/>
      </c>
      <c r="G243" s="43" t="str">
        <f t="array" ref="G243">IFERROR(INDEX(Kintoneデータ抽出!C:C, _xlfn.AGGREGATE(15, 6, ROW(Kintoneデータ抽出!$K$2:$K$5000) / ((Kintoneデータ抽出!$K$2:$K$5000="院内")), ROW(A206))), "")</f>
        <v/>
      </c>
      <c r="H243" s="41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2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3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1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1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1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7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4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6.6" customHeight="1" x14ac:dyDescent="0.45">
      <c r="B244" s="142"/>
      <c r="C244" s="143"/>
      <c r="D244" s="67" t="str">
        <f t="shared" si="4"/>
        <v/>
      </c>
      <c r="E244" s="41" t="str">
        <f t="array" ref="E244">IFERROR(INDEX(Kintoneデータ抽出!A:A, _xlfn.AGGREGATE(15, 6, ROW(Kintoneデータ抽出!$K$2:$K$5000) / ((Kintoneデータ抽出!$K$2:$K$5000="院内")), ROW(A207))), "")</f>
        <v/>
      </c>
      <c r="F244" s="43" t="str">
        <f t="array" ref="F244">IFERROR(INDEX(Kintoneデータ抽出!D:D, _xlfn.AGGREGATE(15, 6, ROW(Kintoneデータ抽出!$K$2:$K$5000) / ((Kintoneデータ抽出!$K$2:$K$5000="院内")), ROW(A207))), "")</f>
        <v/>
      </c>
      <c r="G244" s="43" t="str">
        <f t="array" ref="G244">IFERROR(INDEX(Kintoneデータ抽出!C:C, _xlfn.AGGREGATE(15, 6, ROW(Kintoneデータ抽出!$K$2:$K$5000) / ((Kintoneデータ抽出!$K$2:$K$5000="院内")), ROW(A207))), "")</f>
        <v/>
      </c>
      <c r="H244" s="41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2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3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1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1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1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7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4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6.6" customHeight="1" x14ac:dyDescent="0.45">
      <c r="B245" s="142"/>
      <c r="C245" s="143"/>
      <c r="D245" s="67" t="str">
        <f t="shared" si="4"/>
        <v/>
      </c>
      <c r="E245" s="41" t="str">
        <f t="array" ref="E245">IFERROR(INDEX(Kintoneデータ抽出!A:A, _xlfn.AGGREGATE(15, 6, ROW(Kintoneデータ抽出!$K$2:$K$5000) / ((Kintoneデータ抽出!$K$2:$K$5000="院内")), ROW(A208))), "")</f>
        <v/>
      </c>
      <c r="F245" s="43" t="str">
        <f t="array" ref="F245">IFERROR(INDEX(Kintoneデータ抽出!D:D, _xlfn.AGGREGATE(15, 6, ROW(Kintoneデータ抽出!$K$2:$K$5000) / ((Kintoneデータ抽出!$K$2:$K$5000="院内")), ROW(A208))), "")</f>
        <v/>
      </c>
      <c r="G245" s="43" t="str">
        <f t="array" ref="G245">IFERROR(INDEX(Kintoneデータ抽出!C:C, _xlfn.AGGREGATE(15, 6, ROW(Kintoneデータ抽出!$K$2:$K$5000) / ((Kintoneデータ抽出!$K$2:$K$5000="院内")), ROW(A208))), "")</f>
        <v/>
      </c>
      <c r="H245" s="41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2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3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1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1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1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7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4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6.6" customHeight="1" x14ac:dyDescent="0.45">
      <c r="B246" s="142"/>
      <c r="C246" s="143"/>
      <c r="D246" s="67" t="str">
        <f t="shared" si="4"/>
        <v/>
      </c>
      <c r="E246" s="41" t="str">
        <f t="array" ref="E246">IFERROR(INDEX(Kintoneデータ抽出!A:A, _xlfn.AGGREGATE(15, 6, ROW(Kintoneデータ抽出!$K$2:$K$5000) / ((Kintoneデータ抽出!$K$2:$K$5000="院内")), ROW(A209))), "")</f>
        <v/>
      </c>
      <c r="F246" s="43" t="str">
        <f t="array" ref="F246">IFERROR(INDEX(Kintoneデータ抽出!D:D, _xlfn.AGGREGATE(15, 6, ROW(Kintoneデータ抽出!$K$2:$K$5000) / ((Kintoneデータ抽出!$K$2:$K$5000="院内")), ROW(A209))), "")</f>
        <v/>
      </c>
      <c r="G246" s="43" t="str">
        <f t="array" ref="G246">IFERROR(INDEX(Kintoneデータ抽出!C:C, _xlfn.AGGREGATE(15, 6, ROW(Kintoneデータ抽出!$K$2:$K$5000) / ((Kintoneデータ抽出!$K$2:$K$5000="院内")), ROW(A209))), "")</f>
        <v/>
      </c>
      <c r="H246" s="41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2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3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1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1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1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7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4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6.6" customHeight="1" x14ac:dyDescent="0.45">
      <c r="B247" s="142"/>
      <c r="C247" s="143"/>
      <c r="D247" s="67" t="str">
        <f t="shared" si="4"/>
        <v/>
      </c>
      <c r="E247" s="41" t="str">
        <f t="array" ref="E247">IFERROR(INDEX(Kintoneデータ抽出!A:A, _xlfn.AGGREGATE(15, 6, ROW(Kintoneデータ抽出!$K$2:$K$5000) / ((Kintoneデータ抽出!$K$2:$K$5000="院内")), ROW(A210))), "")</f>
        <v/>
      </c>
      <c r="F247" s="43" t="str">
        <f t="array" ref="F247">IFERROR(INDEX(Kintoneデータ抽出!D:D, _xlfn.AGGREGATE(15, 6, ROW(Kintoneデータ抽出!$K$2:$K$5000) / ((Kintoneデータ抽出!$K$2:$K$5000="院内")), ROW(A210))), "")</f>
        <v/>
      </c>
      <c r="G247" s="43" t="str">
        <f t="array" ref="G247">IFERROR(INDEX(Kintoneデータ抽出!C:C, _xlfn.AGGREGATE(15, 6, ROW(Kintoneデータ抽出!$K$2:$K$5000) / ((Kintoneデータ抽出!$K$2:$K$5000="院内")), ROW(A210))), "")</f>
        <v/>
      </c>
      <c r="H247" s="41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2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3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1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1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1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7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4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6.6" customHeight="1" x14ac:dyDescent="0.45">
      <c r="B248" s="142"/>
      <c r="C248" s="143"/>
      <c r="D248" s="67" t="str">
        <f t="shared" si="4"/>
        <v/>
      </c>
      <c r="E248" s="41" t="str">
        <f t="array" ref="E248">IFERROR(INDEX(Kintoneデータ抽出!A:A, _xlfn.AGGREGATE(15, 6, ROW(Kintoneデータ抽出!$K$2:$K$5000) / ((Kintoneデータ抽出!$K$2:$K$5000="院内")), ROW(A211))), "")</f>
        <v/>
      </c>
      <c r="F248" s="43" t="str">
        <f t="array" ref="F248">IFERROR(INDEX(Kintoneデータ抽出!D:D, _xlfn.AGGREGATE(15, 6, ROW(Kintoneデータ抽出!$K$2:$K$5000) / ((Kintoneデータ抽出!$K$2:$K$5000="院内")), ROW(A211))), "")</f>
        <v/>
      </c>
      <c r="G248" s="43" t="str">
        <f t="array" ref="G248">IFERROR(INDEX(Kintoneデータ抽出!C:C, _xlfn.AGGREGATE(15, 6, ROW(Kintoneデータ抽出!$K$2:$K$5000) / ((Kintoneデータ抽出!$K$2:$K$5000="院内")), ROW(A211))), "")</f>
        <v/>
      </c>
      <c r="H248" s="41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2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3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1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1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1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7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4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6.6" customHeight="1" x14ac:dyDescent="0.45">
      <c r="B249" s="142"/>
      <c r="C249" s="143"/>
      <c r="D249" s="67" t="str">
        <f t="shared" si="4"/>
        <v/>
      </c>
      <c r="E249" s="41" t="str">
        <f t="array" ref="E249">IFERROR(INDEX(Kintoneデータ抽出!A:A, _xlfn.AGGREGATE(15, 6, ROW(Kintoneデータ抽出!$K$2:$K$5000) / ((Kintoneデータ抽出!$K$2:$K$5000="院内")), ROW(A212))), "")</f>
        <v/>
      </c>
      <c r="F249" s="43" t="str">
        <f t="array" ref="F249">IFERROR(INDEX(Kintoneデータ抽出!D:D, _xlfn.AGGREGATE(15, 6, ROW(Kintoneデータ抽出!$K$2:$K$5000) / ((Kintoneデータ抽出!$K$2:$K$5000="院内")), ROW(A212))), "")</f>
        <v/>
      </c>
      <c r="G249" s="43" t="str">
        <f t="array" ref="G249">IFERROR(INDEX(Kintoneデータ抽出!C:C, _xlfn.AGGREGATE(15, 6, ROW(Kintoneデータ抽出!$K$2:$K$5000) / ((Kintoneデータ抽出!$K$2:$K$5000="院内")), ROW(A212))), "")</f>
        <v/>
      </c>
      <c r="H249" s="41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2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3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1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1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1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7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4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6.6" customHeight="1" x14ac:dyDescent="0.45">
      <c r="B250" s="142"/>
      <c r="C250" s="143"/>
      <c r="D250" s="67" t="str">
        <f t="shared" si="4"/>
        <v/>
      </c>
      <c r="E250" s="41" t="str">
        <f t="array" ref="E250">IFERROR(INDEX(Kintoneデータ抽出!A:A, _xlfn.AGGREGATE(15, 6, ROW(Kintoneデータ抽出!$K$2:$K$5000) / ((Kintoneデータ抽出!$K$2:$K$5000="院内")), ROW(A213))), "")</f>
        <v/>
      </c>
      <c r="F250" s="43" t="str">
        <f t="array" ref="F250">IFERROR(INDEX(Kintoneデータ抽出!D:D, _xlfn.AGGREGATE(15, 6, ROW(Kintoneデータ抽出!$K$2:$K$5000) / ((Kintoneデータ抽出!$K$2:$K$5000="院内")), ROW(A213))), "")</f>
        <v/>
      </c>
      <c r="G250" s="43" t="str">
        <f t="array" ref="G250">IFERROR(INDEX(Kintoneデータ抽出!C:C, _xlfn.AGGREGATE(15, 6, ROW(Kintoneデータ抽出!$K$2:$K$5000) / ((Kintoneデータ抽出!$K$2:$K$5000="院内")), ROW(A213))), "")</f>
        <v/>
      </c>
      <c r="H250" s="41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2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3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1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1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1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7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4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6.6" customHeight="1" x14ac:dyDescent="0.45">
      <c r="B251" s="142"/>
      <c r="C251" s="143"/>
      <c r="D251" s="67" t="str">
        <f t="shared" si="4"/>
        <v/>
      </c>
      <c r="E251" s="41" t="str">
        <f t="array" ref="E251">IFERROR(INDEX(Kintoneデータ抽出!A:A, _xlfn.AGGREGATE(15, 6, ROW(Kintoneデータ抽出!$K$2:$K$5000) / ((Kintoneデータ抽出!$K$2:$K$5000="院内")), ROW(A214))), "")</f>
        <v/>
      </c>
      <c r="F251" s="43" t="str">
        <f t="array" ref="F251">IFERROR(INDEX(Kintoneデータ抽出!D:D, _xlfn.AGGREGATE(15, 6, ROW(Kintoneデータ抽出!$K$2:$K$5000) / ((Kintoneデータ抽出!$K$2:$K$5000="院内")), ROW(A214))), "")</f>
        <v/>
      </c>
      <c r="G251" s="43" t="str">
        <f t="array" ref="G251">IFERROR(INDEX(Kintoneデータ抽出!C:C, _xlfn.AGGREGATE(15, 6, ROW(Kintoneデータ抽出!$K$2:$K$5000) / ((Kintoneデータ抽出!$K$2:$K$5000="院内")), ROW(A214))), "")</f>
        <v/>
      </c>
      <c r="H251" s="41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2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3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1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1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1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7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4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6.6" customHeight="1" x14ac:dyDescent="0.45">
      <c r="B252" s="142"/>
      <c r="C252" s="143"/>
      <c r="D252" s="67" t="str">
        <f t="shared" si="4"/>
        <v/>
      </c>
      <c r="E252" s="41" t="str">
        <f t="array" ref="E252">IFERROR(INDEX(Kintoneデータ抽出!A:A, _xlfn.AGGREGATE(15, 6, ROW(Kintoneデータ抽出!$K$2:$K$5000) / ((Kintoneデータ抽出!$K$2:$K$5000="院内")), ROW(A215))), "")</f>
        <v/>
      </c>
      <c r="F252" s="43" t="str">
        <f t="array" ref="F252">IFERROR(INDEX(Kintoneデータ抽出!D:D, _xlfn.AGGREGATE(15, 6, ROW(Kintoneデータ抽出!$K$2:$K$5000) / ((Kintoneデータ抽出!$K$2:$K$5000="院内")), ROW(A215))), "")</f>
        <v/>
      </c>
      <c r="G252" s="43" t="str">
        <f t="array" ref="G252">IFERROR(INDEX(Kintoneデータ抽出!C:C, _xlfn.AGGREGATE(15, 6, ROW(Kintoneデータ抽出!$K$2:$K$5000) / ((Kintoneデータ抽出!$K$2:$K$5000="院内")), ROW(A215))), "")</f>
        <v/>
      </c>
      <c r="H252" s="41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2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3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1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1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1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7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4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6.6" customHeight="1" x14ac:dyDescent="0.45">
      <c r="B253" s="142"/>
      <c r="C253" s="143"/>
      <c r="D253" s="67" t="str">
        <f t="shared" si="4"/>
        <v/>
      </c>
      <c r="E253" s="41" t="str">
        <f t="array" ref="E253">IFERROR(INDEX(Kintoneデータ抽出!A:A, _xlfn.AGGREGATE(15, 6, ROW(Kintoneデータ抽出!$K$2:$K$5000) / ((Kintoneデータ抽出!$K$2:$K$5000="院内")), ROW(A216))), "")</f>
        <v/>
      </c>
      <c r="F253" s="43" t="str">
        <f t="array" ref="F253">IFERROR(INDEX(Kintoneデータ抽出!D:D, _xlfn.AGGREGATE(15, 6, ROW(Kintoneデータ抽出!$K$2:$K$5000) / ((Kintoneデータ抽出!$K$2:$K$5000="院内")), ROW(A216))), "")</f>
        <v/>
      </c>
      <c r="G253" s="43" t="str">
        <f t="array" ref="G253">IFERROR(INDEX(Kintoneデータ抽出!C:C, _xlfn.AGGREGATE(15, 6, ROW(Kintoneデータ抽出!$K$2:$K$5000) / ((Kintoneデータ抽出!$K$2:$K$5000="院内")), ROW(A216))), "")</f>
        <v/>
      </c>
      <c r="H253" s="41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2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3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1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1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1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7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4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6.6" customHeight="1" x14ac:dyDescent="0.45">
      <c r="B254" s="142"/>
      <c r="C254" s="143"/>
      <c r="D254" s="67" t="str">
        <f t="shared" si="4"/>
        <v/>
      </c>
      <c r="E254" s="41" t="str">
        <f t="array" ref="E254">IFERROR(INDEX(Kintoneデータ抽出!A:A, _xlfn.AGGREGATE(15, 6, ROW(Kintoneデータ抽出!$K$2:$K$5000) / ((Kintoneデータ抽出!$K$2:$K$5000="院内")), ROW(A217))), "")</f>
        <v/>
      </c>
      <c r="F254" s="43" t="str">
        <f t="array" ref="F254">IFERROR(INDEX(Kintoneデータ抽出!D:D, _xlfn.AGGREGATE(15, 6, ROW(Kintoneデータ抽出!$K$2:$K$5000) / ((Kintoneデータ抽出!$K$2:$K$5000="院内")), ROW(A217))), "")</f>
        <v/>
      </c>
      <c r="G254" s="43" t="str">
        <f t="array" ref="G254">IFERROR(INDEX(Kintoneデータ抽出!C:C, _xlfn.AGGREGATE(15, 6, ROW(Kintoneデータ抽出!$K$2:$K$5000) / ((Kintoneデータ抽出!$K$2:$K$5000="院内")), ROW(A217))), "")</f>
        <v/>
      </c>
      <c r="H254" s="41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2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3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1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1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1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7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4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6.6" customHeight="1" x14ac:dyDescent="0.45">
      <c r="B255" s="142" t="s">
        <v>58</v>
      </c>
      <c r="C255" s="143"/>
      <c r="D255" s="67" t="str">
        <f t="shared" si="4"/>
        <v/>
      </c>
      <c r="E255" s="41" t="str">
        <f t="array" ref="E255">IFERROR(INDEX(Kintoneデータ抽出!A:A, _xlfn.AGGREGATE(15, 6, ROW(Kintoneデータ抽出!$K$2:$K$5000) / ((Kintoneデータ抽出!$K$2:$K$5000="院内")), ROW(A218))), "")</f>
        <v/>
      </c>
      <c r="F255" s="43" t="str">
        <f t="array" ref="F255">IFERROR(INDEX(Kintoneデータ抽出!D:D, _xlfn.AGGREGATE(15, 6, ROW(Kintoneデータ抽出!$K$2:$K$5000) / ((Kintoneデータ抽出!$K$2:$K$5000="院内")), ROW(A218))), "")</f>
        <v/>
      </c>
      <c r="G255" s="43" t="str">
        <f t="array" ref="G255">IFERROR(INDEX(Kintoneデータ抽出!C:C, _xlfn.AGGREGATE(15, 6, ROW(Kintoneデータ抽出!$K$2:$K$5000) / ((Kintoneデータ抽出!$K$2:$K$5000="院内")), ROW(A218))), "")</f>
        <v/>
      </c>
      <c r="H255" s="41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2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3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1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1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1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7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4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6.6" customHeight="1" x14ac:dyDescent="0.45">
      <c r="B256" s="142"/>
      <c r="C256" s="143"/>
      <c r="D256" s="67" t="str">
        <f t="shared" si="4"/>
        <v/>
      </c>
      <c r="E256" s="41" t="str">
        <f t="array" ref="E256">IFERROR(INDEX(Kintoneデータ抽出!A:A, _xlfn.AGGREGATE(15, 6, ROW(Kintoneデータ抽出!$K$2:$K$5000) / ((Kintoneデータ抽出!$K$2:$K$5000="院内")), ROW(A219))), "")</f>
        <v/>
      </c>
      <c r="F256" s="43" t="str">
        <f t="array" ref="F256">IFERROR(INDEX(Kintoneデータ抽出!D:D, _xlfn.AGGREGATE(15, 6, ROW(Kintoneデータ抽出!$K$2:$K$5000) / ((Kintoneデータ抽出!$K$2:$K$5000="院内")), ROW(A219))), "")</f>
        <v/>
      </c>
      <c r="G256" s="43" t="str">
        <f t="array" ref="G256">IFERROR(INDEX(Kintoneデータ抽出!C:C, _xlfn.AGGREGATE(15, 6, ROW(Kintoneデータ抽出!$K$2:$K$5000) / ((Kintoneデータ抽出!$K$2:$K$5000="院内")), ROW(A219))), "")</f>
        <v/>
      </c>
      <c r="H256" s="41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2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3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1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1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1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7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4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6.6" customHeight="1" x14ac:dyDescent="0.45">
      <c r="B257" s="142"/>
      <c r="C257" s="143"/>
      <c r="D257" s="67" t="str">
        <f t="shared" si="4"/>
        <v/>
      </c>
      <c r="E257" s="41" t="str">
        <f t="array" ref="E257">IFERROR(INDEX(Kintoneデータ抽出!A:A, _xlfn.AGGREGATE(15, 6, ROW(Kintoneデータ抽出!$K$2:$K$5000) / ((Kintoneデータ抽出!$K$2:$K$5000="院内")), ROW(A220))), "")</f>
        <v/>
      </c>
      <c r="F257" s="43" t="str">
        <f t="array" ref="F257">IFERROR(INDEX(Kintoneデータ抽出!D:D, _xlfn.AGGREGATE(15, 6, ROW(Kintoneデータ抽出!$K$2:$K$5000) / ((Kintoneデータ抽出!$K$2:$K$5000="院内")), ROW(A220))), "")</f>
        <v/>
      </c>
      <c r="G257" s="43" t="str">
        <f t="array" ref="G257">IFERROR(INDEX(Kintoneデータ抽出!C:C, _xlfn.AGGREGATE(15, 6, ROW(Kintoneデータ抽出!$K$2:$K$5000) / ((Kintoneデータ抽出!$K$2:$K$5000="院内")), ROW(A220))), "")</f>
        <v/>
      </c>
      <c r="H257" s="41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2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3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1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1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1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7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4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6.6" customHeight="1" x14ac:dyDescent="0.45">
      <c r="B258" s="142"/>
      <c r="C258" s="143"/>
      <c r="D258" s="67" t="str">
        <f t="shared" si="4"/>
        <v/>
      </c>
      <c r="E258" s="41" t="str">
        <f t="array" ref="E258">IFERROR(INDEX(Kintoneデータ抽出!A:A, _xlfn.AGGREGATE(15, 6, ROW(Kintoneデータ抽出!$K$2:$K$5000) / ((Kintoneデータ抽出!$K$2:$K$5000="院内")), ROW(A221))), "")</f>
        <v/>
      </c>
      <c r="F258" s="43" t="str">
        <f t="array" ref="F258">IFERROR(INDEX(Kintoneデータ抽出!D:D, _xlfn.AGGREGATE(15, 6, ROW(Kintoneデータ抽出!$K$2:$K$5000) / ((Kintoneデータ抽出!$K$2:$K$5000="院内")), ROW(A221))), "")</f>
        <v/>
      </c>
      <c r="G258" s="43" t="str">
        <f t="array" ref="G258">IFERROR(INDEX(Kintoneデータ抽出!C:C, _xlfn.AGGREGATE(15, 6, ROW(Kintoneデータ抽出!$K$2:$K$5000) / ((Kintoneデータ抽出!$K$2:$K$5000="院内")), ROW(A221))), "")</f>
        <v/>
      </c>
      <c r="H258" s="41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2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3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1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1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1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7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4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6.6" customHeight="1" x14ac:dyDescent="0.45">
      <c r="B259" s="142"/>
      <c r="C259" s="143"/>
      <c r="D259" s="67" t="str">
        <f t="shared" si="4"/>
        <v/>
      </c>
      <c r="E259" s="41" t="str">
        <f t="array" ref="E259">IFERROR(INDEX(Kintoneデータ抽出!A:A, _xlfn.AGGREGATE(15, 6, ROW(Kintoneデータ抽出!$K$2:$K$5000) / ((Kintoneデータ抽出!$K$2:$K$5000="院内")), ROW(A222))), "")</f>
        <v/>
      </c>
      <c r="F259" s="43" t="str">
        <f t="array" ref="F259">IFERROR(INDEX(Kintoneデータ抽出!D:D, _xlfn.AGGREGATE(15, 6, ROW(Kintoneデータ抽出!$K$2:$K$5000) / ((Kintoneデータ抽出!$K$2:$K$5000="院内")), ROW(A222))), "")</f>
        <v/>
      </c>
      <c r="G259" s="43" t="str">
        <f t="array" ref="G259">IFERROR(INDEX(Kintoneデータ抽出!C:C, _xlfn.AGGREGATE(15, 6, ROW(Kintoneデータ抽出!$K$2:$K$5000) / ((Kintoneデータ抽出!$K$2:$K$5000="院内")), ROW(A222))), "")</f>
        <v/>
      </c>
      <c r="H259" s="41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2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3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1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1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1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7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4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6.6" customHeight="1" x14ac:dyDescent="0.45">
      <c r="B260" s="142"/>
      <c r="C260" s="143"/>
      <c r="D260" s="67" t="str">
        <f t="shared" si="4"/>
        <v/>
      </c>
      <c r="E260" s="41" t="str">
        <f t="array" ref="E260">IFERROR(INDEX(Kintoneデータ抽出!A:A, _xlfn.AGGREGATE(15, 6, ROW(Kintoneデータ抽出!$K$2:$K$5000) / ((Kintoneデータ抽出!$K$2:$K$5000="院内")), ROW(A223))), "")</f>
        <v/>
      </c>
      <c r="F260" s="43" t="str">
        <f t="array" ref="F260">IFERROR(INDEX(Kintoneデータ抽出!D:D, _xlfn.AGGREGATE(15, 6, ROW(Kintoneデータ抽出!$K$2:$K$5000) / ((Kintoneデータ抽出!$K$2:$K$5000="院内")), ROW(A223))), "")</f>
        <v/>
      </c>
      <c r="G260" s="43" t="str">
        <f t="array" ref="G260">IFERROR(INDEX(Kintoneデータ抽出!C:C, _xlfn.AGGREGATE(15, 6, ROW(Kintoneデータ抽出!$K$2:$K$5000) / ((Kintoneデータ抽出!$K$2:$K$5000="院内")), ROW(A223))), "")</f>
        <v/>
      </c>
      <c r="H260" s="41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2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3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1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1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1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7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4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6.6" customHeight="1" x14ac:dyDescent="0.45">
      <c r="B261" s="142"/>
      <c r="C261" s="143"/>
      <c r="D261" s="67" t="str">
        <f t="shared" si="4"/>
        <v/>
      </c>
      <c r="E261" s="41" t="str">
        <f t="array" ref="E261">IFERROR(INDEX(Kintoneデータ抽出!A:A, _xlfn.AGGREGATE(15, 6, ROW(Kintoneデータ抽出!$K$2:$K$5000) / ((Kintoneデータ抽出!$K$2:$K$5000="院内")), ROW(A224))), "")</f>
        <v/>
      </c>
      <c r="F261" s="43" t="str">
        <f t="array" ref="F261">IFERROR(INDEX(Kintoneデータ抽出!D:D, _xlfn.AGGREGATE(15, 6, ROW(Kintoneデータ抽出!$K$2:$K$5000) / ((Kintoneデータ抽出!$K$2:$K$5000="院内")), ROW(A224))), "")</f>
        <v/>
      </c>
      <c r="G261" s="43" t="str">
        <f t="array" ref="G261">IFERROR(INDEX(Kintoneデータ抽出!C:C, _xlfn.AGGREGATE(15, 6, ROW(Kintoneデータ抽出!$K$2:$K$5000) / ((Kintoneデータ抽出!$K$2:$K$5000="院内")), ROW(A224))), "")</f>
        <v/>
      </c>
      <c r="H261" s="41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2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3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1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1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1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7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4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6.6" customHeight="1" x14ac:dyDescent="0.45">
      <c r="B262" s="142"/>
      <c r="C262" s="143"/>
      <c r="D262" s="67" t="str">
        <f t="shared" si="4"/>
        <v/>
      </c>
      <c r="E262" s="41" t="str">
        <f t="array" ref="E262">IFERROR(INDEX(Kintoneデータ抽出!A:A, _xlfn.AGGREGATE(15, 6, ROW(Kintoneデータ抽出!$K$2:$K$5000) / ((Kintoneデータ抽出!$K$2:$K$5000="院内")), ROW(A225))), "")</f>
        <v/>
      </c>
      <c r="F262" s="43" t="str">
        <f t="array" ref="F262">IFERROR(INDEX(Kintoneデータ抽出!D:D, _xlfn.AGGREGATE(15, 6, ROW(Kintoneデータ抽出!$K$2:$K$5000) / ((Kintoneデータ抽出!$K$2:$K$5000="院内")), ROW(A225))), "")</f>
        <v/>
      </c>
      <c r="G262" s="43" t="str">
        <f t="array" ref="G262">IFERROR(INDEX(Kintoneデータ抽出!C:C, _xlfn.AGGREGATE(15, 6, ROW(Kintoneデータ抽出!$K$2:$K$5000) / ((Kintoneデータ抽出!$K$2:$K$5000="院内")), ROW(A225))), "")</f>
        <v/>
      </c>
      <c r="H262" s="41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2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3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1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1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1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7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4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6.6" customHeight="1" x14ac:dyDescent="0.45">
      <c r="B263" s="142"/>
      <c r="C263" s="143"/>
      <c r="D263" s="67" t="str">
        <f t="shared" si="4"/>
        <v/>
      </c>
      <c r="E263" s="41" t="str">
        <f t="array" ref="E263">IFERROR(INDEX(Kintoneデータ抽出!A:A, _xlfn.AGGREGATE(15, 6, ROW(Kintoneデータ抽出!$K$2:$K$5000) / ((Kintoneデータ抽出!$K$2:$K$5000="院内")), ROW(A226))), "")</f>
        <v/>
      </c>
      <c r="F263" s="43" t="str">
        <f t="array" ref="F263">IFERROR(INDEX(Kintoneデータ抽出!D:D, _xlfn.AGGREGATE(15, 6, ROW(Kintoneデータ抽出!$K$2:$K$5000) / ((Kintoneデータ抽出!$K$2:$K$5000="院内")), ROW(A226))), "")</f>
        <v/>
      </c>
      <c r="G263" s="43" t="str">
        <f t="array" ref="G263">IFERROR(INDEX(Kintoneデータ抽出!C:C, _xlfn.AGGREGATE(15, 6, ROW(Kintoneデータ抽出!$K$2:$K$5000) / ((Kintoneデータ抽出!$K$2:$K$5000="院内")), ROW(A226))), "")</f>
        <v/>
      </c>
      <c r="H263" s="41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2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3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1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1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1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7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4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6.6" customHeight="1" x14ac:dyDescent="0.45">
      <c r="B264" s="142"/>
      <c r="C264" s="143"/>
      <c r="D264" s="67" t="str">
        <f t="shared" si="4"/>
        <v/>
      </c>
      <c r="E264" s="41" t="str">
        <f t="array" ref="E264">IFERROR(INDEX(Kintoneデータ抽出!A:A, _xlfn.AGGREGATE(15, 6, ROW(Kintoneデータ抽出!$K$2:$K$5000) / ((Kintoneデータ抽出!$K$2:$K$5000="院内")), ROW(A227))), "")</f>
        <v/>
      </c>
      <c r="F264" s="43" t="str">
        <f t="array" ref="F264">IFERROR(INDEX(Kintoneデータ抽出!D:D, _xlfn.AGGREGATE(15, 6, ROW(Kintoneデータ抽出!$K$2:$K$5000) / ((Kintoneデータ抽出!$K$2:$K$5000="院内")), ROW(A227))), "")</f>
        <v/>
      </c>
      <c r="G264" s="43" t="str">
        <f t="array" ref="G264">IFERROR(INDEX(Kintoneデータ抽出!C:C, _xlfn.AGGREGATE(15, 6, ROW(Kintoneデータ抽出!$K$2:$K$5000) / ((Kintoneデータ抽出!$K$2:$K$5000="院内")), ROW(A227))), "")</f>
        <v/>
      </c>
      <c r="H264" s="41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2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3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1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1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1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7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4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6.6" customHeight="1" x14ac:dyDescent="0.45">
      <c r="B265" s="142"/>
      <c r="C265" s="143"/>
      <c r="D265" s="67" t="str">
        <f t="shared" si="4"/>
        <v/>
      </c>
      <c r="E265" s="41" t="str">
        <f t="array" ref="E265">IFERROR(INDEX(Kintoneデータ抽出!A:A, _xlfn.AGGREGATE(15, 6, ROW(Kintoneデータ抽出!$K$2:$K$5000) / ((Kintoneデータ抽出!$K$2:$K$5000="院内")), ROW(A228))), "")</f>
        <v/>
      </c>
      <c r="F265" s="43" t="str">
        <f t="array" ref="F265">IFERROR(INDEX(Kintoneデータ抽出!D:D, _xlfn.AGGREGATE(15, 6, ROW(Kintoneデータ抽出!$K$2:$K$5000) / ((Kintoneデータ抽出!$K$2:$K$5000="院内")), ROW(A228))), "")</f>
        <v/>
      </c>
      <c r="G265" s="43" t="str">
        <f t="array" ref="G265">IFERROR(INDEX(Kintoneデータ抽出!C:C, _xlfn.AGGREGATE(15, 6, ROW(Kintoneデータ抽出!$K$2:$K$5000) / ((Kintoneデータ抽出!$K$2:$K$5000="院内")), ROW(A228))), "")</f>
        <v/>
      </c>
      <c r="H265" s="41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2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3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1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1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1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7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4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6.6" customHeight="1" x14ac:dyDescent="0.45">
      <c r="B266" s="142"/>
      <c r="C266" s="143"/>
      <c r="D266" s="67" t="str">
        <f t="shared" si="4"/>
        <v/>
      </c>
      <c r="E266" s="41" t="str">
        <f t="array" ref="E266">IFERROR(INDEX(Kintoneデータ抽出!A:A, _xlfn.AGGREGATE(15, 6, ROW(Kintoneデータ抽出!$K$2:$K$5000) / ((Kintoneデータ抽出!$K$2:$K$5000="院内")), ROW(A229))), "")</f>
        <v/>
      </c>
      <c r="F266" s="43" t="str">
        <f t="array" ref="F266">IFERROR(INDEX(Kintoneデータ抽出!D:D, _xlfn.AGGREGATE(15, 6, ROW(Kintoneデータ抽出!$K$2:$K$5000) / ((Kintoneデータ抽出!$K$2:$K$5000="院内")), ROW(A229))), "")</f>
        <v/>
      </c>
      <c r="G266" s="43" t="str">
        <f t="array" ref="G266">IFERROR(INDEX(Kintoneデータ抽出!C:C, _xlfn.AGGREGATE(15, 6, ROW(Kintoneデータ抽出!$K$2:$K$5000) / ((Kintoneデータ抽出!$K$2:$K$5000="院内")), ROW(A229))), "")</f>
        <v/>
      </c>
      <c r="H266" s="41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2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3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1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1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1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7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4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6.6" customHeight="1" x14ac:dyDescent="0.45">
      <c r="B267" s="142" t="s">
        <v>59</v>
      </c>
      <c r="C267" s="143"/>
      <c r="D267" s="67" t="str">
        <f t="shared" si="4"/>
        <v/>
      </c>
      <c r="E267" s="41" t="str">
        <f t="array" ref="E267">IFERROR(INDEX(Kintoneデータ抽出!A:A, _xlfn.AGGREGATE(15, 6, ROW(Kintoneデータ抽出!$K$2:$K$5000) / ((Kintoneデータ抽出!$K$2:$K$5000="院内")), ROW(A230))), "")</f>
        <v/>
      </c>
      <c r="F267" s="43" t="str">
        <f t="array" ref="F267">IFERROR(INDEX(Kintoneデータ抽出!D:D, _xlfn.AGGREGATE(15, 6, ROW(Kintoneデータ抽出!$K$2:$K$5000) / ((Kintoneデータ抽出!$K$2:$K$5000="院内")), ROW(A230))), "")</f>
        <v/>
      </c>
      <c r="G267" s="43" t="str">
        <f t="array" ref="G267">IFERROR(INDEX(Kintoneデータ抽出!C:C, _xlfn.AGGREGATE(15, 6, ROW(Kintoneデータ抽出!$K$2:$K$5000) / ((Kintoneデータ抽出!$K$2:$K$5000="院内")), ROW(A230))), "")</f>
        <v/>
      </c>
      <c r="H267" s="41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2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3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1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1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1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7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4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6.6" customHeight="1" x14ac:dyDescent="0.45">
      <c r="B268" s="142"/>
      <c r="C268" s="143"/>
      <c r="D268" s="67" t="str">
        <f t="shared" si="4"/>
        <v/>
      </c>
      <c r="E268" s="41" t="str">
        <f t="array" ref="E268">IFERROR(INDEX(Kintoneデータ抽出!A:A, _xlfn.AGGREGATE(15, 6, ROW(Kintoneデータ抽出!$K$2:$K$5000) / ((Kintoneデータ抽出!$K$2:$K$5000="院内")), ROW(A231))), "")</f>
        <v/>
      </c>
      <c r="F268" s="43" t="str">
        <f t="array" ref="F268">IFERROR(INDEX(Kintoneデータ抽出!D:D, _xlfn.AGGREGATE(15, 6, ROW(Kintoneデータ抽出!$K$2:$K$5000) / ((Kintoneデータ抽出!$K$2:$K$5000="院内")), ROW(A231))), "")</f>
        <v/>
      </c>
      <c r="G268" s="43" t="str">
        <f t="array" ref="G268">IFERROR(INDEX(Kintoneデータ抽出!C:C, _xlfn.AGGREGATE(15, 6, ROW(Kintoneデータ抽出!$K$2:$K$5000) / ((Kintoneデータ抽出!$K$2:$K$5000="院内")), ROW(A231))), "")</f>
        <v/>
      </c>
      <c r="H268" s="41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2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3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1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1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1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7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4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6.6" customHeight="1" x14ac:dyDescent="0.45">
      <c r="B269" s="142"/>
      <c r="C269" s="143"/>
      <c r="D269" s="67" t="str">
        <f t="shared" si="4"/>
        <v/>
      </c>
      <c r="E269" s="41" t="str">
        <f t="array" ref="E269">IFERROR(INDEX(Kintoneデータ抽出!A:A, _xlfn.AGGREGATE(15, 6, ROW(Kintoneデータ抽出!$K$2:$K$5000) / ((Kintoneデータ抽出!$K$2:$K$5000="院内")), ROW(A232))), "")</f>
        <v/>
      </c>
      <c r="F269" s="43" t="str">
        <f t="array" ref="F269">IFERROR(INDEX(Kintoneデータ抽出!D:D, _xlfn.AGGREGATE(15, 6, ROW(Kintoneデータ抽出!$K$2:$K$5000) / ((Kintoneデータ抽出!$K$2:$K$5000="院内")), ROW(A232))), "")</f>
        <v/>
      </c>
      <c r="G269" s="43" t="str">
        <f t="array" ref="G269">IFERROR(INDEX(Kintoneデータ抽出!C:C, _xlfn.AGGREGATE(15, 6, ROW(Kintoneデータ抽出!$K$2:$K$5000) / ((Kintoneデータ抽出!$K$2:$K$5000="院内")), ROW(A232))), "")</f>
        <v/>
      </c>
      <c r="H269" s="41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2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3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1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1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1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7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4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6.6" customHeight="1" x14ac:dyDescent="0.45">
      <c r="B270" s="142"/>
      <c r="C270" s="143"/>
      <c r="D270" s="67" t="str">
        <f t="shared" si="4"/>
        <v/>
      </c>
      <c r="E270" s="41" t="str">
        <f t="array" ref="E270">IFERROR(INDEX(Kintoneデータ抽出!A:A, _xlfn.AGGREGATE(15, 6, ROW(Kintoneデータ抽出!$K$2:$K$5000) / ((Kintoneデータ抽出!$K$2:$K$5000="院内")), ROW(A233))), "")</f>
        <v/>
      </c>
      <c r="F270" s="43" t="str">
        <f t="array" ref="F270">IFERROR(INDEX(Kintoneデータ抽出!D:D, _xlfn.AGGREGATE(15, 6, ROW(Kintoneデータ抽出!$K$2:$K$5000) / ((Kintoneデータ抽出!$K$2:$K$5000="院内")), ROW(A233))), "")</f>
        <v/>
      </c>
      <c r="G270" s="43" t="str">
        <f t="array" ref="G270">IFERROR(INDEX(Kintoneデータ抽出!C:C, _xlfn.AGGREGATE(15, 6, ROW(Kintoneデータ抽出!$K$2:$K$5000) / ((Kintoneデータ抽出!$K$2:$K$5000="院内")), ROW(A233))), "")</f>
        <v/>
      </c>
      <c r="H270" s="41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2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3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1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1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1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7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4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6.6" customHeight="1" x14ac:dyDescent="0.45">
      <c r="B271" s="142"/>
      <c r="C271" s="143"/>
      <c r="D271" s="67" t="str">
        <f t="shared" si="4"/>
        <v/>
      </c>
      <c r="E271" s="41" t="str">
        <f t="array" ref="E271">IFERROR(INDEX(Kintoneデータ抽出!A:A, _xlfn.AGGREGATE(15, 6, ROW(Kintoneデータ抽出!$K$2:$K$5000) / ((Kintoneデータ抽出!$K$2:$K$5000="院内")), ROW(A234))), "")</f>
        <v/>
      </c>
      <c r="F271" s="43" t="str">
        <f t="array" ref="F271">IFERROR(INDEX(Kintoneデータ抽出!D:D, _xlfn.AGGREGATE(15, 6, ROW(Kintoneデータ抽出!$K$2:$K$5000) / ((Kintoneデータ抽出!$K$2:$K$5000="院内")), ROW(A234))), "")</f>
        <v/>
      </c>
      <c r="G271" s="43" t="str">
        <f t="array" ref="G271">IFERROR(INDEX(Kintoneデータ抽出!C:C, _xlfn.AGGREGATE(15, 6, ROW(Kintoneデータ抽出!$K$2:$K$5000) / ((Kintoneデータ抽出!$K$2:$K$5000="院内")), ROW(A234))), "")</f>
        <v/>
      </c>
      <c r="H271" s="41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2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3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1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1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1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7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4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6.6" customHeight="1" x14ac:dyDescent="0.45">
      <c r="B272" s="142"/>
      <c r="C272" s="143"/>
      <c r="D272" s="67" t="str">
        <f t="shared" si="4"/>
        <v/>
      </c>
      <c r="E272" s="41" t="str">
        <f t="array" ref="E272">IFERROR(INDEX(Kintoneデータ抽出!A:A, _xlfn.AGGREGATE(15, 6, ROW(Kintoneデータ抽出!$K$2:$K$5000) / ((Kintoneデータ抽出!$K$2:$K$5000="院内")), ROW(A235))), "")</f>
        <v/>
      </c>
      <c r="F272" s="43" t="str">
        <f t="array" ref="F272">IFERROR(INDEX(Kintoneデータ抽出!D:D, _xlfn.AGGREGATE(15, 6, ROW(Kintoneデータ抽出!$K$2:$K$5000) / ((Kintoneデータ抽出!$K$2:$K$5000="院内")), ROW(A235))), "")</f>
        <v/>
      </c>
      <c r="G272" s="43" t="str">
        <f t="array" ref="G272">IFERROR(INDEX(Kintoneデータ抽出!C:C, _xlfn.AGGREGATE(15, 6, ROW(Kintoneデータ抽出!$K$2:$K$5000) / ((Kintoneデータ抽出!$K$2:$K$5000="院内")), ROW(A235))), "")</f>
        <v/>
      </c>
      <c r="H272" s="41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2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3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1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1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1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7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4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6.6" customHeight="1" x14ac:dyDescent="0.45">
      <c r="B273" s="142"/>
      <c r="C273" s="143"/>
      <c r="D273" s="67" t="str">
        <f t="shared" si="4"/>
        <v/>
      </c>
      <c r="E273" s="41" t="str">
        <f t="array" ref="E273">IFERROR(INDEX(Kintoneデータ抽出!A:A, _xlfn.AGGREGATE(15, 6, ROW(Kintoneデータ抽出!$K$2:$K$5000) / ((Kintoneデータ抽出!$K$2:$K$5000="院内")), ROW(A236))), "")</f>
        <v/>
      </c>
      <c r="F273" s="43" t="str">
        <f t="array" ref="F273">IFERROR(INDEX(Kintoneデータ抽出!D:D, _xlfn.AGGREGATE(15, 6, ROW(Kintoneデータ抽出!$K$2:$K$5000) / ((Kintoneデータ抽出!$K$2:$K$5000="院内")), ROW(A236))), "")</f>
        <v/>
      </c>
      <c r="G273" s="43" t="str">
        <f t="array" ref="G273">IFERROR(INDEX(Kintoneデータ抽出!C:C, _xlfn.AGGREGATE(15, 6, ROW(Kintoneデータ抽出!$K$2:$K$5000) / ((Kintoneデータ抽出!$K$2:$K$5000="院内")), ROW(A236))), "")</f>
        <v/>
      </c>
      <c r="H273" s="41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2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3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1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1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1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7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4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6.6" customHeight="1" x14ac:dyDescent="0.45">
      <c r="B274" s="142"/>
      <c r="C274" s="143"/>
      <c r="D274" s="67" t="str">
        <f t="shared" si="4"/>
        <v/>
      </c>
      <c r="E274" s="41" t="str">
        <f t="array" ref="E274">IFERROR(INDEX(Kintoneデータ抽出!A:A, _xlfn.AGGREGATE(15, 6, ROW(Kintoneデータ抽出!$K$2:$K$5000) / ((Kintoneデータ抽出!$K$2:$K$5000="院内")), ROW(A237))), "")</f>
        <v/>
      </c>
      <c r="F274" s="43" t="str">
        <f t="array" ref="F274">IFERROR(INDEX(Kintoneデータ抽出!D:D, _xlfn.AGGREGATE(15, 6, ROW(Kintoneデータ抽出!$K$2:$K$5000) / ((Kintoneデータ抽出!$K$2:$K$5000="院内")), ROW(A237))), "")</f>
        <v/>
      </c>
      <c r="G274" s="43" t="str">
        <f t="array" ref="G274">IFERROR(INDEX(Kintoneデータ抽出!C:C, _xlfn.AGGREGATE(15, 6, ROW(Kintoneデータ抽出!$K$2:$K$5000) / ((Kintoneデータ抽出!$K$2:$K$5000="院内")), ROW(A237))), "")</f>
        <v/>
      </c>
      <c r="H274" s="41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2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3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1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1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1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7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4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6.6" customHeight="1" x14ac:dyDescent="0.45">
      <c r="B275" s="142"/>
      <c r="C275" s="143"/>
      <c r="D275" s="67" t="str">
        <f t="shared" si="4"/>
        <v/>
      </c>
      <c r="E275" s="41" t="str">
        <f t="array" ref="E275">IFERROR(INDEX(Kintoneデータ抽出!A:A, _xlfn.AGGREGATE(15, 6, ROW(Kintoneデータ抽出!$K$2:$K$5000) / ((Kintoneデータ抽出!$K$2:$K$5000="院内")), ROW(A238))), "")</f>
        <v/>
      </c>
      <c r="F275" s="43" t="str">
        <f t="array" ref="F275">IFERROR(INDEX(Kintoneデータ抽出!D:D, _xlfn.AGGREGATE(15, 6, ROW(Kintoneデータ抽出!$K$2:$K$5000) / ((Kintoneデータ抽出!$K$2:$K$5000="院内")), ROW(A238))), "")</f>
        <v/>
      </c>
      <c r="G275" s="43" t="str">
        <f t="array" ref="G275">IFERROR(INDEX(Kintoneデータ抽出!C:C, _xlfn.AGGREGATE(15, 6, ROW(Kintoneデータ抽出!$K$2:$K$5000) / ((Kintoneデータ抽出!$K$2:$K$5000="院内")), ROW(A238))), "")</f>
        <v/>
      </c>
      <c r="H275" s="41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2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3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1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1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1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7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4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6.6" customHeight="1" x14ac:dyDescent="0.45">
      <c r="B276" s="133" t="s">
        <v>60</v>
      </c>
      <c r="C276" s="134"/>
      <c r="D276" s="67" t="str">
        <f t="shared" si="4"/>
        <v/>
      </c>
      <c r="E276" s="41" t="str">
        <f t="array" ref="E276">IFERROR(INDEX(Kintoneデータ抽出!A:A, _xlfn.AGGREGATE(15, 6, ROW(Kintoneデータ抽出!$K$2:$K$5000) / ((Kintoneデータ抽出!$K$2:$K$5000="院内")), ROW(A239))), "")</f>
        <v/>
      </c>
      <c r="F276" s="43" t="str">
        <f t="array" ref="F276">IFERROR(INDEX(Kintoneデータ抽出!D:D, _xlfn.AGGREGATE(15, 6, ROW(Kintoneデータ抽出!$K$2:$K$5000) / ((Kintoneデータ抽出!$K$2:$K$5000="院内")), ROW(A239))), "")</f>
        <v/>
      </c>
      <c r="G276" s="43" t="str">
        <f t="array" ref="G276">IFERROR(INDEX(Kintoneデータ抽出!C:C, _xlfn.AGGREGATE(15, 6, ROW(Kintoneデータ抽出!$K$2:$K$5000) / ((Kintoneデータ抽出!$K$2:$K$5000="院内")), ROW(A239))), "")</f>
        <v/>
      </c>
      <c r="H276" s="41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2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3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1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1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1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7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4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6.6" customHeight="1" x14ac:dyDescent="0.45">
      <c r="B277" s="133"/>
      <c r="C277" s="134"/>
      <c r="D277" s="67" t="str">
        <f t="shared" si="4"/>
        <v/>
      </c>
      <c r="E277" s="41" t="str">
        <f t="array" ref="E277">IFERROR(INDEX(Kintoneデータ抽出!A:A, _xlfn.AGGREGATE(15, 6, ROW(Kintoneデータ抽出!$K$2:$K$5000) / ((Kintoneデータ抽出!$K$2:$K$5000="院内")), ROW(A240))), "")</f>
        <v/>
      </c>
      <c r="F277" s="43" t="str">
        <f t="array" ref="F277">IFERROR(INDEX(Kintoneデータ抽出!D:D, _xlfn.AGGREGATE(15, 6, ROW(Kintoneデータ抽出!$K$2:$K$5000) / ((Kintoneデータ抽出!$K$2:$K$5000="院内")), ROW(A240))), "")</f>
        <v/>
      </c>
      <c r="G277" s="43" t="str">
        <f t="array" ref="G277">IFERROR(INDEX(Kintoneデータ抽出!C:C, _xlfn.AGGREGATE(15, 6, ROW(Kintoneデータ抽出!$K$2:$K$5000) / ((Kintoneデータ抽出!$K$2:$K$5000="院内")), ROW(A240))), "")</f>
        <v/>
      </c>
      <c r="H277" s="41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2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3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1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1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1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7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4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6.6" customHeight="1" x14ac:dyDescent="0.45">
      <c r="B278" s="133"/>
      <c r="C278" s="134"/>
      <c r="D278" s="67" t="str">
        <f t="shared" si="4"/>
        <v/>
      </c>
      <c r="E278" s="41" t="str">
        <f t="array" ref="E278">IFERROR(INDEX(Kintoneデータ抽出!A:A, _xlfn.AGGREGATE(15, 6, ROW(Kintoneデータ抽出!$K$2:$K$5000) / ((Kintoneデータ抽出!$K$2:$K$5000="院内")), ROW(A241))), "")</f>
        <v/>
      </c>
      <c r="F278" s="43" t="str">
        <f t="array" ref="F278">IFERROR(INDEX(Kintoneデータ抽出!D:D, _xlfn.AGGREGATE(15, 6, ROW(Kintoneデータ抽出!$K$2:$K$5000) / ((Kintoneデータ抽出!$K$2:$K$5000="院内")), ROW(A241))), "")</f>
        <v/>
      </c>
      <c r="G278" s="43" t="str">
        <f t="array" ref="G278">IFERROR(INDEX(Kintoneデータ抽出!C:C, _xlfn.AGGREGATE(15, 6, ROW(Kintoneデータ抽出!$K$2:$K$5000) / ((Kintoneデータ抽出!$K$2:$K$5000="院内")), ROW(A241))), "")</f>
        <v/>
      </c>
      <c r="H278" s="41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2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3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1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1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1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7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4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6.6" customHeight="1" x14ac:dyDescent="0.45">
      <c r="B279" s="133"/>
      <c r="C279" s="134"/>
      <c r="D279" s="67" t="str">
        <f t="shared" si="4"/>
        <v/>
      </c>
      <c r="E279" s="41" t="str">
        <f t="array" ref="E279">IFERROR(INDEX(Kintoneデータ抽出!A:A, _xlfn.AGGREGATE(15, 6, ROW(Kintoneデータ抽出!$K$2:$K$5000) / ((Kintoneデータ抽出!$K$2:$K$5000="院内")), ROW(A242))), "")</f>
        <v/>
      </c>
      <c r="F279" s="43" t="str">
        <f t="array" ref="F279">IFERROR(INDEX(Kintoneデータ抽出!D:D, _xlfn.AGGREGATE(15, 6, ROW(Kintoneデータ抽出!$K$2:$K$5000) / ((Kintoneデータ抽出!$K$2:$K$5000="院内")), ROW(A242))), "")</f>
        <v/>
      </c>
      <c r="G279" s="43" t="str">
        <f t="array" ref="G279">IFERROR(INDEX(Kintoneデータ抽出!C:C, _xlfn.AGGREGATE(15, 6, ROW(Kintoneデータ抽出!$K$2:$K$5000) / ((Kintoneデータ抽出!$K$2:$K$5000="院内")), ROW(A242))), "")</f>
        <v/>
      </c>
      <c r="H279" s="41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2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3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1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1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1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7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4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6.6" customHeight="1" x14ac:dyDescent="0.45">
      <c r="B280" s="133"/>
      <c r="C280" s="134"/>
      <c r="D280" s="67" t="str">
        <f t="shared" si="4"/>
        <v/>
      </c>
      <c r="E280" s="41" t="str">
        <f t="array" ref="E280">IFERROR(INDEX(Kintoneデータ抽出!A:A, _xlfn.AGGREGATE(15, 6, ROW(Kintoneデータ抽出!$K$2:$K$5000) / ((Kintoneデータ抽出!$K$2:$K$5000="院内")), ROW(A243))), "")</f>
        <v/>
      </c>
      <c r="F280" s="43" t="str">
        <f t="array" ref="F280">IFERROR(INDEX(Kintoneデータ抽出!D:D, _xlfn.AGGREGATE(15, 6, ROW(Kintoneデータ抽出!$K$2:$K$5000) / ((Kintoneデータ抽出!$K$2:$K$5000="院内")), ROW(A243))), "")</f>
        <v/>
      </c>
      <c r="G280" s="43" t="str">
        <f t="array" ref="G280">IFERROR(INDEX(Kintoneデータ抽出!C:C, _xlfn.AGGREGATE(15, 6, ROW(Kintoneデータ抽出!$K$2:$K$5000) / ((Kintoneデータ抽出!$K$2:$K$5000="院内")), ROW(A243))), "")</f>
        <v/>
      </c>
      <c r="H280" s="41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2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3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1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1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1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7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4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6.6" customHeight="1" x14ac:dyDescent="0.45">
      <c r="B281" s="133"/>
      <c r="C281" s="134"/>
      <c r="D281" s="67" t="str">
        <f t="shared" si="4"/>
        <v/>
      </c>
      <c r="E281" s="41" t="str">
        <f t="array" ref="E281">IFERROR(INDEX(Kintoneデータ抽出!A:A, _xlfn.AGGREGATE(15, 6, ROW(Kintoneデータ抽出!$K$2:$K$5000) / ((Kintoneデータ抽出!$K$2:$K$5000="院内")), ROW(A244))), "")</f>
        <v/>
      </c>
      <c r="F281" s="43" t="str">
        <f t="array" ref="F281">IFERROR(INDEX(Kintoneデータ抽出!D:D, _xlfn.AGGREGATE(15, 6, ROW(Kintoneデータ抽出!$K$2:$K$5000) / ((Kintoneデータ抽出!$K$2:$K$5000="院内")), ROW(A244))), "")</f>
        <v/>
      </c>
      <c r="G281" s="43" t="str">
        <f t="array" ref="G281">IFERROR(INDEX(Kintoneデータ抽出!C:C, _xlfn.AGGREGATE(15, 6, ROW(Kintoneデータ抽出!$K$2:$K$5000) / ((Kintoneデータ抽出!$K$2:$K$5000="院内")), ROW(A244))), "")</f>
        <v/>
      </c>
      <c r="H281" s="41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2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3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1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1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1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7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4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6.6" customHeight="1" x14ac:dyDescent="0.45">
      <c r="B282" s="133"/>
      <c r="C282" s="134"/>
      <c r="D282" s="67" t="str">
        <f t="shared" si="4"/>
        <v/>
      </c>
      <c r="E282" s="41" t="str">
        <f t="array" ref="E282">IFERROR(INDEX(Kintoneデータ抽出!A:A, _xlfn.AGGREGATE(15, 6, ROW(Kintoneデータ抽出!$K$2:$K$5000) / ((Kintoneデータ抽出!$K$2:$K$5000="院内")), ROW(A245))), "")</f>
        <v/>
      </c>
      <c r="F282" s="43" t="str">
        <f t="array" ref="F282">IFERROR(INDEX(Kintoneデータ抽出!D:D, _xlfn.AGGREGATE(15, 6, ROW(Kintoneデータ抽出!$K$2:$K$5000) / ((Kintoneデータ抽出!$K$2:$K$5000="院内")), ROW(A245))), "")</f>
        <v/>
      </c>
      <c r="G282" s="43" t="str">
        <f t="array" ref="G282">IFERROR(INDEX(Kintoneデータ抽出!C:C, _xlfn.AGGREGATE(15, 6, ROW(Kintoneデータ抽出!$K$2:$K$5000) / ((Kintoneデータ抽出!$K$2:$K$5000="院内")), ROW(A245))), "")</f>
        <v/>
      </c>
      <c r="H282" s="41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2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3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1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1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1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7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4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6.6" customHeight="1" x14ac:dyDescent="0.45">
      <c r="B283" s="133"/>
      <c r="C283" s="134"/>
      <c r="D283" s="67" t="str">
        <f t="shared" si="4"/>
        <v/>
      </c>
      <c r="E283" s="41" t="str">
        <f t="array" ref="E283">IFERROR(INDEX(Kintoneデータ抽出!A:A, _xlfn.AGGREGATE(15, 6, ROW(Kintoneデータ抽出!$K$2:$K$5000) / ((Kintoneデータ抽出!$K$2:$K$5000="院内")), ROW(A246))), "")</f>
        <v/>
      </c>
      <c r="F283" s="43" t="str">
        <f t="array" ref="F283">IFERROR(INDEX(Kintoneデータ抽出!D:D, _xlfn.AGGREGATE(15, 6, ROW(Kintoneデータ抽出!$K$2:$K$5000) / ((Kintoneデータ抽出!$K$2:$K$5000="院内")), ROW(A246))), "")</f>
        <v/>
      </c>
      <c r="G283" s="43" t="str">
        <f t="array" ref="G283">IFERROR(INDEX(Kintoneデータ抽出!C:C, _xlfn.AGGREGATE(15, 6, ROW(Kintoneデータ抽出!$K$2:$K$5000) / ((Kintoneデータ抽出!$K$2:$K$5000="院内")), ROW(A246))), "")</f>
        <v/>
      </c>
      <c r="H283" s="41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2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3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1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1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1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7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4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6.6" customHeight="1" x14ac:dyDescent="0.45">
      <c r="B284" s="133"/>
      <c r="C284" s="134"/>
      <c r="D284" s="67" t="str">
        <f t="shared" si="4"/>
        <v/>
      </c>
      <c r="E284" s="41" t="str">
        <f t="array" ref="E284">IFERROR(INDEX(Kintoneデータ抽出!A:A, _xlfn.AGGREGATE(15, 6, ROW(Kintoneデータ抽出!$K$2:$K$5000) / ((Kintoneデータ抽出!$K$2:$K$5000="院内")), ROW(A247))), "")</f>
        <v/>
      </c>
      <c r="F284" s="43" t="str">
        <f t="array" ref="F284">IFERROR(INDEX(Kintoneデータ抽出!D:D, _xlfn.AGGREGATE(15, 6, ROW(Kintoneデータ抽出!$K$2:$K$5000) / ((Kintoneデータ抽出!$K$2:$K$5000="院内")), ROW(A247))), "")</f>
        <v/>
      </c>
      <c r="G284" s="43" t="str">
        <f t="array" ref="G284">IFERROR(INDEX(Kintoneデータ抽出!C:C, _xlfn.AGGREGATE(15, 6, ROW(Kintoneデータ抽出!$K$2:$K$5000) / ((Kintoneデータ抽出!$K$2:$K$5000="院内")), ROW(A247))), "")</f>
        <v/>
      </c>
      <c r="H284" s="41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2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3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1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1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1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7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4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6.6" customHeight="1" x14ac:dyDescent="0.45">
      <c r="B285" s="133"/>
      <c r="C285" s="134"/>
      <c r="D285" s="67" t="str">
        <f t="shared" si="4"/>
        <v/>
      </c>
      <c r="E285" s="41" t="str">
        <f t="array" ref="E285">IFERROR(INDEX(Kintoneデータ抽出!A:A, _xlfn.AGGREGATE(15, 6, ROW(Kintoneデータ抽出!$K$2:$K$5000) / ((Kintoneデータ抽出!$K$2:$K$5000="院内")), ROW(A248))), "")</f>
        <v/>
      </c>
      <c r="F285" s="43" t="str">
        <f t="array" ref="F285">IFERROR(INDEX(Kintoneデータ抽出!D:D, _xlfn.AGGREGATE(15, 6, ROW(Kintoneデータ抽出!$K$2:$K$5000) / ((Kintoneデータ抽出!$K$2:$K$5000="院内")), ROW(A248))), "")</f>
        <v/>
      </c>
      <c r="G285" s="43" t="str">
        <f t="array" ref="G285">IFERROR(INDEX(Kintoneデータ抽出!C:C, _xlfn.AGGREGATE(15, 6, ROW(Kintoneデータ抽出!$K$2:$K$5000) / ((Kintoneデータ抽出!$K$2:$K$5000="院内")), ROW(A248))), "")</f>
        <v/>
      </c>
      <c r="H285" s="41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2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3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1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1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1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7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4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6.6" customHeight="1" x14ac:dyDescent="0.45">
      <c r="B286" s="133"/>
      <c r="C286" s="134"/>
      <c r="D286" s="67" t="str">
        <f t="shared" si="4"/>
        <v/>
      </c>
      <c r="E286" s="41" t="str">
        <f t="array" ref="E286">IFERROR(INDEX(Kintoneデータ抽出!A:A, _xlfn.AGGREGATE(15, 6, ROW(Kintoneデータ抽出!$K$2:$K$5000) / ((Kintoneデータ抽出!$K$2:$K$5000="院内")), ROW(A249))), "")</f>
        <v/>
      </c>
      <c r="F286" s="43" t="str">
        <f t="array" ref="F286">IFERROR(INDEX(Kintoneデータ抽出!D:D, _xlfn.AGGREGATE(15, 6, ROW(Kintoneデータ抽出!$K$2:$K$5000) / ((Kintoneデータ抽出!$K$2:$K$5000="院内")), ROW(A249))), "")</f>
        <v/>
      </c>
      <c r="G286" s="43" t="str">
        <f t="array" ref="G286">IFERROR(INDEX(Kintoneデータ抽出!C:C, _xlfn.AGGREGATE(15, 6, ROW(Kintoneデータ抽出!$K$2:$K$5000) / ((Kintoneデータ抽出!$K$2:$K$5000="院内")), ROW(A249))), "")</f>
        <v/>
      </c>
      <c r="H286" s="41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2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3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1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1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1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7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4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6.6" customHeight="1" x14ac:dyDescent="0.45">
      <c r="B287" s="133"/>
      <c r="C287" s="134"/>
      <c r="D287" s="67" t="str">
        <f t="shared" si="4"/>
        <v/>
      </c>
      <c r="E287" s="41" t="str">
        <f t="array" ref="E287">IFERROR(INDEX(Kintoneデータ抽出!A:A, _xlfn.AGGREGATE(15, 6, ROW(Kintoneデータ抽出!$K$2:$K$5000) / ((Kintoneデータ抽出!$K$2:$K$5000="院内")), ROW(A250))), "")</f>
        <v/>
      </c>
      <c r="F287" s="43" t="str">
        <f t="array" ref="F287">IFERROR(INDEX(Kintoneデータ抽出!D:D, _xlfn.AGGREGATE(15, 6, ROW(Kintoneデータ抽出!$K$2:$K$5000) / ((Kintoneデータ抽出!$K$2:$K$5000="院内")), ROW(A250))), "")</f>
        <v/>
      </c>
      <c r="G287" s="43" t="str">
        <f t="array" ref="G287">IFERROR(INDEX(Kintoneデータ抽出!C:C, _xlfn.AGGREGATE(15, 6, ROW(Kintoneデータ抽出!$K$2:$K$5000) / ((Kintoneデータ抽出!$K$2:$K$5000="院内")), ROW(A250))), "")</f>
        <v/>
      </c>
      <c r="H287" s="41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2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3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1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1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1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7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4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6.6" customHeight="1" x14ac:dyDescent="0.45">
      <c r="B288" s="133"/>
      <c r="C288" s="134"/>
      <c r="D288" s="67" t="str">
        <f t="shared" si="4"/>
        <v/>
      </c>
      <c r="E288" s="41" t="str">
        <f t="array" ref="E288">IFERROR(INDEX(Kintoneデータ抽出!A:A, _xlfn.AGGREGATE(15, 6, ROW(Kintoneデータ抽出!$K$2:$K$5000) / ((Kintoneデータ抽出!$K$2:$K$5000="院内")), ROW(A251))), "")</f>
        <v/>
      </c>
      <c r="F288" s="43" t="str">
        <f t="array" ref="F288">IFERROR(INDEX(Kintoneデータ抽出!D:D, _xlfn.AGGREGATE(15, 6, ROW(Kintoneデータ抽出!$K$2:$K$5000) / ((Kintoneデータ抽出!$K$2:$K$5000="院内")), ROW(A251))), "")</f>
        <v/>
      </c>
      <c r="G288" s="43" t="str">
        <f t="array" ref="G288">IFERROR(INDEX(Kintoneデータ抽出!C:C, _xlfn.AGGREGATE(15, 6, ROW(Kintoneデータ抽出!$K$2:$K$5000) / ((Kintoneデータ抽出!$K$2:$K$5000="院内")), ROW(A251))), "")</f>
        <v/>
      </c>
      <c r="H288" s="41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2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3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1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1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1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7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4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6.6" customHeight="1" x14ac:dyDescent="0.45">
      <c r="B289" s="133"/>
      <c r="C289" s="134"/>
      <c r="D289" s="67" t="str">
        <f t="shared" si="4"/>
        <v/>
      </c>
      <c r="E289" s="41" t="str">
        <f t="array" ref="E289">IFERROR(INDEX(Kintoneデータ抽出!A:A, _xlfn.AGGREGATE(15, 6, ROW(Kintoneデータ抽出!$K$2:$K$5000) / ((Kintoneデータ抽出!$K$2:$K$5000="院内")), ROW(A252))), "")</f>
        <v/>
      </c>
      <c r="F289" s="43" t="str">
        <f t="array" ref="F289">IFERROR(INDEX(Kintoneデータ抽出!D:D, _xlfn.AGGREGATE(15, 6, ROW(Kintoneデータ抽出!$K$2:$K$5000) / ((Kintoneデータ抽出!$K$2:$K$5000="院内")), ROW(A252))), "")</f>
        <v/>
      </c>
      <c r="G289" s="43" t="str">
        <f t="array" ref="G289">IFERROR(INDEX(Kintoneデータ抽出!C:C, _xlfn.AGGREGATE(15, 6, ROW(Kintoneデータ抽出!$K$2:$K$5000) / ((Kintoneデータ抽出!$K$2:$K$5000="院内")), ROW(A252))), "")</f>
        <v/>
      </c>
      <c r="H289" s="41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2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3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1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1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1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7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4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6.6" customHeight="1" x14ac:dyDescent="0.45">
      <c r="B290" s="142" t="s">
        <v>52</v>
      </c>
      <c r="C290" s="143"/>
      <c r="D290" s="67" t="str">
        <f t="shared" si="4"/>
        <v/>
      </c>
      <c r="E290" s="41" t="str">
        <f t="array" ref="E290">IFERROR(INDEX(Kintoneデータ抽出!A:A, _xlfn.AGGREGATE(15, 6, ROW(Kintoneデータ抽出!$K$2:$K$5000) / ((Kintoneデータ抽出!$K$2:$K$5000="院内")), ROW(A253))), "")</f>
        <v/>
      </c>
      <c r="F290" s="43" t="str">
        <f t="array" ref="F290">IFERROR(INDEX(Kintoneデータ抽出!D:D, _xlfn.AGGREGATE(15, 6, ROW(Kintoneデータ抽出!$K$2:$K$5000) / ((Kintoneデータ抽出!$K$2:$K$5000="院内")), ROW(A253))), "")</f>
        <v/>
      </c>
      <c r="G290" s="43" t="str">
        <f t="array" ref="G290">IFERROR(INDEX(Kintoneデータ抽出!C:C, _xlfn.AGGREGATE(15, 6, ROW(Kintoneデータ抽出!$K$2:$K$5000) / ((Kintoneデータ抽出!$K$2:$K$5000="院内")), ROW(A253))), "")</f>
        <v/>
      </c>
      <c r="H290" s="41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2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3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1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1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1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7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4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6.6" customHeight="1" x14ac:dyDescent="0.45">
      <c r="B291" s="142"/>
      <c r="C291" s="143"/>
      <c r="D291" s="67" t="str">
        <f t="shared" si="4"/>
        <v/>
      </c>
      <c r="E291" s="41" t="str">
        <f t="array" ref="E291">IFERROR(INDEX(Kintoneデータ抽出!A:A, _xlfn.AGGREGATE(15, 6, ROW(Kintoneデータ抽出!$K$2:$K$5000) / ((Kintoneデータ抽出!$K$2:$K$5000="院内")), ROW(A254))), "")</f>
        <v/>
      </c>
      <c r="F291" s="43" t="str">
        <f t="array" ref="F291">IFERROR(INDEX(Kintoneデータ抽出!D:D, _xlfn.AGGREGATE(15, 6, ROW(Kintoneデータ抽出!$K$2:$K$5000) / ((Kintoneデータ抽出!$K$2:$K$5000="院内")), ROW(A254))), "")</f>
        <v/>
      </c>
      <c r="G291" s="43" t="str">
        <f t="array" ref="G291">IFERROR(INDEX(Kintoneデータ抽出!C:C, _xlfn.AGGREGATE(15, 6, ROW(Kintoneデータ抽出!$K$2:$K$5000) / ((Kintoneデータ抽出!$K$2:$K$5000="院内")), ROW(A254))), "")</f>
        <v/>
      </c>
      <c r="H291" s="41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2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3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1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1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1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7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4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6.6" customHeight="1" x14ac:dyDescent="0.45">
      <c r="B292" s="142"/>
      <c r="C292" s="143"/>
      <c r="D292" s="67" t="str">
        <f t="shared" si="4"/>
        <v/>
      </c>
      <c r="E292" s="41" t="str">
        <f t="array" ref="E292">IFERROR(INDEX(Kintoneデータ抽出!A:A, _xlfn.AGGREGATE(15, 6, ROW(Kintoneデータ抽出!$K$2:$K$5000) / ((Kintoneデータ抽出!$K$2:$K$5000="院内")), ROW(A255))), "")</f>
        <v/>
      </c>
      <c r="F292" s="43" t="str">
        <f t="array" ref="F292">IFERROR(INDEX(Kintoneデータ抽出!D:D, _xlfn.AGGREGATE(15, 6, ROW(Kintoneデータ抽出!$K$2:$K$5000) / ((Kintoneデータ抽出!$K$2:$K$5000="院内")), ROW(A255))), "")</f>
        <v/>
      </c>
      <c r="G292" s="43" t="str">
        <f t="array" ref="G292">IFERROR(INDEX(Kintoneデータ抽出!C:C, _xlfn.AGGREGATE(15, 6, ROW(Kintoneデータ抽出!$K$2:$K$5000) / ((Kintoneデータ抽出!$K$2:$K$5000="院内")), ROW(A255))), "")</f>
        <v/>
      </c>
      <c r="H292" s="41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2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3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1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1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1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7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4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6.6" customHeight="1" x14ac:dyDescent="0.45">
      <c r="B293" s="142"/>
      <c r="C293" s="143"/>
      <c r="D293" s="67" t="str">
        <f t="shared" si="4"/>
        <v/>
      </c>
      <c r="E293" s="41" t="str">
        <f t="array" ref="E293">IFERROR(INDEX(Kintoneデータ抽出!A:A, _xlfn.AGGREGATE(15, 6, ROW(Kintoneデータ抽出!$K$2:$K$5000) / ((Kintoneデータ抽出!$K$2:$K$5000="院内")), ROW(A256))), "")</f>
        <v/>
      </c>
      <c r="F293" s="43" t="str">
        <f t="array" ref="F293">IFERROR(INDEX(Kintoneデータ抽出!D:D, _xlfn.AGGREGATE(15, 6, ROW(Kintoneデータ抽出!$K$2:$K$5000) / ((Kintoneデータ抽出!$K$2:$K$5000="院内")), ROW(A256))), "")</f>
        <v/>
      </c>
      <c r="G293" s="43" t="str">
        <f t="array" ref="G293">IFERROR(INDEX(Kintoneデータ抽出!C:C, _xlfn.AGGREGATE(15, 6, ROW(Kintoneデータ抽出!$K$2:$K$5000) / ((Kintoneデータ抽出!$K$2:$K$5000="院内")), ROW(A256))), "")</f>
        <v/>
      </c>
      <c r="H293" s="41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2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3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1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1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1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7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4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6.6" customHeight="1" x14ac:dyDescent="0.45">
      <c r="B294" s="142"/>
      <c r="C294" s="143"/>
      <c r="D294" s="67" t="str">
        <f t="shared" si="4"/>
        <v/>
      </c>
      <c r="E294" s="41" t="str">
        <f t="array" ref="E294">IFERROR(INDEX(Kintoneデータ抽出!A:A, _xlfn.AGGREGATE(15, 6, ROW(Kintoneデータ抽出!$K$2:$K$5000) / ((Kintoneデータ抽出!$K$2:$K$5000="院内")), ROW(A257))), "")</f>
        <v/>
      </c>
      <c r="F294" s="43" t="str">
        <f t="array" ref="F294">IFERROR(INDEX(Kintoneデータ抽出!D:D, _xlfn.AGGREGATE(15, 6, ROW(Kintoneデータ抽出!$K$2:$K$5000) / ((Kintoneデータ抽出!$K$2:$K$5000="院内")), ROW(A257))), "")</f>
        <v/>
      </c>
      <c r="G294" s="43" t="str">
        <f t="array" ref="G294">IFERROR(INDEX(Kintoneデータ抽出!C:C, _xlfn.AGGREGATE(15, 6, ROW(Kintoneデータ抽出!$K$2:$K$5000) / ((Kintoneデータ抽出!$K$2:$K$5000="院内")), ROW(A257))), "")</f>
        <v/>
      </c>
      <c r="H294" s="41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2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3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1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1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1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7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4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6.6" customHeight="1" x14ac:dyDescent="0.45">
      <c r="B295" s="142"/>
      <c r="C295" s="143"/>
      <c r="D295" s="67" t="str">
        <f t="shared" si="4"/>
        <v/>
      </c>
      <c r="E295" s="41" t="str">
        <f t="array" ref="E295">IFERROR(INDEX(Kintoneデータ抽出!A:A, _xlfn.AGGREGATE(15, 6, ROW(Kintoneデータ抽出!$K$2:$K$5000) / ((Kintoneデータ抽出!$K$2:$K$5000="院内")), ROW(A258))), "")</f>
        <v/>
      </c>
      <c r="F295" s="43" t="str">
        <f t="array" ref="F295">IFERROR(INDEX(Kintoneデータ抽出!D:D, _xlfn.AGGREGATE(15, 6, ROW(Kintoneデータ抽出!$K$2:$K$5000) / ((Kintoneデータ抽出!$K$2:$K$5000="院内")), ROW(A258))), "")</f>
        <v/>
      </c>
      <c r="G295" s="43" t="str">
        <f t="array" ref="G295">IFERROR(INDEX(Kintoneデータ抽出!C:C, _xlfn.AGGREGATE(15, 6, ROW(Kintoneデータ抽出!$K$2:$K$5000) / ((Kintoneデータ抽出!$K$2:$K$5000="院内")), ROW(A258))), "")</f>
        <v/>
      </c>
      <c r="H295" s="41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2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3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1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1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1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7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4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6.6" customHeight="1" x14ac:dyDescent="0.45">
      <c r="B296" s="142"/>
      <c r="C296" s="143"/>
      <c r="D296" s="67" t="str">
        <f t="shared" si="4"/>
        <v/>
      </c>
      <c r="E296" s="41" t="str">
        <f t="array" ref="E296">IFERROR(INDEX(Kintoneデータ抽出!A:A, _xlfn.AGGREGATE(15, 6, ROW(Kintoneデータ抽出!$K$2:$K$5000) / ((Kintoneデータ抽出!$K$2:$K$5000="院内")), ROW(A259))), "")</f>
        <v/>
      </c>
      <c r="F296" s="43" t="str">
        <f t="array" ref="F296">IFERROR(INDEX(Kintoneデータ抽出!D:D, _xlfn.AGGREGATE(15, 6, ROW(Kintoneデータ抽出!$K$2:$K$5000) / ((Kintoneデータ抽出!$K$2:$K$5000="院内")), ROW(A259))), "")</f>
        <v/>
      </c>
      <c r="G296" s="43" t="str">
        <f t="array" ref="G296">IFERROR(INDEX(Kintoneデータ抽出!C:C, _xlfn.AGGREGATE(15, 6, ROW(Kintoneデータ抽出!$K$2:$K$5000) / ((Kintoneデータ抽出!$K$2:$K$5000="院内")), ROW(A259))), "")</f>
        <v/>
      </c>
      <c r="H296" s="41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2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3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1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1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1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7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4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6.6" customHeight="1" x14ac:dyDescent="0.45">
      <c r="B297" s="142"/>
      <c r="C297" s="143"/>
      <c r="D297" s="67" t="str">
        <f t="shared" si="4"/>
        <v/>
      </c>
      <c r="E297" s="41" t="str">
        <f t="array" ref="E297">IFERROR(INDEX(Kintoneデータ抽出!A:A, _xlfn.AGGREGATE(15, 6, ROW(Kintoneデータ抽出!$K$2:$K$5000) / ((Kintoneデータ抽出!$K$2:$K$5000="院内")), ROW(A260))), "")</f>
        <v/>
      </c>
      <c r="F297" s="43" t="str">
        <f t="array" ref="F297">IFERROR(INDEX(Kintoneデータ抽出!D:D, _xlfn.AGGREGATE(15, 6, ROW(Kintoneデータ抽出!$K$2:$K$5000) / ((Kintoneデータ抽出!$K$2:$K$5000="院内")), ROW(A260))), "")</f>
        <v/>
      </c>
      <c r="G297" s="43" t="str">
        <f t="array" ref="G297">IFERROR(INDEX(Kintoneデータ抽出!C:C, _xlfn.AGGREGATE(15, 6, ROW(Kintoneデータ抽出!$K$2:$K$5000) / ((Kintoneデータ抽出!$K$2:$K$5000="院内")), ROW(A260))), "")</f>
        <v/>
      </c>
      <c r="H297" s="41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2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3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1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1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1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7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4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6.6" customHeight="1" x14ac:dyDescent="0.45">
      <c r="B298" s="142"/>
      <c r="C298" s="143"/>
      <c r="D298" s="67" t="str">
        <f t="shared" ref="D298:D307" si="5">IF(G298&lt;&gt;"",D297+1,D297)</f>
        <v/>
      </c>
      <c r="E298" s="41" t="str">
        <f t="array" ref="E298">IFERROR(INDEX(Kintoneデータ抽出!A:A, _xlfn.AGGREGATE(15, 6, ROW(Kintoneデータ抽出!$K$2:$K$5000) / ((Kintoneデータ抽出!$K$2:$K$5000="院内")), ROW(A261))), "")</f>
        <v/>
      </c>
      <c r="F298" s="43" t="str">
        <f t="array" ref="F298">IFERROR(INDEX(Kintoneデータ抽出!D:D, _xlfn.AGGREGATE(15, 6, ROW(Kintoneデータ抽出!$K$2:$K$5000) / ((Kintoneデータ抽出!$K$2:$K$5000="院内")), ROW(A261))), "")</f>
        <v/>
      </c>
      <c r="G298" s="43" t="str">
        <f t="array" ref="G298">IFERROR(INDEX(Kintoneデータ抽出!C:C, _xlfn.AGGREGATE(15, 6, ROW(Kintoneデータ抽出!$K$2:$K$5000) / ((Kintoneデータ抽出!$K$2:$K$5000="院内")), ROW(A261))), "")</f>
        <v/>
      </c>
      <c r="H298" s="41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2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3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1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1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1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7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4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6.6" customHeight="1" x14ac:dyDescent="0.45">
      <c r="B299" s="142"/>
      <c r="C299" s="143"/>
      <c r="D299" s="67" t="str">
        <f t="shared" si="5"/>
        <v/>
      </c>
      <c r="E299" s="41" t="str">
        <f t="array" ref="E299">IFERROR(INDEX(Kintoneデータ抽出!A:A, _xlfn.AGGREGATE(15, 6, ROW(Kintoneデータ抽出!$K$2:$K$5000) / ((Kintoneデータ抽出!$K$2:$K$5000="院内")), ROW(A262))), "")</f>
        <v/>
      </c>
      <c r="F299" s="43" t="str">
        <f t="array" ref="F299">IFERROR(INDEX(Kintoneデータ抽出!D:D, _xlfn.AGGREGATE(15, 6, ROW(Kintoneデータ抽出!$K$2:$K$5000) / ((Kintoneデータ抽出!$K$2:$K$5000="院内")), ROW(A262))), "")</f>
        <v/>
      </c>
      <c r="G299" s="43" t="str">
        <f t="array" ref="G299">IFERROR(INDEX(Kintoneデータ抽出!C:C, _xlfn.AGGREGATE(15, 6, ROW(Kintoneデータ抽出!$K$2:$K$5000) / ((Kintoneデータ抽出!$K$2:$K$5000="院内")), ROW(A262))), "")</f>
        <v/>
      </c>
      <c r="H299" s="41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2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3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1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1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1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7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4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6.6" customHeight="1" x14ac:dyDescent="0.45">
      <c r="B300" s="142"/>
      <c r="C300" s="143"/>
      <c r="D300" s="67" t="str">
        <f t="shared" si="5"/>
        <v/>
      </c>
      <c r="E300" s="41" t="str">
        <f t="array" ref="E300">IFERROR(INDEX(Kintoneデータ抽出!A:A, _xlfn.AGGREGATE(15, 6, ROW(Kintoneデータ抽出!$K$2:$K$5000) / ((Kintoneデータ抽出!$K$2:$K$5000="院内")), ROW(A263))), "")</f>
        <v/>
      </c>
      <c r="F300" s="43" t="str">
        <f t="array" ref="F300">IFERROR(INDEX(Kintoneデータ抽出!D:D, _xlfn.AGGREGATE(15, 6, ROW(Kintoneデータ抽出!$K$2:$K$5000) / ((Kintoneデータ抽出!$K$2:$K$5000="院内")), ROW(A263))), "")</f>
        <v/>
      </c>
      <c r="G300" s="43" t="str">
        <f t="array" ref="G300">IFERROR(INDEX(Kintoneデータ抽出!C:C, _xlfn.AGGREGATE(15, 6, ROW(Kintoneデータ抽出!$K$2:$K$5000) / ((Kintoneデータ抽出!$K$2:$K$5000="院内")), ROW(A263))), "")</f>
        <v/>
      </c>
      <c r="H300" s="41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2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3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1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1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1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7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4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6.6" customHeight="1" x14ac:dyDescent="0.45">
      <c r="B301" s="142"/>
      <c r="C301" s="143"/>
      <c r="D301" s="67" t="str">
        <f t="shared" si="5"/>
        <v/>
      </c>
      <c r="E301" s="41" t="str">
        <f t="array" ref="E301">IFERROR(INDEX(Kintoneデータ抽出!A:A, _xlfn.AGGREGATE(15, 6, ROW(Kintoneデータ抽出!$K$2:$K$5000) / ((Kintoneデータ抽出!$K$2:$K$5000="院内")), ROW(A264))), "")</f>
        <v/>
      </c>
      <c r="F301" s="43" t="str">
        <f t="array" ref="F301">IFERROR(INDEX(Kintoneデータ抽出!D:D, _xlfn.AGGREGATE(15, 6, ROW(Kintoneデータ抽出!$K$2:$K$5000) / ((Kintoneデータ抽出!$K$2:$K$5000="院内")), ROW(A264))), "")</f>
        <v/>
      </c>
      <c r="G301" s="43" t="str">
        <f t="array" ref="G301">IFERROR(INDEX(Kintoneデータ抽出!C:C, _xlfn.AGGREGATE(15, 6, ROW(Kintoneデータ抽出!$K$2:$K$5000) / ((Kintoneデータ抽出!$K$2:$K$5000="院内")), ROW(A264))), "")</f>
        <v/>
      </c>
      <c r="H301" s="41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2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3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1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1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1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7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4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6.6" customHeight="1" x14ac:dyDescent="0.45">
      <c r="B302" s="142"/>
      <c r="C302" s="143"/>
      <c r="D302" s="67" t="str">
        <f t="shared" si="5"/>
        <v/>
      </c>
      <c r="E302" s="41" t="str">
        <f t="array" ref="E302">IFERROR(INDEX(Kintoneデータ抽出!A:A, _xlfn.AGGREGATE(15, 6, ROW(Kintoneデータ抽出!$K$2:$K$5000) / ((Kintoneデータ抽出!$K$2:$K$5000="院内")), ROW(A265))), "")</f>
        <v/>
      </c>
      <c r="F302" s="43" t="str">
        <f t="array" ref="F302">IFERROR(INDEX(Kintoneデータ抽出!D:D, _xlfn.AGGREGATE(15, 6, ROW(Kintoneデータ抽出!$K$2:$K$5000) / ((Kintoneデータ抽出!$K$2:$K$5000="院内")), ROW(A265))), "")</f>
        <v/>
      </c>
      <c r="G302" s="43" t="str">
        <f t="array" ref="G302">IFERROR(INDEX(Kintoneデータ抽出!C:C, _xlfn.AGGREGATE(15, 6, ROW(Kintoneデータ抽出!$K$2:$K$5000) / ((Kintoneデータ抽出!$K$2:$K$5000="院内")), ROW(A265))), "")</f>
        <v/>
      </c>
      <c r="H302" s="41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2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3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1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1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1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7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4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6.6" customHeight="1" x14ac:dyDescent="0.45">
      <c r="B303" s="142"/>
      <c r="C303" s="143"/>
      <c r="D303" s="67" t="str">
        <f t="shared" si="5"/>
        <v/>
      </c>
      <c r="E303" s="41" t="str">
        <f t="array" ref="E303">IFERROR(INDEX(Kintoneデータ抽出!A:A, _xlfn.AGGREGATE(15, 6, ROW(Kintoneデータ抽出!$K$2:$K$5000) / ((Kintoneデータ抽出!$K$2:$K$5000="院内")), ROW(A266))), "")</f>
        <v/>
      </c>
      <c r="F303" s="43" t="str">
        <f t="array" ref="F303">IFERROR(INDEX(Kintoneデータ抽出!D:D, _xlfn.AGGREGATE(15, 6, ROW(Kintoneデータ抽出!$K$2:$K$5000) / ((Kintoneデータ抽出!$K$2:$K$5000="院内")), ROW(A266))), "")</f>
        <v/>
      </c>
      <c r="G303" s="43" t="str">
        <f t="array" ref="G303">IFERROR(INDEX(Kintoneデータ抽出!C:C, _xlfn.AGGREGATE(15, 6, ROW(Kintoneデータ抽出!$K$2:$K$5000) / ((Kintoneデータ抽出!$K$2:$K$5000="院内")), ROW(A266))), "")</f>
        <v/>
      </c>
      <c r="H303" s="41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2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3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1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1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1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7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4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6.6" customHeight="1" x14ac:dyDescent="0.45">
      <c r="B304" s="142"/>
      <c r="C304" s="143"/>
      <c r="D304" s="67" t="str">
        <f t="shared" si="5"/>
        <v/>
      </c>
      <c r="E304" s="41" t="str">
        <f t="array" ref="E304">IFERROR(INDEX(Kintoneデータ抽出!A:A, _xlfn.AGGREGATE(15, 6, ROW(Kintoneデータ抽出!$K$2:$K$5000) / ((Kintoneデータ抽出!$K$2:$K$5000="院内")), ROW(A267))), "")</f>
        <v/>
      </c>
      <c r="F304" s="43" t="str">
        <f t="array" ref="F304">IFERROR(INDEX(Kintoneデータ抽出!D:D, _xlfn.AGGREGATE(15, 6, ROW(Kintoneデータ抽出!$K$2:$K$5000) / ((Kintoneデータ抽出!$K$2:$K$5000="院内")), ROW(A267))), "")</f>
        <v/>
      </c>
      <c r="G304" s="43" t="str">
        <f t="array" ref="G304">IFERROR(INDEX(Kintoneデータ抽出!C:C, _xlfn.AGGREGATE(15, 6, ROW(Kintoneデータ抽出!$K$2:$K$5000) / ((Kintoneデータ抽出!$K$2:$K$5000="院内")), ROW(A267))), "")</f>
        <v/>
      </c>
      <c r="H304" s="41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2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3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1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1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1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7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4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6.6" customHeight="1" x14ac:dyDescent="0.45">
      <c r="B305" s="142"/>
      <c r="C305" s="143"/>
      <c r="D305" s="67" t="str">
        <f t="shared" si="5"/>
        <v/>
      </c>
      <c r="E305" s="41" t="str">
        <f t="array" ref="E305">IFERROR(INDEX(Kintoneデータ抽出!A:A, _xlfn.AGGREGATE(15, 6, ROW(Kintoneデータ抽出!$K$2:$K$5000) / ((Kintoneデータ抽出!$K$2:$K$5000="院内")), ROW(A268))), "")</f>
        <v/>
      </c>
      <c r="F305" s="43" t="str">
        <f t="array" ref="F305">IFERROR(INDEX(Kintoneデータ抽出!D:D, _xlfn.AGGREGATE(15, 6, ROW(Kintoneデータ抽出!$K$2:$K$5000) / ((Kintoneデータ抽出!$K$2:$K$5000="院内")), ROW(A268))), "")</f>
        <v/>
      </c>
      <c r="G305" s="43" t="str">
        <f t="array" ref="G305">IFERROR(INDEX(Kintoneデータ抽出!C:C, _xlfn.AGGREGATE(15, 6, ROW(Kintoneデータ抽出!$K$2:$K$5000) / ((Kintoneデータ抽出!$K$2:$K$5000="院内")), ROW(A268))), "")</f>
        <v/>
      </c>
      <c r="H305" s="41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2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3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1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1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1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7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4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6.6" customHeight="1" x14ac:dyDescent="0.45">
      <c r="B306" s="142"/>
      <c r="C306" s="143"/>
      <c r="D306" s="67" t="str">
        <f t="shared" si="5"/>
        <v/>
      </c>
      <c r="E306" s="41" t="str">
        <f t="array" ref="E306">IFERROR(INDEX(Kintoneデータ抽出!A:A, _xlfn.AGGREGATE(15, 6, ROW(Kintoneデータ抽出!$K$2:$K$5000) / ((Kintoneデータ抽出!$K$2:$K$5000="院内")), ROW(A269))), "")</f>
        <v/>
      </c>
      <c r="F306" s="43" t="str">
        <f t="array" ref="F306">IFERROR(INDEX(Kintoneデータ抽出!D:D, _xlfn.AGGREGATE(15, 6, ROW(Kintoneデータ抽出!$K$2:$K$5000) / ((Kintoneデータ抽出!$K$2:$K$5000="院内")), ROW(A269))), "")</f>
        <v/>
      </c>
      <c r="G306" s="43" t="str">
        <f t="array" ref="G306">IFERROR(INDEX(Kintoneデータ抽出!C:C, _xlfn.AGGREGATE(15, 6, ROW(Kintoneデータ抽出!$K$2:$K$5000) / ((Kintoneデータ抽出!$K$2:$K$5000="院内")), ROW(A269))), "")</f>
        <v/>
      </c>
      <c r="H306" s="41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2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3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1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1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1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7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4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6.6" customHeight="1" x14ac:dyDescent="0.45">
      <c r="B307" s="144"/>
      <c r="C307" s="145"/>
      <c r="D307" s="71" t="str">
        <f t="shared" si="5"/>
        <v/>
      </c>
      <c r="E307" s="45" t="str">
        <f t="array" ref="E307">IFERROR(INDEX(Kintoneデータ抽出!A:A, _xlfn.AGGREGATE(15, 6, ROW(Kintoneデータ抽出!$K$2:$K$5000) / ((Kintoneデータ抽出!$K$2:$K$5000="院内")), ROW(A270))), "")</f>
        <v/>
      </c>
      <c r="F307" s="47" t="str">
        <f t="array" ref="F307">IFERROR(INDEX(Kintoneデータ抽出!D:D, _xlfn.AGGREGATE(15, 6, ROW(Kintoneデータ抽出!$K$2:$K$5000) / ((Kintoneデータ抽出!$K$2:$K$5000="院内")), ROW(A270))), "")</f>
        <v/>
      </c>
      <c r="G307" s="47" t="str">
        <f t="array" ref="G307">IFERROR(INDEX(Kintoneデータ抽出!C:C, _xlfn.AGGREGATE(15, 6, ROW(Kintoneデータ抽出!$K$2:$K$5000) / ((Kintoneデータ抽出!$K$2:$K$5000="院内")), ROW(A270))), "")</f>
        <v/>
      </c>
      <c r="H307" s="45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6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7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5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5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5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8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8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6.6" customHeight="1" x14ac:dyDescent="0.45">
      <c r="B308" s="146"/>
      <c r="C308" s="146"/>
      <c r="D308" s="75"/>
      <c r="E308" s="75"/>
      <c r="F308" s="73"/>
      <c r="G308" s="73"/>
      <c r="H308" s="75"/>
      <c r="I308" s="74"/>
      <c r="J308" s="73"/>
      <c r="K308" s="75"/>
      <c r="L308" s="75"/>
      <c r="M308" s="75"/>
      <c r="N308" s="76"/>
      <c r="O308" s="75"/>
    </row>
    <row r="309" spans="2:15" ht="36.6" customHeight="1" x14ac:dyDescent="0.45">
      <c r="B309" s="140"/>
      <c r="C309" s="141"/>
      <c r="D309" s="77" t="s">
        <v>61</v>
      </c>
      <c r="E309" s="69"/>
      <c r="F309" s="69"/>
      <c r="G309" s="69"/>
      <c r="K309" s="72" t="s">
        <v>45</v>
      </c>
      <c r="L309" s="72">
        <f>J6</f>
        <v>0</v>
      </c>
      <c r="M309" s="30" t="s">
        <v>39</v>
      </c>
    </row>
    <row r="310" spans="2:15" ht="36.6" customHeight="1" x14ac:dyDescent="0.45">
      <c r="B310" s="78"/>
      <c r="C310" s="79"/>
      <c r="D310" s="68" t="s">
        <v>1129</v>
      </c>
      <c r="E310" s="29" t="s">
        <v>47</v>
      </c>
      <c r="F310" s="29" t="s">
        <v>1</v>
      </c>
      <c r="G310" s="29" t="s">
        <v>0</v>
      </c>
      <c r="H310" s="29" t="s">
        <v>48</v>
      </c>
      <c r="I310" s="34" t="s">
        <v>2</v>
      </c>
      <c r="J310" s="89" t="s">
        <v>49</v>
      </c>
      <c r="K310" s="90"/>
      <c r="L310" s="90"/>
      <c r="M310" s="90"/>
      <c r="N310" s="29"/>
      <c r="O310" s="31" t="s">
        <v>54</v>
      </c>
    </row>
    <row r="311" spans="2:15" ht="36.6" customHeight="1" x14ac:dyDescent="0.45">
      <c r="B311" s="147" t="s">
        <v>50</v>
      </c>
      <c r="C311" s="148"/>
      <c r="D311" s="70" t="str">
        <f>IF(G311&lt;&gt;"",D307+1,D307)</f>
        <v/>
      </c>
      <c r="E311" s="50" t="str">
        <f t="array" ref="E311">IFERROR(INDEX(Kintoneデータ抽出!A:A, _xlfn.AGGREGATE(15, 6, ROW(Kintoneデータ抽出!$K$2:$K$5000) / ((Kintoneデータ抽出!$K$2:$K$5000="企業内")), ROW(A1))), "")</f>
        <v/>
      </c>
      <c r="F311" s="51" t="str">
        <f t="array" ref="F311">IFERROR(INDEX(Kintoneデータ抽出!D:D,_xlfn.AGGREGATE(15,6,ROW(Kintoneデータ抽出!$K$2:$K$5000)/((Kintoneデータ抽出!$K$2:$K$5000="企業内")),ROW(A1))),"")</f>
        <v/>
      </c>
      <c r="G311" s="50" t="str">
        <f t="array" ref="G311">IFERROR(INDEX(Kintoneデータ抽出!C:C, _xlfn.AGGREGATE(15, 6, ROW(Kintoneデータ抽出!$K$2:$K$5000) / ((Kintoneデータ抽出!$K$2:$K$5000="企業内")), ROW(A1))), "")</f>
        <v/>
      </c>
      <c r="H311" s="37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8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9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7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7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7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7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40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6.6" customHeight="1" x14ac:dyDescent="0.45">
      <c r="B312" s="133"/>
      <c r="C312" s="134"/>
      <c r="D312" s="67" t="str">
        <f t="shared" ref="D312:D343" si="6">IF(G312&lt;&gt;"",D311+1,D311)</f>
        <v/>
      </c>
      <c r="E312" s="52" t="str">
        <f t="array" ref="E312">IFERROR(INDEX(Kintoneデータ抽出!A:A, _xlfn.AGGREGATE(15, 6, ROW(Kintoneデータ抽出!$K$2:$K$5000) / ((Kintoneデータ抽出!$K$2:$K$5000="企業内")), ROW(A2))), "")</f>
        <v/>
      </c>
      <c r="F312" s="53" t="str">
        <f t="array" ref="F312">IFERROR(INDEX(Kintoneデータ抽出!D:D,_xlfn.AGGREGATE(15,6,ROW(Kintoneデータ抽出!$K$2:$K$5000)/((Kintoneデータ抽出!$K$2:$K$5000="企業内")),ROW(A2))),"")</f>
        <v/>
      </c>
      <c r="G312" s="52" t="str">
        <f t="array" ref="G312">IFERROR(INDEX(Kintoneデータ抽出!C:C, _xlfn.AGGREGATE(15, 6, ROW(Kintoneデータ抽出!$K$2:$K$5000) / ((Kintoneデータ抽出!$K$2:$K$5000="企業内")), ROW(A2))), "")</f>
        <v/>
      </c>
      <c r="H312" s="41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2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3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1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1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1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1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4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6.6" customHeight="1" x14ac:dyDescent="0.45">
      <c r="B313" s="133"/>
      <c r="C313" s="134"/>
      <c r="D313" s="67" t="str">
        <f t="shared" si="6"/>
        <v/>
      </c>
      <c r="E313" s="52" t="str">
        <f t="array" ref="E313">IFERROR(INDEX(Kintoneデータ抽出!A:A, _xlfn.AGGREGATE(15, 6, ROW(Kintoneデータ抽出!$K$2:$K$5000) / ((Kintoneデータ抽出!$K$2:$K$5000="企業内")), ROW(A3))), "")</f>
        <v/>
      </c>
      <c r="F313" s="53" t="str">
        <f t="array" ref="F313">IFERROR(INDEX(Kintoneデータ抽出!D:D,_xlfn.AGGREGATE(15,6,ROW(Kintoneデータ抽出!$K$2:$K$5000)/((Kintoneデータ抽出!$K$2:$K$5000="企業内")),ROW(A3))),"")</f>
        <v/>
      </c>
      <c r="G313" s="52" t="str">
        <f t="array" ref="G313">IFERROR(INDEX(Kintoneデータ抽出!C:C, _xlfn.AGGREGATE(15, 6, ROW(Kintoneデータ抽出!$K$2:$K$5000) / ((Kintoneデータ抽出!$K$2:$K$5000="企業内")), ROW(A3))), "")</f>
        <v/>
      </c>
      <c r="H313" s="41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2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3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1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1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1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1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4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6.6" customHeight="1" x14ac:dyDescent="0.45">
      <c r="B314" s="133"/>
      <c r="C314" s="134"/>
      <c r="D314" s="67" t="str">
        <f t="shared" si="6"/>
        <v/>
      </c>
      <c r="E314" s="52" t="str">
        <f t="array" ref="E314">IFERROR(INDEX(Kintoneデータ抽出!A:A, _xlfn.AGGREGATE(15, 6, ROW(Kintoneデータ抽出!$K$2:$K$5000) / ((Kintoneデータ抽出!$K$2:$K$5000="企業内")), ROW(A4))), "")</f>
        <v/>
      </c>
      <c r="F314" s="53" t="str">
        <f t="array" ref="F314">IFERROR(INDEX(Kintoneデータ抽出!D:D,_xlfn.AGGREGATE(15,6,ROW(Kintoneデータ抽出!$K$2:$K$5000)/((Kintoneデータ抽出!$K$2:$K$5000="企業内")),ROW(A4))),"")</f>
        <v/>
      </c>
      <c r="G314" s="52" t="str">
        <f t="array" ref="G314">IFERROR(INDEX(Kintoneデータ抽出!C:C, _xlfn.AGGREGATE(15, 6, ROW(Kintoneデータ抽出!$K$2:$K$5000) / ((Kintoneデータ抽出!$K$2:$K$5000="企業内")), ROW(A4))), "")</f>
        <v/>
      </c>
      <c r="H314" s="41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2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3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1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1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1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1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4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6.6" customHeight="1" x14ac:dyDescent="0.45">
      <c r="B315" s="133"/>
      <c r="C315" s="134"/>
      <c r="D315" s="67" t="str">
        <f t="shared" si="6"/>
        <v/>
      </c>
      <c r="E315" s="52" t="str">
        <f t="array" ref="E315">IFERROR(INDEX(Kintoneデータ抽出!A:A, _xlfn.AGGREGATE(15, 6, ROW(Kintoneデータ抽出!$K$2:$K$5000) / ((Kintoneデータ抽出!$K$2:$K$5000="企業内")), ROW(A5))), "")</f>
        <v/>
      </c>
      <c r="F315" s="53" t="str">
        <f t="array" ref="F315">IFERROR(INDEX(Kintoneデータ抽出!D:D,_xlfn.AGGREGATE(15,6,ROW(Kintoneデータ抽出!$K$2:$K$5000)/((Kintoneデータ抽出!$K$2:$K$5000="企業内")),ROW(A5))),"")</f>
        <v/>
      </c>
      <c r="G315" s="52" t="str">
        <f t="array" ref="G315">IFERROR(INDEX(Kintoneデータ抽出!C:C, _xlfn.AGGREGATE(15, 6, ROW(Kintoneデータ抽出!$K$2:$K$5000) / ((Kintoneデータ抽出!$K$2:$K$5000="企業内")), ROW(A5))), "")</f>
        <v/>
      </c>
      <c r="H315" s="41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2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3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1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1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1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1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4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6.6" customHeight="1" x14ac:dyDescent="0.45">
      <c r="B316" s="142" t="s">
        <v>51</v>
      </c>
      <c r="C316" s="143"/>
      <c r="D316" s="67" t="str">
        <f t="shared" si="6"/>
        <v/>
      </c>
      <c r="E316" s="52" t="str">
        <f t="array" ref="E316">IFERROR(INDEX(Kintoneデータ抽出!A:A, _xlfn.AGGREGATE(15, 6, ROW(Kintoneデータ抽出!$K$2:$K$5000) / ((Kintoneデータ抽出!$K$2:$K$5000="企業内")), ROW(A6))), "")</f>
        <v/>
      </c>
      <c r="F316" s="53" t="str">
        <f t="array" ref="F316">IFERROR(INDEX(Kintoneデータ抽出!D:D,_xlfn.AGGREGATE(15,6,ROW(Kintoneデータ抽出!$K$2:$K$5000)/((Kintoneデータ抽出!$K$2:$K$5000="企業内")),ROW(A6))),"")</f>
        <v/>
      </c>
      <c r="G316" s="52" t="str">
        <f t="array" ref="G316">IFERROR(INDEX(Kintoneデータ抽出!C:C, _xlfn.AGGREGATE(15, 6, ROW(Kintoneデータ抽出!$K$2:$K$5000) / ((Kintoneデータ抽出!$K$2:$K$5000="企業内")), ROW(A6))), "")</f>
        <v/>
      </c>
      <c r="H316" s="41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2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3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1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1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1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1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4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6.6" customHeight="1" x14ac:dyDescent="0.45">
      <c r="B317" s="142"/>
      <c r="C317" s="143"/>
      <c r="D317" s="67" t="str">
        <f t="shared" si="6"/>
        <v/>
      </c>
      <c r="E317" s="52" t="str">
        <f t="array" ref="E317">IFERROR(INDEX(Kintoneデータ抽出!A:A, _xlfn.AGGREGATE(15, 6, ROW(Kintoneデータ抽出!$K$2:$K$5000) / ((Kintoneデータ抽出!$K$2:$K$5000="企業内")), ROW(A7))), "")</f>
        <v/>
      </c>
      <c r="F317" s="53" t="str">
        <f t="array" ref="F317">IFERROR(INDEX(Kintoneデータ抽出!D:D,_xlfn.AGGREGATE(15,6,ROW(Kintoneデータ抽出!$K$2:$K$5000)/((Kintoneデータ抽出!$K$2:$K$5000="企業内")),ROW(A7))),"")</f>
        <v/>
      </c>
      <c r="G317" s="52" t="str">
        <f t="array" ref="G317">IFERROR(INDEX(Kintoneデータ抽出!C:C, _xlfn.AGGREGATE(15, 6, ROW(Kintoneデータ抽出!$K$2:$K$5000) / ((Kintoneデータ抽出!$K$2:$K$5000="企業内")), ROW(A7))), "")</f>
        <v/>
      </c>
      <c r="H317" s="41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2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3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1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1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1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1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4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6.6" customHeight="1" x14ac:dyDescent="0.45">
      <c r="B318" s="142"/>
      <c r="C318" s="143"/>
      <c r="D318" s="67" t="str">
        <f t="shared" si="6"/>
        <v/>
      </c>
      <c r="E318" s="52" t="str">
        <f t="array" ref="E318">IFERROR(INDEX(Kintoneデータ抽出!A:A, _xlfn.AGGREGATE(15, 6, ROW(Kintoneデータ抽出!$K$2:$K$5000) / ((Kintoneデータ抽出!$K$2:$K$5000="企業内")), ROW(A8))), "")</f>
        <v/>
      </c>
      <c r="F318" s="53" t="str">
        <f t="array" ref="F318">IFERROR(INDEX(Kintoneデータ抽出!D:D,_xlfn.AGGREGATE(15,6,ROW(Kintoneデータ抽出!$K$2:$K$5000)/((Kintoneデータ抽出!$K$2:$K$5000="企業内")),ROW(A8))),"")</f>
        <v/>
      </c>
      <c r="G318" s="52" t="str">
        <f t="array" ref="G318">IFERROR(INDEX(Kintoneデータ抽出!C:C, _xlfn.AGGREGATE(15, 6, ROW(Kintoneデータ抽出!$K$2:$K$5000) / ((Kintoneデータ抽出!$K$2:$K$5000="企業内")), ROW(A8))), "")</f>
        <v/>
      </c>
      <c r="H318" s="41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2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3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1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1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1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1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4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6.6" customHeight="1" x14ac:dyDescent="0.45">
      <c r="B319" s="142"/>
      <c r="C319" s="143"/>
      <c r="D319" s="67" t="str">
        <f t="shared" si="6"/>
        <v/>
      </c>
      <c r="E319" s="52" t="str">
        <f t="array" ref="E319">IFERROR(INDEX(Kintoneデータ抽出!A:A, _xlfn.AGGREGATE(15, 6, ROW(Kintoneデータ抽出!$K$2:$K$5000) / ((Kintoneデータ抽出!$K$2:$K$5000="企業内")), ROW(A9))), "")</f>
        <v/>
      </c>
      <c r="F319" s="53" t="str">
        <f t="array" ref="F319">IFERROR(INDEX(Kintoneデータ抽出!D:D,_xlfn.AGGREGATE(15,6,ROW(Kintoneデータ抽出!$K$2:$K$5000)/((Kintoneデータ抽出!$K$2:$K$5000="企業内")),ROW(A9))),"")</f>
        <v/>
      </c>
      <c r="G319" s="52" t="str">
        <f t="array" ref="G319">IFERROR(INDEX(Kintoneデータ抽出!C:C, _xlfn.AGGREGATE(15, 6, ROW(Kintoneデータ抽出!$K$2:$K$5000) / ((Kintoneデータ抽出!$K$2:$K$5000="企業内")), ROW(A9))), "")</f>
        <v/>
      </c>
      <c r="H319" s="41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2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3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1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1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1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1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4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6.6" customHeight="1" x14ac:dyDescent="0.45">
      <c r="B320" s="142"/>
      <c r="C320" s="143"/>
      <c r="D320" s="67" t="str">
        <f t="shared" si="6"/>
        <v/>
      </c>
      <c r="E320" s="52" t="str">
        <f t="array" ref="E320">IFERROR(INDEX(Kintoneデータ抽出!A:A, _xlfn.AGGREGATE(15, 6, ROW(Kintoneデータ抽出!$K$2:$K$5000) / ((Kintoneデータ抽出!$K$2:$K$5000="企業内")), ROW(A10))), "")</f>
        <v/>
      </c>
      <c r="F320" s="53" t="str">
        <f t="array" ref="F320">IFERROR(INDEX(Kintoneデータ抽出!D:D,_xlfn.AGGREGATE(15,6,ROW(Kintoneデータ抽出!$K$2:$K$5000)/((Kintoneデータ抽出!$K$2:$K$5000="企業内")),ROW(A10))),"")</f>
        <v/>
      </c>
      <c r="G320" s="52" t="str">
        <f t="array" ref="G320">IFERROR(INDEX(Kintoneデータ抽出!C:C, _xlfn.AGGREGATE(15, 6, ROW(Kintoneデータ抽出!$K$2:$K$5000) / ((Kintoneデータ抽出!$K$2:$K$5000="企業内")), ROW(A10))), "")</f>
        <v/>
      </c>
      <c r="H320" s="41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2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3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1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1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1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1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4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6.6" customHeight="1" x14ac:dyDescent="0.45">
      <c r="B321" s="142"/>
      <c r="C321" s="143"/>
      <c r="D321" s="67" t="str">
        <f t="shared" si="6"/>
        <v/>
      </c>
      <c r="E321" s="52" t="str">
        <f t="array" ref="E321">IFERROR(INDEX(Kintoneデータ抽出!A:A, _xlfn.AGGREGATE(15, 6, ROW(Kintoneデータ抽出!$K$2:$K$5000) / ((Kintoneデータ抽出!$K$2:$K$5000="企業内")), ROW(A11))), "")</f>
        <v/>
      </c>
      <c r="F321" s="53" t="str">
        <f t="array" ref="F321">IFERROR(INDEX(Kintoneデータ抽出!D:D,_xlfn.AGGREGATE(15,6,ROW(Kintoneデータ抽出!$K$2:$K$5000)/((Kintoneデータ抽出!$K$2:$K$5000="企業内")),ROW(A11))),"")</f>
        <v/>
      </c>
      <c r="G321" s="52" t="str">
        <f t="array" ref="G321">IFERROR(INDEX(Kintoneデータ抽出!C:C, _xlfn.AGGREGATE(15, 6, ROW(Kintoneデータ抽出!$K$2:$K$5000) / ((Kintoneデータ抽出!$K$2:$K$5000="企業内")), ROW(A11))), "")</f>
        <v/>
      </c>
      <c r="H321" s="41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2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3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1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1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1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1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4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6.6" customHeight="1" x14ac:dyDescent="0.45">
      <c r="B322" s="142"/>
      <c r="C322" s="143"/>
      <c r="D322" s="67" t="str">
        <f t="shared" si="6"/>
        <v/>
      </c>
      <c r="E322" s="52" t="str">
        <f t="array" ref="E322">IFERROR(INDEX(Kintoneデータ抽出!A:A, _xlfn.AGGREGATE(15, 6, ROW(Kintoneデータ抽出!$K$2:$K$5000) / ((Kintoneデータ抽出!$K$2:$K$5000="企業内")), ROW(A12))), "")</f>
        <v/>
      </c>
      <c r="F322" s="53" t="str">
        <f t="array" ref="F322">IFERROR(INDEX(Kintoneデータ抽出!D:D,_xlfn.AGGREGATE(15,6,ROW(Kintoneデータ抽出!$K$2:$K$5000)/((Kintoneデータ抽出!$K$2:$K$5000="企業内")),ROW(A12))),"")</f>
        <v/>
      </c>
      <c r="G322" s="52" t="str">
        <f t="array" ref="G322">IFERROR(INDEX(Kintoneデータ抽出!C:C, _xlfn.AGGREGATE(15, 6, ROW(Kintoneデータ抽出!$K$2:$K$5000) / ((Kintoneデータ抽出!$K$2:$K$5000="企業内")), ROW(A12))), "")</f>
        <v/>
      </c>
      <c r="H322" s="41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2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3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1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1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1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1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4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6.6" customHeight="1" x14ac:dyDescent="0.45">
      <c r="B323" s="142"/>
      <c r="C323" s="143"/>
      <c r="D323" s="67" t="str">
        <f t="shared" si="6"/>
        <v/>
      </c>
      <c r="E323" s="52" t="str">
        <f t="array" ref="E323">IFERROR(INDEX(Kintoneデータ抽出!A:A, _xlfn.AGGREGATE(15, 6, ROW(Kintoneデータ抽出!$K$2:$K$5000) / ((Kintoneデータ抽出!$K$2:$K$5000="企業内")), ROW(A13))), "")</f>
        <v/>
      </c>
      <c r="F323" s="53" t="str">
        <f t="array" ref="F323">IFERROR(INDEX(Kintoneデータ抽出!D:D,_xlfn.AGGREGATE(15,6,ROW(Kintoneデータ抽出!$K$2:$K$5000)/((Kintoneデータ抽出!$K$2:$K$5000="企業内")),ROW(A13))),"")</f>
        <v/>
      </c>
      <c r="G323" s="52" t="str">
        <f t="array" ref="G323">IFERROR(INDEX(Kintoneデータ抽出!C:C, _xlfn.AGGREGATE(15, 6, ROW(Kintoneデータ抽出!$K$2:$K$5000) / ((Kintoneデータ抽出!$K$2:$K$5000="企業内")), ROW(A13))), "")</f>
        <v/>
      </c>
      <c r="H323" s="41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2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3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1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1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1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1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4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6.6" customHeight="1" x14ac:dyDescent="0.45">
      <c r="B324" s="142"/>
      <c r="C324" s="143"/>
      <c r="D324" s="67" t="str">
        <f t="shared" si="6"/>
        <v/>
      </c>
      <c r="E324" s="52" t="str">
        <f t="array" ref="E324">IFERROR(INDEX(Kintoneデータ抽出!A:A, _xlfn.AGGREGATE(15, 6, ROW(Kintoneデータ抽出!$K$2:$K$5000) / ((Kintoneデータ抽出!$K$2:$K$5000="企業内")), ROW(A14))), "")</f>
        <v/>
      </c>
      <c r="F324" s="53" t="str">
        <f t="array" ref="F324">IFERROR(INDEX(Kintoneデータ抽出!D:D,_xlfn.AGGREGATE(15,6,ROW(Kintoneデータ抽出!$K$2:$K$5000)/((Kintoneデータ抽出!$K$2:$K$5000="企業内")),ROW(A14))),"")</f>
        <v/>
      </c>
      <c r="G324" s="52" t="str">
        <f t="array" ref="G324">IFERROR(INDEX(Kintoneデータ抽出!C:C, _xlfn.AGGREGATE(15, 6, ROW(Kintoneデータ抽出!$K$2:$K$5000) / ((Kintoneデータ抽出!$K$2:$K$5000="企業内")), ROW(A14))), "")</f>
        <v/>
      </c>
      <c r="H324" s="41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2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3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1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1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1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1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4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6.6" customHeight="1" x14ac:dyDescent="0.45">
      <c r="B325" s="142"/>
      <c r="C325" s="143"/>
      <c r="D325" s="67" t="str">
        <f t="shared" si="6"/>
        <v/>
      </c>
      <c r="E325" s="52" t="str">
        <f t="array" ref="E325">IFERROR(INDEX(Kintoneデータ抽出!A:A, _xlfn.AGGREGATE(15, 6, ROW(Kintoneデータ抽出!$K$2:$K$5000) / ((Kintoneデータ抽出!$K$2:$K$5000="企業内")), ROW(A15))), "")</f>
        <v/>
      </c>
      <c r="F325" s="53" t="str">
        <f t="array" ref="F325">IFERROR(INDEX(Kintoneデータ抽出!D:D,_xlfn.AGGREGATE(15,6,ROW(Kintoneデータ抽出!$K$2:$K$5000)/((Kintoneデータ抽出!$K$2:$K$5000="企業内")),ROW(A15))),"")</f>
        <v/>
      </c>
      <c r="G325" s="52" t="str">
        <f t="array" ref="G325">IFERROR(INDEX(Kintoneデータ抽出!C:C, _xlfn.AGGREGATE(15, 6, ROW(Kintoneデータ抽出!$K$2:$K$5000) / ((Kintoneデータ抽出!$K$2:$K$5000="企業内")), ROW(A15))), "")</f>
        <v/>
      </c>
      <c r="H325" s="41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2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3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1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1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1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1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4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6.6" customHeight="1" x14ac:dyDescent="0.45">
      <c r="B326" s="142"/>
      <c r="C326" s="143"/>
      <c r="D326" s="67" t="str">
        <f t="shared" si="6"/>
        <v/>
      </c>
      <c r="E326" s="52" t="str">
        <f t="array" ref="E326">IFERROR(INDEX(Kintoneデータ抽出!A:A, _xlfn.AGGREGATE(15, 6, ROW(Kintoneデータ抽出!$K$2:$K$5000) / ((Kintoneデータ抽出!$K$2:$K$5000="企業内")), ROW(A16))), "")</f>
        <v/>
      </c>
      <c r="F326" s="53" t="str">
        <f t="array" ref="F326">IFERROR(INDEX(Kintoneデータ抽出!D:D,_xlfn.AGGREGATE(15,6,ROW(Kintoneデータ抽出!$K$2:$K$5000)/((Kintoneデータ抽出!$K$2:$K$5000="企業内")),ROW(A16))),"")</f>
        <v/>
      </c>
      <c r="G326" s="52" t="str">
        <f t="array" ref="G326">IFERROR(INDEX(Kintoneデータ抽出!C:C, _xlfn.AGGREGATE(15, 6, ROW(Kintoneデータ抽出!$K$2:$K$5000) / ((Kintoneデータ抽出!$K$2:$K$5000="企業内")), ROW(A16))), "")</f>
        <v/>
      </c>
      <c r="H326" s="41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2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3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1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1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1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1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4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6.6" customHeight="1" x14ac:dyDescent="0.45">
      <c r="B327" s="142"/>
      <c r="C327" s="143"/>
      <c r="D327" s="67" t="str">
        <f t="shared" si="6"/>
        <v/>
      </c>
      <c r="E327" s="52" t="str">
        <f t="array" ref="E327">IFERROR(INDEX(Kintoneデータ抽出!A:A, _xlfn.AGGREGATE(15, 6, ROW(Kintoneデータ抽出!$K$2:$K$5000) / ((Kintoneデータ抽出!$K$2:$K$5000="企業内")), ROW(A17))), "")</f>
        <v/>
      </c>
      <c r="F327" s="53" t="str">
        <f t="array" ref="F327">IFERROR(INDEX(Kintoneデータ抽出!D:D,_xlfn.AGGREGATE(15,6,ROW(Kintoneデータ抽出!$K$2:$K$5000)/((Kintoneデータ抽出!$K$2:$K$5000="企業内")),ROW(A17))),"")</f>
        <v/>
      </c>
      <c r="G327" s="52" t="str">
        <f t="array" ref="G327">IFERROR(INDEX(Kintoneデータ抽出!C:C, _xlfn.AGGREGATE(15, 6, ROW(Kintoneデータ抽出!$K$2:$K$5000) / ((Kintoneデータ抽出!$K$2:$K$5000="企業内")), ROW(A17))), "")</f>
        <v/>
      </c>
      <c r="H327" s="41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2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3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1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1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1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1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4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6.6" customHeight="1" x14ac:dyDescent="0.45">
      <c r="B328" s="142"/>
      <c r="C328" s="143"/>
      <c r="D328" s="67" t="str">
        <f t="shared" si="6"/>
        <v/>
      </c>
      <c r="E328" s="52" t="str">
        <f t="array" ref="E328">IFERROR(INDEX(Kintoneデータ抽出!A:A, _xlfn.AGGREGATE(15, 6, ROW(Kintoneデータ抽出!$K$2:$K$5000) / ((Kintoneデータ抽出!$K$2:$K$5000="企業内")), ROW(A18))), "")</f>
        <v/>
      </c>
      <c r="F328" s="53" t="str">
        <f t="array" ref="F328">IFERROR(INDEX(Kintoneデータ抽出!D:D,_xlfn.AGGREGATE(15,6,ROW(Kintoneデータ抽出!$K$2:$K$5000)/((Kintoneデータ抽出!$K$2:$K$5000="企業内")),ROW(A18))),"")</f>
        <v/>
      </c>
      <c r="G328" s="52" t="str">
        <f t="array" ref="G328">IFERROR(INDEX(Kintoneデータ抽出!C:C, _xlfn.AGGREGATE(15, 6, ROW(Kintoneデータ抽出!$K$2:$K$5000) / ((Kintoneデータ抽出!$K$2:$K$5000="企業内")), ROW(A18))), "")</f>
        <v/>
      </c>
      <c r="H328" s="41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2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3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1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1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1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1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4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6.6" customHeight="1" x14ac:dyDescent="0.45">
      <c r="B329" s="142"/>
      <c r="C329" s="143"/>
      <c r="D329" s="67" t="str">
        <f t="shared" si="6"/>
        <v/>
      </c>
      <c r="E329" s="52" t="str">
        <f t="array" ref="E329">IFERROR(INDEX(Kintoneデータ抽出!A:A, _xlfn.AGGREGATE(15, 6, ROW(Kintoneデータ抽出!$K$2:$K$5000) / ((Kintoneデータ抽出!$K$2:$K$5000="企業内")), ROW(A21))), "")</f>
        <v/>
      </c>
      <c r="F329" s="53" t="str">
        <f t="array" ref="F329">IFERROR(INDEX(Kintoneデータ抽出!D:D,_xlfn.AGGREGATE(15,6,ROW(Kintoneデータ抽出!$K$2:$K$5000)/((Kintoneデータ抽出!$K$2:$K$5000="企業内")),ROW(A21))),"")</f>
        <v/>
      </c>
      <c r="G329" s="52" t="str">
        <f t="array" ref="G329">IFERROR(INDEX(Kintoneデータ抽出!C:C, _xlfn.AGGREGATE(15, 6, ROW(Kintoneデータ抽出!$K$2:$K$5000) / ((Kintoneデータ抽出!$K$2:$K$5000="企業内")), ROW(A21))), "")</f>
        <v/>
      </c>
      <c r="H329" s="41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2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3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1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1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1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1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4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6.6" customHeight="1" x14ac:dyDescent="0.45">
      <c r="B330" s="142"/>
      <c r="C330" s="143"/>
      <c r="D330" s="67" t="str">
        <f t="shared" si="6"/>
        <v/>
      </c>
      <c r="E330" s="52" t="str">
        <f t="array" ref="E330">IFERROR(INDEX(Kintoneデータ抽出!A:A, _xlfn.AGGREGATE(15, 6, ROW(Kintoneデータ抽出!$K$2:$K$5000) / ((Kintoneデータ抽出!$K$2:$K$5000="企業内")), ROW(A22))), "")</f>
        <v/>
      </c>
      <c r="F330" s="53" t="str">
        <f t="array" ref="F330">IFERROR(INDEX(Kintoneデータ抽出!D:D,_xlfn.AGGREGATE(15,6,ROW(Kintoneデータ抽出!$K$2:$K$5000)/((Kintoneデータ抽出!$K$2:$K$5000="企業内")),ROW(A22))),"")</f>
        <v/>
      </c>
      <c r="G330" s="52" t="str">
        <f t="array" ref="G330">IFERROR(INDEX(Kintoneデータ抽出!C:C, _xlfn.AGGREGATE(15, 6, ROW(Kintoneデータ抽出!$K$2:$K$5000) / ((Kintoneデータ抽出!$K$2:$K$5000="企業内")), ROW(A22))), "")</f>
        <v/>
      </c>
      <c r="H330" s="41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2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3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1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1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1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1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4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6.6" customHeight="1" x14ac:dyDescent="0.45">
      <c r="B331" s="142"/>
      <c r="C331" s="143"/>
      <c r="D331" s="67" t="str">
        <f t="shared" si="6"/>
        <v/>
      </c>
      <c r="E331" s="52" t="str">
        <f t="array" ref="E331">IFERROR(INDEX(Kintoneデータ抽出!A:A, _xlfn.AGGREGATE(15, 6, ROW(Kintoneデータ抽出!$K$2:$K$5000) / ((Kintoneデータ抽出!$K$2:$K$5000="企業内")), ROW(A23))), "")</f>
        <v/>
      </c>
      <c r="F331" s="53" t="str">
        <f t="array" ref="F331">IFERROR(INDEX(Kintoneデータ抽出!D:D,_xlfn.AGGREGATE(15,6,ROW(Kintoneデータ抽出!$K$2:$K$5000)/((Kintoneデータ抽出!$K$2:$K$5000="企業内")),ROW(A23))),"")</f>
        <v/>
      </c>
      <c r="G331" s="52" t="str">
        <f t="array" ref="G331">IFERROR(INDEX(Kintoneデータ抽出!C:C, _xlfn.AGGREGATE(15, 6, ROW(Kintoneデータ抽出!$K$2:$K$5000) / ((Kintoneデータ抽出!$K$2:$K$5000="企業内")), ROW(A23))), "")</f>
        <v/>
      </c>
      <c r="H331" s="41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2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3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1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1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1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1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4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6.6" customHeight="1" x14ac:dyDescent="0.45">
      <c r="B332" s="142"/>
      <c r="C332" s="143"/>
      <c r="D332" s="67" t="str">
        <f t="shared" si="6"/>
        <v/>
      </c>
      <c r="E332" s="52" t="str">
        <f t="array" ref="E332">IFERROR(INDEX(Kintoneデータ抽出!A:A, _xlfn.AGGREGATE(15, 6, ROW(Kintoneデータ抽出!$K$2:$K$5000) / ((Kintoneデータ抽出!$K$2:$K$5000="企業内")), ROW(A24))), "")</f>
        <v/>
      </c>
      <c r="F332" s="53" t="str">
        <f t="array" ref="F332">IFERROR(INDEX(Kintoneデータ抽出!D:D,_xlfn.AGGREGATE(15,6,ROW(Kintoneデータ抽出!$K$2:$K$5000)/((Kintoneデータ抽出!$K$2:$K$5000="企業内")),ROW(A24))),"")</f>
        <v/>
      </c>
      <c r="G332" s="52" t="str">
        <f t="array" ref="G332">IFERROR(INDEX(Kintoneデータ抽出!C:C, _xlfn.AGGREGATE(15, 6, ROW(Kintoneデータ抽出!$K$2:$K$5000) / ((Kintoneデータ抽出!$K$2:$K$5000="企業内")), ROW(A24))), "")</f>
        <v/>
      </c>
      <c r="H332" s="41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2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3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1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1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1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1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4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6.6" customHeight="1" x14ac:dyDescent="0.45">
      <c r="B333" s="142"/>
      <c r="C333" s="143"/>
      <c r="D333" s="67" t="str">
        <f t="shared" si="6"/>
        <v/>
      </c>
      <c r="E333" s="52" t="str">
        <f t="array" ref="E333">IFERROR(INDEX(Kintoneデータ抽出!A:A, _xlfn.AGGREGATE(15, 6, ROW(Kintoneデータ抽出!$K$2:$K$5000) / ((Kintoneデータ抽出!$K$2:$K$5000="企業内")), ROW(A25))), "")</f>
        <v/>
      </c>
      <c r="F333" s="53" t="str">
        <f t="array" ref="F333">IFERROR(INDEX(Kintoneデータ抽出!D:D,_xlfn.AGGREGATE(15,6,ROW(Kintoneデータ抽出!$K$2:$K$5000)/((Kintoneデータ抽出!$K$2:$K$5000="企業内")),ROW(A25))),"")</f>
        <v/>
      </c>
      <c r="G333" s="52" t="str">
        <f t="array" ref="G333">IFERROR(INDEX(Kintoneデータ抽出!C:C, _xlfn.AGGREGATE(15, 6, ROW(Kintoneデータ抽出!$K$2:$K$5000) / ((Kintoneデータ抽出!$K$2:$K$5000="企業内")), ROW(A25))), "")</f>
        <v/>
      </c>
      <c r="H333" s="41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2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3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1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1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1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1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4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6.6" customHeight="1" x14ac:dyDescent="0.45">
      <c r="B334" s="142"/>
      <c r="C334" s="143"/>
      <c r="D334" s="67" t="str">
        <f t="shared" si="6"/>
        <v/>
      </c>
      <c r="E334" s="52" t="str">
        <f t="array" ref="E334">IFERROR(INDEX(Kintoneデータ抽出!A:A, _xlfn.AGGREGATE(15, 6, ROW(Kintoneデータ抽出!$K$2:$K$5000) / ((Kintoneデータ抽出!$K$2:$K$5000="企業内")), ROW(A26))), "")</f>
        <v/>
      </c>
      <c r="F334" s="53" t="str">
        <f t="array" ref="F334">IFERROR(INDEX(Kintoneデータ抽出!D:D,_xlfn.AGGREGATE(15,6,ROW(Kintoneデータ抽出!$K$2:$K$5000)/((Kintoneデータ抽出!$K$2:$K$5000="企業内")),ROW(A26))),"")</f>
        <v/>
      </c>
      <c r="G334" s="52" t="str">
        <f t="array" ref="G334">IFERROR(INDEX(Kintoneデータ抽出!C:C, _xlfn.AGGREGATE(15, 6, ROW(Kintoneデータ抽出!$K$2:$K$5000) / ((Kintoneデータ抽出!$K$2:$K$5000="企業内")), ROW(A26))), "")</f>
        <v/>
      </c>
      <c r="H334" s="41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2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3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1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1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1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1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4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6.6" customHeight="1" x14ac:dyDescent="0.45">
      <c r="B335" s="142"/>
      <c r="C335" s="143"/>
      <c r="D335" s="67" t="str">
        <f t="shared" si="6"/>
        <v/>
      </c>
      <c r="E335" s="52" t="str">
        <f t="array" ref="E335">IFERROR(INDEX(Kintoneデータ抽出!A:A, _xlfn.AGGREGATE(15, 6, ROW(Kintoneデータ抽出!$K$2:$K$5000) / ((Kintoneデータ抽出!$K$2:$K$5000="企業内")), ROW(A27))), "")</f>
        <v/>
      </c>
      <c r="F335" s="53" t="str">
        <f t="array" ref="F335">IFERROR(INDEX(Kintoneデータ抽出!D:D,_xlfn.AGGREGATE(15,6,ROW(Kintoneデータ抽出!$K$2:$K$5000)/((Kintoneデータ抽出!$K$2:$K$5000="企業内")),ROW(A27))),"")</f>
        <v/>
      </c>
      <c r="G335" s="52" t="str">
        <f t="array" ref="G335">IFERROR(INDEX(Kintoneデータ抽出!C:C, _xlfn.AGGREGATE(15, 6, ROW(Kintoneデータ抽出!$K$2:$K$5000) / ((Kintoneデータ抽出!$K$2:$K$5000="企業内")), ROW(A27))), "")</f>
        <v/>
      </c>
      <c r="H335" s="41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2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3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1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1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1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1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4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6.6" customHeight="1" x14ac:dyDescent="0.45">
      <c r="B336" s="142"/>
      <c r="C336" s="143"/>
      <c r="D336" s="67" t="str">
        <f t="shared" si="6"/>
        <v/>
      </c>
      <c r="E336" s="52" t="str">
        <f t="array" ref="E336">IFERROR(INDEX(Kintoneデータ抽出!A:A, _xlfn.AGGREGATE(15, 6, ROW(Kintoneデータ抽出!$K$2:$K$5000) / ((Kintoneデータ抽出!$K$2:$K$5000="企業内")), ROW(A28))), "")</f>
        <v/>
      </c>
      <c r="F336" s="53" t="str">
        <f t="array" ref="F336">IFERROR(INDEX(Kintoneデータ抽出!D:D,_xlfn.AGGREGATE(15,6,ROW(Kintoneデータ抽出!$K$2:$K$5000)/((Kintoneデータ抽出!$K$2:$K$5000="企業内")),ROW(A28))),"")</f>
        <v/>
      </c>
      <c r="G336" s="52" t="str">
        <f t="array" ref="G336">IFERROR(INDEX(Kintoneデータ抽出!C:C, _xlfn.AGGREGATE(15, 6, ROW(Kintoneデータ抽出!$K$2:$K$5000) / ((Kintoneデータ抽出!$K$2:$K$5000="企業内")), ROW(A28))), "")</f>
        <v/>
      </c>
      <c r="H336" s="41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2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3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1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1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1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1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4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6.6" customHeight="1" x14ac:dyDescent="0.45">
      <c r="B337" s="142"/>
      <c r="C337" s="143"/>
      <c r="D337" s="67" t="str">
        <f t="shared" si="6"/>
        <v/>
      </c>
      <c r="E337" s="52" t="str">
        <f t="array" ref="E337">IFERROR(INDEX(Kintoneデータ抽出!A:A, _xlfn.AGGREGATE(15, 6, ROW(Kintoneデータ抽出!$K$2:$K$5000) / ((Kintoneデータ抽出!$K$2:$K$5000="企業内")), ROW(A29))), "")</f>
        <v/>
      </c>
      <c r="F337" s="53" t="str">
        <f t="array" ref="F337">IFERROR(INDEX(Kintoneデータ抽出!D:D,_xlfn.AGGREGATE(15,6,ROW(Kintoneデータ抽出!$K$2:$K$5000)/((Kintoneデータ抽出!$K$2:$K$5000="企業内")),ROW(A29))),"")</f>
        <v/>
      </c>
      <c r="G337" s="52" t="str">
        <f t="array" ref="G337">IFERROR(INDEX(Kintoneデータ抽出!C:C, _xlfn.AGGREGATE(15, 6, ROW(Kintoneデータ抽出!$K$2:$K$5000) / ((Kintoneデータ抽出!$K$2:$K$5000="企業内")), ROW(A29))), "")</f>
        <v/>
      </c>
      <c r="H337" s="41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2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3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1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1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1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1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4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6.6" customHeight="1" x14ac:dyDescent="0.45">
      <c r="B338" s="142"/>
      <c r="C338" s="143"/>
      <c r="D338" s="67" t="str">
        <f t="shared" si="6"/>
        <v/>
      </c>
      <c r="E338" s="52" t="str">
        <f t="array" ref="E338">IFERROR(INDEX(Kintoneデータ抽出!A:A, _xlfn.AGGREGATE(15, 6, ROW(Kintoneデータ抽出!$K$2:$K$5000) / ((Kintoneデータ抽出!$K$2:$K$5000="企業内")), ROW(A30))), "")</f>
        <v/>
      </c>
      <c r="F338" s="53" t="str">
        <f t="array" ref="F338">IFERROR(INDEX(Kintoneデータ抽出!D:D,_xlfn.AGGREGATE(15,6,ROW(Kintoneデータ抽出!$K$2:$K$5000)/((Kintoneデータ抽出!$K$2:$K$5000="企業内")),ROW(A30))),"")</f>
        <v/>
      </c>
      <c r="G338" s="52" t="str">
        <f t="array" ref="G338">IFERROR(INDEX(Kintoneデータ抽出!C:C, _xlfn.AGGREGATE(15, 6, ROW(Kintoneデータ抽出!$K$2:$K$5000) / ((Kintoneデータ抽出!$K$2:$K$5000="企業内")), ROW(A30))), "")</f>
        <v/>
      </c>
      <c r="H338" s="41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2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3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1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1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1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1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4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6.6" customHeight="1" x14ac:dyDescent="0.45">
      <c r="B339" s="142" t="s">
        <v>56</v>
      </c>
      <c r="C339" s="143"/>
      <c r="D339" s="67" t="str">
        <f t="shared" si="6"/>
        <v/>
      </c>
      <c r="E339" s="52" t="str">
        <f t="array" ref="E339">IFERROR(INDEX(Kintoneデータ抽出!A:A, _xlfn.AGGREGATE(15, 6, ROW(Kintoneデータ抽出!$K$2:$K$5000) / ((Kintoneデータ抽出!$K$2:$K$5000="企業内")), ROW(A31))), "")</f>
        <v/>
      </c>
      <c r="F339" s="53" t="str">
        <f t="array" ref="F339">IFERROR(INDEX(Kintoneデータ抽出!D:D,_xlfn.AGGREGATE(15,6,ROW(Kintoneデータ抽出!$K$2:$K$5000)/((Kintoneデータ抽出!$K$2:$K$5000="企業内")),ROW(A31))),"")</f>
        <v/>
      </c>
      <c r="G339" s="52" t="str">
        <f t="array" ref="G339">IFERROR(INDEX(Kintoneデータ抽出!C:C, _xlfn.AGGREGATE(15, 6, ROW(Kintoneデータ抽出!$K$2:$K$5000) / ((Kintoneデータ抽出!$K$2:$K$5000="企業内")), ROW(A31))), "")</f>
        <v/>
      </c>
      <c r="H339" s="41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2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3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1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1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1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1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4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6.6" customHeight="1" x14ac:dyDescent="0.45">
      <c r="B340" s="142"/>
      <c r="C340" s="143"/>
      <c r="D340" s="67" t="str">
        <f t="shared" si="6"/>
        <v/>
      </c>
      <c r="E340" s="52" t="str">
        <f t="array" ref="E340">IFERROR(INDEX(Kintoneデータ抽出!A:A, _xlfn.AGGREGATE(15, 6, ROW(Kintoneデータ抽出!$K$2:$K$5000) / ((Kintoneデータ抽出!$K$2:$K$5000="企業内")), ROW(A32))), "")</f>
        <v/>
      </c>
      <c r="F340" s="53" t="str">
        <f t="array" ref="F340">IFERROR(INDEX(Kintoneデータ抽出!D:D,_xlfn.AGGREGATE(15,6,ROW(Kintoneデータ抽出!$K$2:$K$5000)/((Kintoneデータ抽出!$K$2:$K$5000="企業内")),ROW(A32))),"")</f>
        <v/>
      </c>
      <c r="G340" s="52" t="str">
        <f t="array" ref="G340">IFERROR(INDEX(Kintoneデータ抽出!C:C, _xlfn.AGGREGATE(15, 6, ROW(Kintoneデータ抽出!$K$2:$K$5000) / ((Kintoneデータ抽出!$K$2:$K$5000="企業内")), ROW(A32))), "")</f>
        <v/>
      </c>
      <c r="H340" s="41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2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3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1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1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1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1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4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6.6" customHeight="1" x14ac:dyDescent="0.45">
      <c r="B341" s="142"/>
      <c r="C341" s="143"/>
      <c r="D341" s="67" t="str">
        <f t="shared" si="6"/>
        <v/>
      </c>
      <c r="E341" s="52" t="str">
        <f t="array" ref="E341">IFERROR(INDEX(Kintoneデータ抽出!A:A, _xlfn.AGGREGATE(15, 6, ROW(Kintoneデータ抽出!$K$2:$K$5000) / ((Kintoneデータ抽出!$K$2:$K$5000="企業内")), ROW(A33))), "")</f>
        <v/>
      </c>
      <c r="F341" s="53" t="str">
        <f t="array" ref="F341">IFERROR(INDEX(Kintoneデータ抽出!D:D,_xlfn.AGGREGATE(15,6,ROW(Kintoneデータ抽出!$K$2:$K$5000)/((Kintoneデータ抽出!$K$2:$K$5000="企業内")),ROW(A33))),"")</f>
        <v/>
      </c>
      <c r="G341" s="52" t="str">
        <f t="array" ref="G341">IFERROR(INDEX(Kintoneデータ抽出!C:C, _xlfn.AGGREGATE(15, 6, ROW(Kintoneデータ抽出!$K$2:$K$5000) / ((Kintoneデータ抽出!$K$2:$K$5000="企業内")), ROW(A33))), "")</f>
        <v/>
      </c>
      <c r="H341" s="41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2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3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1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1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1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1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4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6.6" customHeight="1" x14ac:dyDescent="0.45">
      <c r="B342" s="142"/>
      <c r="C342" s="143"/>
      <c r="D342" s="67" t="str">
        <f t="shared" si="6"/>
        <v/>
      </c>
      <c r="E342" s="52" t="str">
        <f t="array" ref="E342">IFERROR(INDEX(Kintoneデータ抽出!A:A, _xlfn.AGGREGATE(15, 6, ROW(Kintoneデータ抽出!$K$2:$K$5000) / ((Kintoneデータ抽出!$K$2:$K$5000="企業内")), ROW(A34))), "")</f>
        <v/>
      </c>
      <c r="F342" s="53" t="str">
        <f t="array" ref="F342">IFERROR(INDEX(Kintoneデータ抽出!D:D,_xlfn.AGGREGATE(15,6,ROW(Kintoneデータ抽出!$K$2:$K$5000)/((Kintoneデータ抽出!$K$2:$K$5000="企業内")),ROW(A34))),"")</f>
        <v/>
      </c>
      <c r="G342" s="52" t="str">
        <f t="array" ref="G342">IFERROR(INDEX(Kintoneデータ抽出!C:C, _xlfn.AGGREGATE(15, 6, ROW(Kintoneデータ抽出!$K$2:$K$5000) / ((Kintoneデータ抽出!$K$2:$K$5000="企業内")), ROW(A34))), "")</f>
        <v/>
      </c>
      <c r="H342" s="41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2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3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1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1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1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1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4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6.6" customHeight="1" x14ac:dyDescent="0.45">
      <c r="B343" s="142"/>
      <c r="C343" s="143"/>
      <c r="D343" s="67" t="str">
        <f t="shared" si="6"/>
        <v/>
      </c>
      <c r="E343" s="52" t="str">
        <f t="array" ref="E343">IFERROR(INDEX(Kintoneデータ抽出!A:A, _xlfn.AGGREGATE(15, 6, ROW(Kintoneデータ抽出!$K$2:$K$5000) / ((Kintoneデータ抽出!$K$2:$K$5000="企業内")), ROW(A35))), "")</f>
        <v/>
      </c>
      <c r="F343" s="53" t="str">
        <f t="array" ref="F343">IFERROR(INDEX(Kintoneデータ抽出!D:D,_xlfn.AGGREGATE(15,6,ROW(Kintoneデータ抽出!$K$2:$K$5000)/((Kintoneデータ抽出!$K$2:$K$5000="企業内")),ROW(A35))),"")</f>
        <v/>
      </c>
      <c r="G343" s="52" t="str">
        <f t="array" ref="G343">IFERROR(INDEX(Kintoneデータ抽出!C:C, _xlfn.AGGREGATE(15, 6, ROW(Kintoneデータ抽出!$K$2:$K$5000) / ((Kintoneデータ抽出!$K$2:$K$5000="企業内")), ROW(A35))), "")</f>
        <v/>
      </c>
      <c r="H343" s="41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2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3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1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1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1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1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4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6.6" customHeight="1" x14ac:dyDescent="0.45">
      <c r="B344" s="142" t="s">
        <v>57</v>
      </c>
      <c r="C344" s="143"/>
      <c r="D344" s="67" t="str">
        <f t="shared" ref="D344:D375" si="7">IF(G344&lt;&gt;"",D343+1,D343)</f>
        <v/>
      </c>
      <c r="E344" s="52" t="str">
        <f t="array" ref="E344">IFERROR(INDEX(Kintoneデータ抽出!A:A, _xlfn.AGGREGATE(15, 6, ROW(Kintoneデータ抽出!$K$2:$K$5000) / ((Kintoneデータ抽出!$K$2:$K$5000="企業内")), ROW(A36))), "")</f>
        <v/>
      </c>
      <c r="F344" s="53" t="str">
        <f t="array" ref="F344">IFERROR(INDEX(Kintoneデータ抽出!D:D,_xlfn.AGGREGATE(15,6,ROW(Kintoneデータ抽出!$K$2:$K$5000)/((Kintoneデータ抽出!$K$2:$K$5000="企業内")),ROW(A36))),"")</f>
        <v/>
      </c>
      <c r="G344" s="52" t="str">
        <f t="array" ref="G344">IFERROR(INDEX(Kintoneデータ抽出!C:C, _xlfn.AGGREGATE(15, 6, ROW(Kintoneデータ抽出!$K$2:$K$5000) / ((Kintoneデータ抽出!$K$2:$K$5000="企業内")), ROW(A36))), "")</f>
        <v/>
      </c>
      <c r="H344" s="41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2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3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1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1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1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1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4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6.6" customHeight="1" x14ac:dyDescent="0.45">
      <c r="B345" s="142"/>
      <c r="C345" s="143"/>
      <c r="D345" s="67" t="str">
        <f t="shared" si="7"/>
        <v/>
      </c>
      <c r="E345" s="52" t="str">
        <f t="array" ref="E345">IFERROR(INDEX(Kintoneデータ抽出!A:A, _xlfn.AGGREGATE(15, 6, ROW(Kintoneデータ抽出!$K$2:$K$5000) / ((Kintoneデータ抽出!$K$2:$K$5000="企業内")), ROW(A37))), "")</f>
        <v/>
      </c>
      <c r="F345" s="53" t="str">
        <f t="array" ref="F345">IFERROR(INDEX(Kintoneデータ抽出!D:D,_xlfn.AGGREGATE(15,6,ROW(Kintoneデータ抽出!$K$2:$K$5000)/((Kintoneデータ抽出!$K$2:$K$5000="企業内")),ROW(A37))),"")</f>
        <v/>
      </c>
      <c r="G345" s="52" t="str">
        <f t="array" ref="G345">IFERROR(INDEX(Kintoneデータ抽出!C:C, _xlfn.AGGREGATE(15, 6, ROW(Kintoneデータ抽出!$K$2:$K$5000) / ((Kintoneデータ抽出!$K$2:$K$5000="企業内")), ROW(A37))), "")</f>
        <v/>
      </c>
      <c r="H345" s="41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2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3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1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1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1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1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4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6.6" customHeight="1" x14ac:dyDescent="0.45">
      <c r="B346" s="142"/>
      <c r="C346" s="143"/>
      <c r="D346" s="67" t="str">
        <f t="shared" si="7"/>
        <v/>
      </c>
      <c r="E346" s="52" t="str">
        <f t="array" ref="E346">IFERROR(INDEX(Kintoneデータ抽出!A:A, _xlfn.AGGREGATE(15, 6, ROW(Kintoneデータ抽出!$K$2:$K$5000) / ((Kintoneデータ抽出!$K$2:$K$5000="企業内")), ROW(A39))), "")</f>
        <v/>
      </c>
      <c r="F346" s="53" t="str">
        <f t="array" ref="F346">IFERROR(INDEX(Kintoneデータ抽出!D:D,_xlfn.AGGREGATE(15,6,ROW(Kintoneデータ抽出!$K$2:$K$5000)/((Kintoneデータ抽出!$K$2:$K$5000="企業内")),ROW(A39))),"")</f>
        <v/>
      </c>
      <c r="G346" s="52" t="str">
        <f t="array" ref="G346">IFERROR(INDEX(Kintoneデータ抽出!C:C, _xlfn.AGGREGATE(15, 6, ROW(Kintoneデータ抽出!$K$2:$K$5000) / ((Kintoneデータ抽出!$K$2:$K$5000="企業内")), ROW(A39))), "")</f>
        <v/>
      </c>
      <c r="H346" s="41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2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3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1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1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1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1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4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6.6" customHeight="1" x14ac:dyDescent="0.45">
      <c r="B347" s="142"/>
      <c r="C347" s="143"/>
      <c r="D347" s="67" t="str">
        <f t="shared" si="7"/>
        <v/>
      </c>
      <c r="E347" s="52" t="str">
        <f t="array" ref="E347">IFERROR(INDEX(Kintoneデータ抽出!A:A, _xlfn.AGGREGATE(15, 6, ROW(Kintoneデータ抽出!$K$2:$K$5000) / ((Kintoneデータ抽出!$K$2:$K$5000="企業内")), ROW(A40))), "")</f>
        <v/>
      </c>
      <c r="F347" s="53" t="str">
        <f t="array" ref="F347">IFERROR(INDEX(Kintoneデータ抽出!D:D,_xlfn.AGGREGATE(15,6,ROW(Kintoneデータ抽出!$K$2:$K$5000)/((Kintoneデータ抽出!$K$2:$K$5000="企業内")),ROW(A40))),"")</f>
        <v/>
      </c>
      <c r="G347" s="52" t="str">
        <f t="array" ref="G347">IFERROR(INDEX(Kintoneデータ抽出!C:C, _xlfn.AGGREGATE(15, 6, ROW(Kintoneデータ抽出!$K$2:$K$5000) / ((Kintoneデータ抽出!$K$2:$K$5000="企業内")), ROW(A40))), "")</f>
        <v/>
      </c>
      <c r="H347" s="41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2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3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1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1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1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1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4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6.6" customHeight="1" x14ac:dyDescent="0.45">
      <c r="B348" s="142"/>
      <c r="C348" s="143"/>
      <c r="D348" s="67" t="str">
        <f t="shared" si="7"/>
        <v/>
      </c>
      <c r="E348" s="52" t="str">
        <f t="array" ref="E348">IFERROR(INDEX(Kintoneデータ抽出!A:A, _xlfn.AGGREGATE(15, 6, ROW(Kintoneデータ抽出!$K$2:$K$5000) / ((Kintoneデータ抽出!$K$2:$K$5000="企業内")), ROW(A41))), "")</f>
        <v/>
      </c>
      <c r="F348" s="53" t="str">
        <f t="array" ref="F348">IFERROR(INDEX(Kintoneデータ抽出!D:D,_xlfn.AGGREGATE(15,6,ROW(Kintoneデータ抽出!$K$2:$K$5000)/((Kintoneデータ抽出!$K$2:$K$5000="企業内")),ROW(A41))),"")</f>
        <v/>
      </c>
      <c r="G348" s="52" t="str">
        <f t="array" ref="G348">IFERROR(INDEX(Kintoneデータ抽出!C:C, _xlfn.AGGREGATE(15, 6, ROW(Kintoneデータ抽出!$K$2:$K$5000) / ((Kintoneデータ抽出!$K$2:$K$5000="企業内")), ROW(A41))), "")</f>
        <v/>
      </c>
      <c r="H348" s="41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2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3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1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1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1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1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4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6.6" customHeight="1" x14ac:dyDescent="0.45">
      <c r="B349" s="142"/>
      <c r="C349" s="143"/>
      <c r="D349" s="67" t="str">
        <f t="shared" si="7"/>
        <v/>
      </c>
      <c r="E349" s="52" t="str">
        <f t="array" ref="E349">IFERROR(INDEX(Kintoneデータ抽出!A:A, _xlfn.AGGREGATE(15, 6, ROW(Kintoneデータ抽出!$K$2:$K$5000) / ((Kintoneデータ抽出!$K$2:$K$5000="企業内")), ROW(A42))), "")</f>
        <v/>
      </c>
      <c r="F349" s="53" t="str">
        <f t="array" ref="F349">IFERROR(INDEX(Kintoneデータ抽出!D:D,_xlfn.AGGREGATE(15,6,ROW(Kintoneデータ抽出!$K$2:$K$5000)/((Kintoneデータ抽出!$K$2:$K$5000="企業内")),ROW(A42))),"")</f>
        <v/>
      </c>
      <c r="G349" s="52" t="str">
        <f t="array" ref="G349">IFERROR(INDEX(Kintoneデータ抽出!C:C, _xlfn.AGGREGATE(15, 6, ROW(Kintoneデータ抽出!$K$2:$K$5000) / ((Kintoneデータ抽出!$K$2:$K$5000="企業内")), ROW(A42))), "")</f>
        <v/>
      </c>
      <c r="H349" s="41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2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3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1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1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1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1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4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6.6" customHeight="1" x14ac:dyDescent="0.45">
      <c r="B350" s="142"/>
      <c r="C350" s="143"/>
      <c r="D350" s="67" t="str">
        <f t="shared" si="7"/>
        <v/>
      </c>
      <c r="E350" s="52" t="str">
        <f t="array" ref="E350">IFERROR(INDEX(Kintoneデータ抽出!A:A, _xlfn.AGGREGATE(15, 6, ROW(Kintoneデータ抽出!$K$2:$K$5000) / ((Kintoneデータ抽出!$K$2:$K$5000="企業内")), ROW(A43))), "")</f>
        <v/>
      </c>
      <c r="F350" s="53" t="str">
        <f t="array" ref="F350">IFERROR(INDEX(Kintoneデータ抽出!D:D,_xlfn.AGGREGATE(15,6,ROW(Kintoneデータ抽出!$K$2:$K$5000)/((Kintoneデータ抽出!$K$2:$K$5000="企業内")),ROW(A43))),"")</f>
        <v/>
      </c>
      <c r="G350" s="52" t="str">
        <f t="array" ref="G350">IFERROR(INDEX(Kintoneデータ抽出!C:C, _xlfn.AGGREGATE(15, 6, ROW(Kintoneデータ抽出!$K$2:$K$5000) / ((Kintoneデータ抽出!$K$2:$K$5000="企業内")), ROW(A43))), "")</f>
        <v/>
      </c>
      <c r="H350" s="41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2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3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1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1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1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1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4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6.6" customHeight="1" x14ac:dyDescent="0.45">
      <c r="B351" s="142"/>
      <c r="C351" s="143"/>
      <c r="D351" s="67" t="str">
        <f t="shared" si="7"/>
        <v/>
      </c>
      <c r="E351" s="52" t="str">
        <f t="array" ref="E351">IFERROR(INDEX(Kintoneデータ抽出!A:A, _xlfn.AGGREGATE(15, 6, ROW(Kintoneデータ抽出!$K$2:$K$5000) / ((Kintoneデータ抽出!$K$2:$K$5000="企業内")), ROW(A44))), "")</f>
        <v/>
      </c>
      <c r="F351" s="53" t="str">
        <f t="array" ref="F351">IFERROR(INDEX(Kintoneデータ抽出!D:D,_xlfn.AGGREGATE(15,6,ROW(Kintoneデータ抽出!$K$2:$K$5000)/((Kintoneデータ抽出!$K$2:$K$5000="企業内")),ROW(A44))),"")</f>
        <v/>
      </c>
      <c r="G351" s="52" t="str">
        <f t="array" ref="G351">IFERROR(INDEX(Kintoneデータ抽出!C:C, _xlfn.AGGREGATE(15, 6, ROW(Kintoneデータ抽出!$K$2:$K$5000) / ((Kintoneデータ抽出!$K$2:$K$5000="企業内")), ROW(A44))), "")</f>
        <v/>
      </c>
      <c r="H351" s="41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2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3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1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1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1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1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4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6.6" customHeight="1" x14ac:dyDescent="0.45">
      <c r="B352" s="142"/>
      <c r="C352" s="143"/>
      <c r="D352" s="67" t="str">
        <f t="shared" si="7"/>
        <v/>
      </c>
      <c r="E352" s="52" t="str">
        <f t="array" ref="E352">IFERROR(INDEX(Kintoneデータ抽出!A:A, _xlfn.AGGREGATE(15, 6, ROW(Kintoneデータ抽出!$K$2:$K$5000) / ((Kintoneデータ抽出!$K$2:$K$5000="企業内")), ROW(A45))), "")</f>
        <v/>
      </c>
      <c r="F352" s="53" t="str">
        <f t="array" ref="F352">IFERROR(INDEX(Kintoneデータ抽出!D:D,_xlfn.AGGREGATE(15,6,ROW(Kintoneデータ抽出!$K$2:$K$5000)/((Kintoneデータ抽出!$K$2:$K$5000="企業内")),ROW(A45))),"")</f>
        <v/>
      </c>
      <c r="G352" s="52" t="str">
        <f t="array" ref="G352">IFERROR(INDEX(Kintoneデータ抽出!C:C, _xlfn.AGGREGATE(15, 6, ROW(Kintoneデータ抽出!$K$2:$K$5000) / ((Kintoneデータ抽出!$K$2:$K$5000="企業内")), ROW(A45))), "")</f>
        <v/>
      </c>
      <c r="H352" s="41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2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3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1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1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1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1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4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6.6" customHeight="1" x14ac:dyDescent="0.45">
      <c r="B353" s="142"/>
      <c r="C353" s="143"/>
      <c r="D353" s="67" t="str">
        <f t="shared" si="7"/>
        <v/>
      </c>
      <c r="E353" s="52" t="str">
        <f t="array" ref="E353">IFERROR(INDEX(Kintoneデータ抽出!A:A, _xlfn.AGGREGATE(15, 6, ROW(Kintoneデータ抽出!$K$2:$K$5000) / ((Kintoneデータ抽出!$K$2:$K$5000="企業内")), ROW(A46))), "")</f>
        <v/>
      </c>
      <c r="F353" s="53" t="str">
        <f t="array" ref="F353">IFERROR(INDEX(Kintoneデータ抽出!D:D,_xlfn.AGGREGATE(15,6,ROW(Kintoneデータ抽出!$K$2:$K$5000)/((Kintoneデータ抽出!$K$2:$K$5000="企業内")),ROW(A46))),"")</f>
        <v/>
      </c>
      <c r="G353" s="52" t="str">
        <f t="array" ref="G353">IFERROR(INDEX(Kintoneデータ抽出!C:C, _xlfn.AGGREGATE(15, 6, ROW(Kintoneデータ抽出!$K$2:$K$5000) / ((Kintoneデータ抽出!$K$2:$K$5000="企業内")), ROW(A46))), "")</f>
        <v/>
      </c>
      <c r="H353" s="41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2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3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1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1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1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1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4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6.6" customHeight="1" x14ac:dyDescent="0.45">
      <c r="B354" s="142"/>
      <c r="C354" s="143"/>
      <c r="D354" s="67" t="str">
        <f t="shared" si="7"/>
        <v/>
      </c>
      <c r="E354" s="52" t="str">
        <f t="array" ref="E354">IFERROR(INDEX(Kintoneデータ抽出!A:A, _xlfn.AGGREGATE(15, 6, ROW(Kintoneデータ抽出!$K$2:$K$5000) / ((Kintoneデータ抽出!$K$2:$K$5000="企業内")), ROW(A47))), "")</f>
        <v/>
      </c>
      <c r="F354" s="53" t="str">
        <f t="array" ref="F354">IFERROR(INDEX(Kintoneデータ抽出!D:D,_xlfn.AGGREGATE(15,6,ROW(Kintoneデータ抽出!$K$2:$K$5000)/((Kintoneデータ抽出!$K$2:$K$5000="企業内")),ROW(A47))),"")</f>
        <v/>
      </c>
      <c r="G354" s="52" t="str">
        <f t="array" ref="G354">IFERROR(INDEX(Kintoneデータ抽出!C:C, _xlfn.AGGREGATE(15, 6, ROW(Kintoneデータ抽出!$K$2:$K$5000) / ((Kintoneデータ抽出!$K$2:$K$5000="企業内")), ROW(A47))), "")</f>
        <v/>
      </c>
      <c r="H354" s="41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2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3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1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1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1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1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4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6.6" customHeight="1" x14ac:dyDescent="0.45">
      <c r="B355" s="142"/>
      <c r="C355" s="143"/>
      <c r="D355" s="67" t="str">
        <f t="shared" si="7"/>
        <v/>
      </c>
      <c r="E355" s="52" t="str">
        <f t="array" ref="E355">IFERROR(INDEX(Kintoneデータ抽出!A:A, _xlfn.AGGREGATE(15, 6, ROW(Kintoneデータ抽出!$K$2:$K$5000) / ((Kintoneデータ抽出!$K$2:$K$5000="企業内")), ROW(A48))), "")</f>
        <v/>
      </c>
      <c r="F355" s="53" t="str">
        <f t="array" ref="F355">IFERROR(INDEX(Kintoneデータ抽出!D:D,_xlfn.AGGREGATE(15,6,ROW(Kintoneデータ抽出!$K$2:$K$5000)/((Kintoneデータ抽出!$K$2:$K$5000="企業内")),ROW(A48))),"")</f>
        <v/>
      </c>
      <c r="G355" s="52" t="str">
        <f t="array" ref="G355">IFERROR(INDEX(Kintoneデータ抽出!C:C, _xlfn.AGGREGATE(15, 6, ROW(Kintoneデータ抽出!$K$2:$K$5000) / ((Kintoneデータ抽出!$K$2:$K$5000="企業内")), ROW(A48))), "")</f>
        <v/>
      </c>
      <c r="H355" s="41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2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3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1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1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1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1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4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6.6" customHeight="1" x14ac:dyDescent="0.45">
      <c r="B356" s="142"/>
      <c r="C356" s="143"/>
      <c r="D356" s="67" t="str">
        <f t="shared" si="7"/>
        <v/>
      </c>
      <c r="E356" s="52" t="str">
        <f t="array" ref="E356">IFERROR(INDEX(Kintoneデータ抽出!A:A, _xlfn.AGGREGATE(15, 6, ROW(Kintoneデータ抽出!$K$2:$K$5000) / ((Kintoneデータ抽出!$K$2:$K$5000="企業内")), ROW(A49))), "")</f>
        <v/>
      </c>
      <c r="F356" s="53" t="str">
        <f t="array" ref="F356">IFERROR(INDEX(Kintoneデータ抽出!D:D,_xlfn.AGGREGATE(15,6,ROW(Kintoneデータ抽出!$K$2:$K$5000)/((Kintoneデータ抽出!$K$2:$K$5000="企業内")),ROW(A49))),"")</f>
        <v/>
      </c>
      <c r="G356" s="52" t="str">
        <f t="array" ref="G356">IFERROR(INDEX(Kintoneデータ抽出!C:C, _xlfn.AGGREGATE(15, 6, ROW(Kintoneデータ抽出!$K$2:$K$5000) / ((Kintoneデータ抽出!$K$2:$K$5000="企業内")), ROW(A49))), "")</f>
        <v/>
      </c>
      <c r="H356" s="41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2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3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1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1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1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1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4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6.6" customHeight="1" x14ac:dyDescent="0.45">
      <c r="B357" s="142"/>
      <c r="C357" s="143"/>
      <c r="D357" s="67" t="str">
        <f t="shared" si="7"/>
        <v/>
      </c>
      <c r="E357" s="52" t="str">
        <f t="array" ref="E357">IFERROR(INDEX(Kintoneデータ抽出!A:A, _xlfn.AGGREGATE(15, 6, ROW(Kintoneデータ抽出!$K$2:$K$5000) / ((Kintoneデータ抽出!$K$2:$K$5000="企業内")), ROW(A50))), "")</f>
        <v/>
      </c>
      <c r="F357" s="53" t="str">
        <f t="array" ref="F357">IFERROR(INDEX(Kintoneデータ抽出!D:D,_xlfn.AGGREGATE(15,6,ROW(Kintoneデータ抽出!$K$2:$K$5000)/((Kintoneデータ抽出!$K$2:$K$5000="企業内")),ROW(A50))),"")</f>
        <v/>
      </c>
      <c r="G357" s="52" t="str">
        <f t="array" ref="G357">IFERROR(INDEX(Kintoneデータ抽出!C:C, _xlfn.AGGREGATE(15, 6, ROW(Kintoneデータ抽出!$K$2:$K$5000) / ((Kintoneデータ抽出!$K$2:$K$5000="企業内")), ROW(A50))), "")</f>
        <v/>
      </c>
      <c r="H357" s="41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2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3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1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1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1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1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4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6.6" customHeight="1" x14ac:dyDescent="0.45">
      <c r="B358" s="142" t="s">
        <v>58</v>
      </c>
      <c r="C358" s="143"/>
      <c r="D358" s="67" t="str">
        <f t="shared" si="7"/>
        <v/>
      </c>
      <c r="E358" s="52" t="str">
        <f t="array" ref="E358">IFERROR(INDEX(Kintoneデータ抽出!A:A, _xlfn.AGGREGATE(15, 6, ROW(Kintoneデータ抽出!$K$2:$K$5000) / ((Kintoneデータ抽出!$K$2:$K$5000="企業内")), ROW(A51))), "")</f>
        <v/>
      </c>
      <c r="F358" s="53" t="str">
        <f t="array" ref="F358">IFERROR(INDEX(Kintoneデータ抽出!D:D,_xlfn.AGGREGATE(15,6,ROW(Kintoneデータ抽出!$K$2:$K$5000)/((Kintoneデータ抽出!$K$2:$K$5000="企業内")),ROW(A51))),"")</f>
        <v/>
      </c>
      <c r="G358" s="52" t="str">
        <f t="array" ref="G358">IFERROR(INDEX(Kintoneデータ抽出!C:C, _xlfn.AGGREGATE(15, 6, ROW(Kintoneデータ抽出!$K$2:$K$5000) / ((Kintoneデータ抽出!$K$2:$K$5000="企業内")), ROW(A51))), "")</f>
        <v/>
      </c>
      <c r="H358" s="41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2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3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1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1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1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1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4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6.6" customHeight="1" x14ac:dyDescent="0.45">
      <c r="B359" s="142"/>
      <c r="C359" s="143"/>
      <c r="D359" s="67" t="str">
        <f t="shared" si="7"/>
        <v/>
      </c>
      <c r="E359" s="52" t="str">
        <f t="array" ref="E359">IFERROR(INDEX(Kintoneデータ抽出!A:A, _xlfn.AGGREGATE(15, 6, ROW(Kintoneデータ抽出!$K$2:$K$5000) / ((Kintoneデータ抽出!$K$2:$K$5000="企業内")), ROW(A52))), "")</f>
        <v/>
      </c>
      <c r="F359" s="53" t="str">
        <f t="array" ref="F359">IFERROR(INDEX(Kintoneデータ抽出!D:D,_xlfn.AGGREGATE(15,6,ROW(Kintoneデータ抽出!$K$2:$K$5000)/((Kintoneデータ抽出!$K$2:$K$5000="企業内")),ROW(A52))),"")</f>
        <v/>
      </c>
      <c r="G359" s="52" t="str">
        <f t="array" ref="G359">IFERROR(INDEX(Kintoneデータ抽出!C:C, _xlfn.AGGREGATE(15, 6, ROW(Kintoneデータ抽出!$K$2:$K$5000) / ((Kintoneデータ抽出!$K$2:$K$5000="企業内")), ROW(A52))), "")</f>
        <v/>
      </c>
      <c r="H359" s="41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2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3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1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1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1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1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4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6.6" customHeight="1" x14ac:dyDescent="0.45">
      <c r="B360" s="142" t="s">
        <v>59</v>
      </c>
      <c r="C360" s="143"/>
      <c r="D360" s="67" t="str">
        <f t="shared" si="7"/>
        <v/>
      </c>
      <c r="E360" s="52" t="str">
        <f t="array" ref="E360">IFERROR(INDEX(Kintoneデータ抽出!A:A, _xlfn.AGGREGATE(15, 6, ROW(Kintoneデータ抽出!$K$2:$K$5000) / ((Kintoneデータ抽出!$K$2:$K$5000="企業内")), ROW(A53))), "")</f>
        <v/>
      </c>
      <c r="F360" s="53" t="str">
        <f t="array" ref="F360">IFERROR(INDEX(Kintoneデータ抽出!D:D,_xlfn.AGGREGATE(15,6,ROW(Kintoneデータ抽出!$K$2:$K$5000)/((Kintoneデータ抽出!$K$2:$K$5000="企業内")),ROW(A53))),"")</f>
        <v/>
      </c>
      <c r="G360" s="52" t="str">
        <f t="array" ref="G360">IFERROR(INDEX(Kintoneデータ抽出!C:C, _xlfn.AGGREGATE(15, 6, ROW(Kintoneデータ抽出!$K$2:$K$5000) / ((Kintoneデータ抽出!$K$2:$K$5000="企業内")), ROW(A53))), "")</f>
        <v/>
      </c>
      <c r="H360" s="41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2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3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1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1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1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1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4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8"/>
    </row>
    <row r="361" spans="2:34" ht="36.6" customHeight="1" x14ac:dyDescent="0.45">
      <c r="B361" s="142"/>
      <c r="C361" s="143"/>
      <c r="D361" s="67" t="str">
        <f t="shared" si="7"/>
        <v/>
      </c>
      <c r="E361" s="52" t="str">
        <f t="array" ref="E361">IFERROR(INDEX(Kintoneデータ抽出!A:A, _xlfn.AGGREGATE(15, 6, ROW(Kintoneデータ抽出!$K$2:$K$5000) / ((Kintoneデータ抽出!$K$2:$K$5000="企業内")), ROW(A54))), "")</f>
        <v/>
      </c>
      <c r="F361" s="53" t="str">
        <f t="array" ref="F361">IFERROR(INDEX(Kintoneデータ抽出!D:D,_xlfn.AGGREGATE(15,6,ROW(Kintoneデータ抽出!$K$2:$K$5000)/((Kintoneデータ抽出!$K$2:$K$5000="企業内")),ROW(A54))),"")</f>
        <v/>
      </c>
      <c r="G361" s="52" t="str">
        <f t="array" ref="G361">IFERROR(INDEX(Kintoneデータ抽出!C:C, _xlfn.AGGREGATE(15, 6, ROW(Kintoneデータ抽出!$K$2:$K$5000) / ((Kintoneデータ抽出!$K$2:$K$5000="企業内")), ROW(A54))), "")</f>
        <v/>
      </c>
      <c r="H361" s="41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2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3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1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1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1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1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4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6.6" customHeight="1" x14ac:dyDescent="0.45">
      <c r="B362" s="142"/>
      <c r="C362" s="143"/>
      <c r="D362" s="67" t="str">
        <f t="shared" si="7"/>
        <v/>
      </c>
      <c r="E362" s="52" t="str">
        <f t="array" ref="E362">IFERROR(INDEX(Kintoneデータ抽出!A:A, _xlfn.AGGREGATE(15, 6, ROW(Kintoneデータ抽出!$K$2:$K$5000) / ((Kintoneデータ抽出!$K$2:$K$5000="企業内")), ROW(A55))), "")</f>
        <v/>
      </c>
      <c r="F362" s="53" t="str">
        <f t="array" ref="F362">IFERROR(INDEX(Kintoneデータ抽出!D:D,_xlfn.AGGREGATE(15,6,ROW(Kintoneデータ抽出!$K$2:$K$5000)/((Kintoneデータ抽出!$K$2:$K$5000="企業内")),ROW(A55))),"")</f>
        <v/>
      </c>
      <c r="G362" s="52" t="str">
        <f t="array" ref="G362">IFERROR(INDEX(Kintoneデータ抽出!C:C, _xlfn.AGGREGATE(15, 6, ROW(Kintoneデータ抽出!$K$2:$K$5000) / ((Kintoneデータ抽出!$K$2:$K$5000="企業内")), ROW(A55))), "")</f>
        <v/>
      </c>
      <c r="H362" s="41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2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3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1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1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1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1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4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6.6" customHeight="1" x14ac:dyDescent="0.45">
      <c r="B363" s="142" t="s">
        <v>60</v>
      </c>
      <c r="C363" s="143"/>
      <c r="D363" s="67" t="str">
        <f t="shared" si="7"/>
        <v/>
      </c>
      <c r="E363" s="52" t="str">
        <f t="array" ref="E363">IFERROR(INDEX(Kintoneデータ抽出!A:A, _xlfn.AGGREGATE(15, 6, ROW(Kintoneデータ抽出!$K$2:$K$5000) / ((Kintoneデータ抽出!$K$2:$K$5000="企業内")), ROW(A56))), "")</f>
        <v/>
      </c>
      <c r="F363" s="53" t="str">
        <f t="array" ref="F363">IFERROR(INDEX(Kintoneデータ抽出!D:D,_xlfn.AGGREGATE(15,6,ROW(Kintoneデータ抽出!$K$2:$K$5000)/((Kintoneデータ抽出!$K$2:$K$5000="企業内")),ROW(A56))),"")</f>
        <v/>
      </c>
      <c r="G363" s="52" t="str">
        <f t="array" ref="G363">IFERROR(INDEX(Kintoneデータ抽出!C:C, _xlfn.AGGREGATE(15, 6, ROW(Kintoneデータ抽出!$K$2:$K$5000) / ((Kintoneデータ抽出!$K$2:$K$5000="企業内")), ROW(A56))), "")</f>
        <v/>
      </c>
      <c r="H363" s="41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2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3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1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1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1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1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4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6.6" customHeight="1" x14ac:dyDescent="0.45">
      <c r="B364" s="142"/>
      <c r="C364" s="143"/>
      <c r="D364" s="67" t="str">
        <f t="shared" si="7"/>
        <v/>
      </c>
      <c r="E364" s="52" t="str">
        <f t="array" ref="E364">IFERROR(INDEX(Kintoneデータ抽出!A:A, _xlfn.AGGREGATE(15, 6, ROW(Kintoneデータ抽出!$K$2:$K$5000) / ((Kintoneデータ抽出!$K$2:$K$5000="企業内")), ROW(A57))), "")</f>
        <v/>
      </c>
      <c r="F364" s="53" t="str">
        <f t="array" ref="F364">IFERROR(INDEX(Kintoneデータ抽出!D:D,_xlfn.AGGREGATE(15,6,ROW(Kintoneデータ抽出!$K$2:$K$5000)/((Kintoneデータ抽出!$K$2:$K$5000="企業内")),ROW(A57))),"")</f>
        <v/>
      </c>
      <c r="G364" s="52" t="str">
        <f t="array" ref="G364">IFERROR(INDEX(Kintoneデータ抽出!C:C, _xlfn.AGGREGATE(15, 6, ROW(Kintoneデータ抽出!$K$2:$K$5000) / ((Kintoneデータ抽出!$K$2:$K$5000="企業内")), ROW(A57))), "")</f>
        <v/>
      </c>
      <c r="H364" s="41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2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3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1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1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1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1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4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6.6" customHeight="1" x14ac:dyDescent="0.45">
      <c r="B365" s="142" t="s">
        <v>52</v>
      </c>
      <c r="C365" s="143"/>
      <c r="D365" s="67" t="str">
        <f t="shared" si="7"/>
        <v/>
      </c>
      <c r="E365" s="52" t="str">
        <f t="array" ref="E365">IFERROR(INDEX(Kintoneデータ抽出!A:A, _xlfn.AGGREGATE(15, 6, ROW(Kintoneデータ抽出!$K$2:$K$5000) / ((Kintoneデータ抽出!$K$2:$K$5000="企業内")), ROW(A58))), "")</f>
        <v/>
      </c>
      <c r="F365" s="53" t="str">
        <f t="array" ref="F365">IFERROR(INDEX(Kintoneデータ抽出!D:D,_xlfn.AGGREGATE(15,6,ROW(Kintoneデータ抽出!$K$2:$K$5000)/((Kintoneデータ抽出!$K$2:$K$5000="企業内")),ROW(A58))),"")</f>
        <v/>
      </c>
      <c r="G365" s="52" t="str">
        <f t="array" ref="G365">IFERROR(INDEX(Kintoneデータ抽出!C:C, _xlfn.AGGREGATE(15, 6, ROW(Kintoneデータ抽出!$K$2:$K$5000) / ((Kintoneデータ抽出!$K$2:$K$5000="企業内")), ROW(A58))), "")</f>
        <v/>
      </c>
      <c r="H365" s="41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2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3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1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1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1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1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4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6.6" customHeight="1" x14ac:dyDescent="0.45">
      <c r="B366" s="142"/>
      <c r="C366" s="143"/>
      <c r="D366" s="67" t="str">
        <f t="shared" si="7"/>
        <v/>
      </c>
      <c r="E366" s="52" t="str">
        <f t="array" ref="E366">IFERROR(INDEX(Kintoneデータ抽出!A:A, _xlfn.AGGREGATE(15, 6, ROW(Kintoneデータ抽出!$K$2:$K$5000) / ((Kintoneデータ抽出!$K$2:$K$5000="企業内")), ROW(A59))), "")</f>
        <v/>
      </c>
      <c r="F366" s="53" t="str">
        <f t="array" ref="F366">IFERROR(INDEX(Kintoneデータ抽出!D:D,_xlfn.AGGREGATE(15,6,ROW(Kintoneデータ抽出!$K$2:$K$5000)/((Kintoneデータ抽出!$K$2:$K$5000="企業内")),ROW(A59))),"")</f>
        <v/>
      </c>
      <c r="G366" s="52" t="str">
        <f t="array" ref="G366">IFERROR(INDEX(Kintoneデータ抽出!C:C, _xlfn.AGGREGATE(15, 6, ROW(Kintoneデータ抽出!$K$2:$K$5000) / ((Kintoneデータ抽出!$K$2:$K$5000="企業内")), ROW(A59))), "")</f>
        <v/>
      </c>
      <c r="H366" s="41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2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3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1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1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1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1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4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6.6" customHeight="1" x14ac:dyDescent="0.45">
      <c r="B367" s="142"/>
      <c r="C367" s="143"/>
      <c r="D367" s="67" t="str">
        <f t="shared" si="7"/>
        <v/>
      </c>
      <c r="E367" s="52" t="str">
        <f t="array" ref="E367">IFERROR(INDEX(Kintoneデータ抽出!A:A, _xlfn.AGGREGATE(15, 6, ROW(Kintoneデータ抽出!$K$2:$K$5000) / ((Kintoneデータ抽出!$K$2:$K$5000="企業内")), ROW(A60))), "")</f>
        <v/>
      </c>
      <c r="F367" s="53" t="str">
        <f t="array" ref="F367">IFERROR(INDEX(Kintoneデータ抽出!D:D,_xlfn.AGGREGATE(15,6,ROW(Kintoneデータ抽出!$K$2:$K$5000)/((Kintoneデータ抽出!$K$2:$K$5000="企業内")),ROW(A60))),"")</f>
        <v/>
      </c>
      <c r="G367" s="52" t="str">
        <f t="array" ref="G367">IFERROR(INDEX(Kintoneデータ抽出!C:C, _xlfn.AGGREGATE(15, 6, ROW(Kintoneデータ抽出!$K$2:$K$5000) / ((Kintoneデータ抽出!$K$2:$K$5000="企業内")), ROW(A60))), "")</f>
        <v/>
      </c>
      <c r="H367" s="41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2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3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1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1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1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1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4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6.6" customHeight="1" x14ac:dyDescent="0.45">
      <c r="B368" s="142"/>
      <c r="C368" s="143"/>
      <c r="D368" s="67" t="str">
        <f t="shared" si="7"/>
        <v/>
      </c>
      <c r="E368" s="52" t="str">
        <f t="array" ref="E368">IFERROR(INDEX(Kintoneデータ抽出!A:A, _xlfn.AGGREGATE(15, 6, ROW(Kintoneデータ抽出!$K$2:$K$5000) / ((Kintoneデータ抽出!$K$2:$K$5000="企業内")), ROW(A61))), "")</f>
        <v/>
      </c>
      <c r="F368" s="53" t="str">
        <f t="array" ref="F368">IFERROR(INDEX(Kintoneデータ抽出!D:D,_xlfn.AGGREGATE(15,6,ROW(Kintoneデータ抽出!$K$2:$K$5000)/((Kintoneデータ抽出!$K$2:$K$5000="企業内")),ROW(A61))),"")</f>
        <v/>
      </c>
      <c r="G368" s="52" t="str">
        <f t="array" ref="G368">IFERROR(INDEX(Kintoneデータ抽出!C:C, _xlfn.AGGREGATE(15, 6, ROW(Kintoneデータ抽出!$K$2:$K$5000) / ((Kintoneデータ抽出!$K$2:$K$5000="企業内")), ROW(A61))), "")</f>
        <v/>
      </c>
      <c r="H368" s="41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2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3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1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1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1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1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4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6.6" customHeight="1" x14ac:dyDescent="0.45">
      <c r="B369" s="142"/>
      <c r="C369" s="143"/>
      <c r="D369" s="67" t="str">
        <f t="shared" si="7"/>
        <v/>
      </c>
      <c r="E369" s="52" t="str">
        <f t="array" ref="E369">IFERROR(INDEX(Kintoneデータ抽出!A:A, _xlfn.AGGREGATE(15, 6, ROW(Kintoneデータ抽出!$K$2:$K$5000) / ((Kintoneデータ抽出!$K$2:$K$5000="企業内")), ROW(A62))), "")</f>
        <v/>
      </c>
      <c r="F369" s="53" t="str">
        <f t="array" ref="F369">IFERROR(INDEX(Kintoneデータ抽出!D:D,_xlfn.AGGREGATE(15,6,ROW(Kintoneデータ抽出!$K$2:$K$5000)/((Kintoneデータ抽出!$K$2:$K$5000="企業内")),ROW(A62))),"")</f>
        <v/>
      </c>
      <c r="G369" s="52" t="str">
        <f t="array" ref="G369">IFERROR(INDEX(Kintoneデータ抽出!C:C, _xlfn.AGGREGATE(15, 6, ROW(Kintoneデータ抽出!$K$2:$K$5000) / ((Kintoneデータ抽出!$K$2:$K$5000="企業内")), ROW(A62))), "")</f>
        <v/>
      </c>
      <c r="H369" s="41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2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3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1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1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1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1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4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6.6" customHeight="1" x14ac:dyDescent="0.45">
      <c r="B370" s="142"/>
      <c r="C370" s="143"/>
      <c r="D370" s="67" t="str">
        <f t="shared" si="7"/>
        <v/>
      </c>
      <c r="E370" s="52" t="str">
        <f t="array" ref="E370">IFERROR(INDEX(Kintoneデータ抽出!A:A, _xlfn.AGGREGATE(15, 6, ROW(Kintoneデータ抽出!$K$2:$K$5000) / ((Kintoneデータ抽出!$K$2:$K$5000="企業内")), ROW(A63))), "")</f>
        <v/>
      </c>
      <c r="F370" s="53" t="str">
        <f t="array" ref="F370">IFERROR(INDEX(Kintoneデータ抽出!D:D,_xlfn.AGGREGATE(15,6,ROW(Kintoneデータ抽出!$K$2:$K$5000)/((Kintoneデータ抽出!$K$2:$K$5000="企業内")),ROW(A63))),"")</f>
        <v/>
      </c>
      <c r="G370" s="52" t="str">
        <f t="array" ref="G370">IFERROR(INDEX(Kintoneデータ抽出!C:C, _xlfn.AGGREGATE(15, 6, ROW(Kintoneデータ抽出!$K$2:$K$5000) / ((Kintoneデータ抽出!$K$2:$K$5000="企業内")), ROW(A63))), "")</f>
        <v/>
      </c>
      <c r="H370" s="41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2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3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1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1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1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1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4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6.6" customHeight="1" x14ac:dyDescent="0.45">
      <c r="B371" s="142"/>
      <c r="C371" s="143"/>
      <c r="D371" s="67" t="str">
        <f t="shared" si="7"/>
        <v/>
      </c>
      <c r="E371" s="52" t="str">
        <f t="array" ref="E371">IFERROR(INDEX(Kintoneデータ抽出!A:A, _xlfn.AGGREGATE(15, 6, ROW(Kintoneデータ抽出!$K$2:$K$5000) / ((Kintoneデータ抽出!$K$2:$K$5000="企業内")), ROW(A64))), "")</f>
        <v/>
      </c>
      <c r="F371" s="53" t="str">
        <f t="array" ref="F371">IFERROR(INDEX(Kintoneデータ抽出!D:D,_xlfn.AGGREGATE(15,6,ROW(Kintoneデータ抽出!$K$2:$K$5000)/((Kintoneデータ抽出!$K$2:$K$5000="企業内")),ROW(A64))),"")</f>
        <v/>
      </c>
      <c r="G371" s="52" t="str">
        <f t="array" ref="G371">IFERROR(INDEX(Kintoneデータ抽出!C:C, _xlfn.AGGREGATE(15, 6, ROW(Kintoneデータ抽出!$K$2:$K$5000) / ((Kintoneデータ抽出!$K$2:$K$5000="企業内")), ROW(A64))), "")</f>
        <v/>
      </c>
      <c r="H371" s="41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2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3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1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1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1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1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4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6.6" customHeight="1" x14ac:dyDescent="0.45">
      <c r="B372" s="142"/>
      <c r="C372" s="143"/>
      <c r="D372" s="67" t="str">
        <f t="shared" si="7"/>
        <v/>
      </c>
      <c r="E372" s="52" t="str">
        <f t="array" ref="E372">IFERROR(INDEX(Kintoneデータ抽出!A:A, _xlfn.AGGREGATE(15, 6, ROW(Kintoneデータ抽出!$K$2:$K$5000) / ((Kintoneデータ抽出!$K$2:$K$5000="企業内")), ROW(A65))), "")</f>
        <v/>
      </c>
      <c r="F372" s="53" t="str">
        <f t="array" ref="F372">IFERROR(INDEX(Kintoneデータ抽出!D:D,_xlfn.AGGREGATE(15,6,ROW(Kintoneデータ抽出!$K$2:$K$5000)/((Kintoneデータ抽出!$K$2:$K$5000="企業内")),ROW(A65))),"")</f>
        <v/>
      </c>
      <c r="G372" s="52" t="str">
        <f t="array" ref="G372">IFERROR(INDEX(Kintoneデータ抽出!C:C, _xlfn.AGGREGATE(15, 6, ROW(Kintoneデータ抽出!$K$2:$K$5000) / ((Kintoneデータ抽出!$K$2:$K$5000="企業内")), ROW(A65))), "")</f>
        <v/>
      </c>
      <c r="H372" s="41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2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3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1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1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1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1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4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6.6" customHeight="1" x14ac:dyDescent="0.45">
      <c r="B373" s="142"/>
      <c r="C373" s="143"/>
      <c r="D373" s="67" t="str">
        <f t="shared" si="7"/>
        <v/>
      </c>
      <c r="E373" s="52" t="str">
        <f t="array" ref="E373">IFERROR(INDEX(Kintoneデータ抽出!A:A, _xlfn.AGGREGATE(15, 6, ROW(Kintoneデータ抽出!$K$2:$K$5000) / ((Kintoneデータ抽出!$K$2:$K$5000="企業内")), ROW(A66))), "")</f>
        <v/>
      </c>
      <c r="F373" s="53" t="str">
        <f t="array" ref="F373">IFERROR(INDEX(Kintoneデータ抽出!D:D,_xlfn.AGGREGATE(15,6,ROW(Kintoneデータ抽出!$K$2:$K$5000)/((Kintoneデータ抽出!$K$2:$K$5000="企業内")),ROW(A66))),"")</f>
        <v/>
      </c>
      <c r="G373" s="52" t="str">
        <f t="array" ref="G373">IFERROR(INDEX(Kintoneデータ抽出!C:C, _xlfn.AGGREGATE(15, 6, ROW(Kintoneデータ抽出!$K$2:$K$5000) / ((Kintoneデータ抽出!$K$2:$K$5000="企業内")), ROW(A66))), "")</f>
        <v/>
      </c>
      <c r="H373" s="41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2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3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1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1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1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1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4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6.6" customHeight="1" x14ac:dyDescent="0.45">
      <c r="B374" s="142"/>
      <c r="C374" s="143"/>
      <c r="D374" s="67" t="str">
        <f t="shared" si="7"/>
        <v/>
      </c>
      <c r="E374" s="52" t="str">
        <f t="array" ref="E374">IFERROR(INDEX(Kintoneデータ抽出!A:A, _xlfn.AGGREGATE(15, 6, ROW(Kintoneデータ抽出!$K$2:$K$5000) / ((Kintoneデータ抽出!$K$2:$K$5000="企業内")), ROW(A67))), "")</f>
        <v/>
      </c>
      <c r="F374" s="53" t="str">
        <f t="array" ref="F374">IFERROR(INDEX(Kintoneデータ抽出!D:D,_xlfn.AGGREGATE(15,6,ROW(Kintoneデータ抽出!$K$2:$K$5000)/((Kintoneデータ抽出!$K$2:$K$5000="企業内")),ROW(A67))),"")</f>
        <v/>
      </c>
      <c r="G374" s="52" t="str">
        <f t="array" ref="G374">IFERROR(INDEX(Kintoneデータ抽出!C:C, _xlfn.AGGREGATE(15, 6, ROW(Kintoneデータ抽出!$K$2:$K$5000) / ((Kintoneデータ抽出!$K$2:$K$5000="企業内")), ROW(A67))), "")</f>
        <v/>
      </c>
      <c r="H374" s="41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2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3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1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1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1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1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4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6.6" customHeight="1" x14ac:dyDescent="0.45">
      <c r="B375" s="144"/>
      <c r="C375" s="145"/>
      <c r="D375" s="71" t="str">
        <f t="shared" si="7"/>
        <v/>
      </c>
      <c r="E375" s="54" t="str">
        <f t="array" ref="E375">IFERROR(INDEX(Kintoneデータ抽出!A:A, _xlfn.AGGREGATE(15, 6, ROW(Kintoneデータ抽出!$K$2:$K$5000) / ((Kintoneデータ抽出!$K$2:$K$5000="企業内")), ROW(A68))), "")</f>
        <v/>
      </c>
      <c r="F375" s="55" t="str">
        <f t="array" ref="F375">IFERROR(INDEX(Kintoneデータ抽出!D:D,_xlfn.AGGREGATE(15,6,ROW(Kintoneデータ抽出!$K$2:$K$5000)/((Kintoneデータ抽出!$K$2:$K$5000="企業内")),ROW(A68))),"")</f>
        <v/>
      </c>
      <c r="G375" s="54" t="str">
        <f t="array" ref="G375">IFERROR(INDEX(Kintoneデータ抽出!C:C, _xlfn.AGGREGATE(15, 6, ROW(Kintoneデータ抽出!$K$2:$K$5000) / ((Kintoneデータ抽出!$K$2:$K$5000="企業内")), ROW(A68))), "")</f>
        <v/>
      </c>
      <c r="H375" s="45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6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7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5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5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5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5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8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</sheetData>
  <mergeCells count="5">
    <mergeCell ref="A1:P2"/>
    <mergeCell ref="N3:O3"/>
    <mergeCell ref="J40:M40"/>
    <mergeCell ref="J310:M310"/>
    <mergeCell ref="J11:M11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123" t="s">
        <v>62</v>
      </c>
      <c r="C3" s="92"/>
      <c r="D3" s="92"/>
      <c r="E3" s="92"/>
      <c r="F3" s="92"/>
      <c r="G3" s="92"/>
      <c r="H3" s="92"/>
      <c r="I3" s="92"/>
      <c r="J3" s="109"/>
      <c r="K3" s="110"/>
      <c r="L3" s="127" t="s">
        <v>63</v>
      </c>
      <c r="M3" s="110"/>
      <c r="N3" s="129">
        <f>SUM(N4:O6)</f>
        <v>0</v>
      </c>
      <c r="O3" s="110"/>
      <c r="P3" s="109" t="s">
        <v>64</v>
      </c>
      <c r="Q3" s="110"/>
      <c r="R3" s="15"/>
      <c r="AA3" s="95" t="s">
        <v>55</v>
      </c>
      <c r="AB3" s="92"/>
      <c r="AC3" s="115">
        <f>SUM(AC4)</f>
        <v>0</v>
      </c>
      <c r="AD3" s="92"/>
      <c r="AE3" s="124" t="s">
        <v>65</v>
      </c>
      <c r="AF3" s="92"/>
      <c r="AG3" s="9"/>
      <c r="AH3" s="9"/>
    </row>
    <row r="4" spans="2:42" ht="18.600000000000001" customHeight="1" x14ac:dyDescent="0.45">
      <c r="B4" s="92"/>
      <c r="C4" s="92"/>
      <c r="D4" s="92"/>
      <c r="E4" s="92"/>
      <c r="F4" s="92"/>
      <c r="G4" s="92"/>
      <c r="H4" s="92"/>
      <c r="I4" s="92"/>
      <c r="J4" s="93" t="s">
        <v>66</v>
      </c>
      <c r="K4" s="94"/>
      <c r="L4" s="94"/>
      <c r="M4" s="94"/>
      <c r="N4" s="111">
        <f>COUNTIF(Kintoneデータ抽出!K:K,"院内")</f>
        <v>0</v>
      </c>
      <c r="O4" s="94"/>
      <c r="P4" s="111" t="s">
        <v>65</v>
      </c>
      <c r="Q4" s="94"/>
      <c r="R4" s="16"/>
      <c r="U4" s="9"/>
      <c r="V4" s="9"/>
      <c r="W4" s="9"/>
      <c r="X4" s="9"/>
      <c r="Y4" s="9"/>
      <c r="Z4" s="9"/>
      <c r="AA4" s="91" t="s">
        <v>55</v>
      </c>
      <c r="AB4" s="92"/>
      <c r="AC4" s="10">
        <f>SUM(AG4+AJ4)</f>
        <v>0</v>
      </c>
      <c r="AD4" s="9" t="s">
        <v>65</v>
      </c>
      <c r="AE4" s="91" t="s">
        <v>67</v>
      </c>
      <c r="AF4" s="92"/>
      <c r="AG4" s="10">
        <f>COUNTIF('クライアント名あり（縦）'!$E$41:$E$307,"*北海道*")</f>
        <v>0</v>
      </c>
      <c r="AH4" s="106" t="s">
        <v>68</v>
      </c>
      <c r="AI4" s="92"/>
      <c r="AJ4" s="10">
        <f>COUNTIF('クライアント名あり（縦）'!$E$311:$E$375,"*北海道*")</f>
        <v>0</v>
      </c>
      <c r="AK4" s="12" t="s">
        <v>69</v>
      </c>
      <c r="AL4"/>
      <c r="AM4" s="18"/>
      <c r="AO4" s="10"/>
      <c r="AP4" s="9"/>
    </row>
    <row r="5" spans="2:42" ht="22.2" customHeight="1" x14ac:dyDescent="0.45">
      <c r="B5" s="92"/>
      <c r="C5" s="92"/>
      <c r="D5" s="92"/>
      <c r="E5" s="92"/>
      <c r="F5" s="92"/>
      <c r="G5" s="92"/>
      <c r="H5" s="92"/>
      <c r="I5" s="92"/>
      <c r="J5" s="93" t="s">
        <v>70</v>
      </c>
      <c r="K5" s="94"/>
      <c r="L5" s="94"/>
      <c r="M5" s="94"/>
      <c r="N5" s="111">
        <f>COUNTIF(Kintoneデータ抽出!K:K,"企業内")</f>
        <v>0</v>
      </c>
      <c r="O5" s="94"/>
      <c r="P5" s="111" t="s">
        <v>65</v>
      </c>
      <c r="Q5" s="94"/>
      <c r="R5" s="16"/>
      <c r="U5" s="9"/>
      <c r="V5" s="9"/>
      <c r="W5" s="9"/>
      <c r="X5" s="9"/>
      <c r="Y5" s="9"/>
      <c r="Z5" s="9"/>
      <c r="AA5" s="91"/>
      <c r="AB5" s="92"/>
      <c r="AC5" s="10"/>
      <c r="AD5" s="9"/>
      <c r="AE5" s="91"/>
      <c r="AF5" s="92"/>
      <c r="AG5" s="10"/>
      <c r="AH5" s="9"/>
      <c r="AI5" s="11"/>
      <c r="AL5"/>
      <c r="AM5" s="18"/>
    </row>
    <row r="6" spans="2:42" ht="22.2" customHeight="1" x14ac:dyDescent="0.45">
      <c r="B6" s="92"/>
      <c r="C6" s="92"/>
      <c r="D6" s="92"/>
      <c r="E6" s="92"/>
      <c r="F6" s="92"/>
      <c r="G6" s="92"/>
      <c r="H6" s="92"/>
      <c r="I6" s="92"/>
      <c r="J6" s="93" t="s">
        <v>71</v>
      </c>
      <c r="K6" s="94"/>
      <c r="L6" s="94"/>
      <c r="M6" s="94"/>
      <c r="N6" s="111">
        <f>COUNTIF(Kintoneデータ抽出!K:K,"認可")+COUNTIF(Kintoneデータ抽出!K:K,"小規模")</f>
        <v>0</v>
      </c>
      <c r="O6" s="94"/>
      <c r="P6" s="111" t="s">
        <v>65</v>
      </c>
      <c r="Q6" s="94"/>
      <c r="R6" s="16"/>
      <c r="U6" s="9"/>
      <c r="V6" s="9"/>
      <c r="W6" s="9"/>
      <c r="X6" s="9"/>
      <c r="Y6" s="9"/>
      <c r="Z6" s="9"/>
      <c r="AA6" s="120" t="s">
        <v>50</v>
      </c>
      <c r="AB6" s="92"/>
      <c r="AC6" s="96">
        <f>SUM(AC12:AC13,AC7:AC10)</f>
        <v>0</v>
      </c>
      <c r="AD6" s="92"/>
      <c r="AE6" s="97" t="s">
        <v>65</v>
      </c>
      <c r="AF6" s="92"/>
      <c r="AG6" s="10"/>
      <c r="AH6" s="9"/>
      <c r="AI6" s="11"/>
      <c r="AL6"/>
      <c r="AM6"/>
    </row>
    <row r="7" spans="2:42" ht="18.600000000000001" customHeight="1" x14ac:dyDescent="0.45">
      <c r="B7" s="92"/>
      <c r="C7" s="92"/>
      <c r="D7" s="92"/>
      <c r="E7" s="92"/>
      <c r="F7" s="92"/>
      <c r="G7" s="92"/>
      <c r="H7" s="92"/>
      <c r="I7" s="92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91" t="s">
        <v>72</v>
      </c>
      <c r="AB7" s="92"/>
      <c r="AC7" s="10">
        <f>SUM(AG7,AJ7)</f>
        <v>0</v>
      </c>
      <c r="AD7" s="9" t="s">
        <v>65</v>
      </c>
      <c r="AE7" s="91" t="s">
        <v>67</v>
      </c>
      <c r="AF7" s="92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92"/>
      <c r="C8" s="92"/>
      <c r="D8" s="92"/>
      <c r="E8" s="92"/>
      <c r="F8" s="92"/>
      <c r="G8" s="92"/>
      <c r="H8" s="92"/>
      <c r="I8" s="92"/>
      <c r="J8" s="122" t="s">
        <v>73</v>
      </c>
      <c r="K8" s="92"/>
      <c r="L8" s="92"/>
      <c r="M8" s="92"/>
      <c r="N8" s="99">
        <f>COUNTIF(Kintoneデータ抽出!B:B,"開園予定")</f>
        <v>0</v>
      </c>
      <c r="O8" s="92"/>
      <c r="P8" s="99" t="s">
        <v>65</v>
      </c>
      <c r="Q8" s="92"/>
      <c r="R8" s="19"/>
      <c r="U8" s="9"/>
      <c r="V8" s="9"/>
      <c r="W8" s="9"/>
      <c r="X8" s="9"/>
      <c r="Y8" s="9"/>
      <c r="Z8" s="9"/>
      <c r="AA8" s="91" t="s">
        <v>74</v>
      </c>
      <c r="AB8" s="92"/>
      <c r="AC8" s="10">
        <f>SUM(AG8,AJ8)</f>
        <v>0</v>
      </c>
      <c r="AD8" s="9" t="s">
        <v>65</v>
      </c>
      <c r="AE8" s="91" t="s">
        <v>67</v>
      </c>
      <c r="AF8" s="92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92"/>
      <c r="C9" s="92"/>
      <c r="D9" s="92"/>
      <c r="E9" s="92"/>
      <c r="F9" s="92"/>
      <c r="G9" s="92"/>
      <c r="H9" s="92"/>
      <c r="I9" s="92"/>
      <c r="U9" s="9"/>
      <c r="V9" s="9"/>
      <c r="W9" s="9"/>
      <c r="X9" s="9"/>
      <c r="Y9" s="9"/>
      <c r="Z9" s="9"/>
      <c r="AA9" s="91" t="s">
        <v>75</v>
      </c>
      <c r="AB9" s="92"/>
      <c r="AC9" s="10">
        <f>SUM(AG9,AJ9)</f>
        <v>0</v>
      </c>
      <c r="AD9" s="9" t="s">
        <v>65</v>
      </c>
      <c r="AE9" s="91" t="s">
        <v>76</v>
      </c>
      <c r="AF9" s="92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06" t="s">
        <v>69</v>
      </c>
      <c r="AI9" s="92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91" t="s">
        <v>77</v>
      </c>
      <c r="AB10" s="92"/>
      <c r="AC10" s="10">
        <f>SUM(AG10,AJ10)</f>
        <v>0</v>
      </c>
      <c r="AD10" s="9" t="s">
        <v>65</v>
      </c>
      <c r="AE10" s="91" t="s">
        <v>67</v>
      </c>
      <c r="AF10" s="92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119" t="s">
        <v>57</v>
      </c>
      <c r="C11" s="92"/>
      <c r="D11" s="121">
        <f>SUM(D12:D18)</f>
        <v>0</v>
      </c>
      <c r="E11" s="92"/>
      <c r="F11" s="102" t="s">
        <v>65</v>
      </c>
      <c r="G11" s="92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91" t="s">
        <v>76</v>
      </c>
      <c r="AF11" s="92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06" t="s">
        <v>69</v>
      </c>
      <c r="AI11" s="92"/>
      <c r="AJ11" s="9"/>
      <c r="AK11" s="12"/>
    </row>
    <row r="12" spans="2:42" ht="18.600000000000001" customHeight="1" x14ac:dyDescent="0.45">
      <c r="B12" s="91" t="s">
        <v>78</v>
      </c>
      <c r="C12" s="92"/>
      <c r="D12" s="10">
        <f t="shared" ref="D12:D18" si="0">SUM(H12,K12)</f>
        <v>0</v>
      </c>
      <c r="E12" s="9" t="s">
        <v>65</v>
      </c>
      <c r="F12" s="91" t="s">
        <v>67</v>
      </c>
      <c r="G12" s="92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91" t="s">
        <v>79</v>
      </c>
      <c r="AB12" s="92"/>
      <c r="AC12" s="10">
        <f>SUM(AG12,AJ12)</f>
        <v>0</v>
      </c>
      <c r="AD12" s="9" t="s">
        <v>65</v>
      </c>
      <c r="AE12" s="91" t="s">
        <v>67</v>
      </c>
      <c r="AF12" s="92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91" t="s">
        <v>80</v>
      </c>
      <c r="C13" s="92"/>
      <c r="D13" s="10">
        <f t="shared" si="0"/>
        <v>0</v>
      </c>
      <c r="E13" s="9" t="s">
        <v>65</v>
      </c>
      <c r="F13" s="91" t="s">
        <v>67</v>
      </c>
      <c r="G13" s="92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91" t="s">
        <v>81</v>
      </c>
      <c r="AB13" s="92"/>
      <c r="AC13" s="10">
        <f>SUM(AG13,AJ13)</f>
        <v>0</v>
      </c>
      <c r="AD13" s="9" t="s">
        <v>65</v>
      </c>
      <c r="AE13" s="91" t="s">
        <v>67</v>
      </c>
      <c r="AF13" s="92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91" t="s">
        <v>82</v>
      </c>
      <c r="C14" s="92"/>
      <c r="D14" s="10">
        <f t="shared" si="0"/>
        <v>0</v>
      </c>
      <c r="E14" s="9" t="s">
        <v>65</v>
      </c>
      <c r="F14" s="91" t="s">
        <v>67</v>
      </c>
      <c r="G14" s="92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91" t="s">
        <v>83</v>
      </c>
      <c r="C15" s="92"/>
      <c r="D15" s="10">
        <f t="shared" si="0"/>
        <v>0</v>
      </c>
      <c r="E15" s="9" t="s">
        <v>65</v>
      </c>
      <c r="F15" s="91" t="s">
        <v>67</v>
      </c>
      <c r="G15" s="92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130" t="s">
        <v>51</v>
      </c>
      <c r="AB15" s="92"/>
      <c r="AC15" s="131">
        <f>SUM(AC16:AC22)</f>
        <v>0</v>
      </c>
      <c r="AD15" s="92"/>
      <c r="AE15" s="101" t="s">
        <v>65</v>
      </c>
      <c r="AF15" s="92"/>
      <c r="AG15" s="9"/>
      <c r="AH15" s="9"/>
      <c r="AI15" s="9"/>
      <c r="AJ15" s="9"/>
      <c r="AK15" s="12"/>
    </row>
    <row r="16" spans="2:42" ht="18.600000000000001" customHeight="1" x14ac:dyDescent="0.45">
      <c r="B16" s="91" t="s">
        <v>84</v>
      </c>
      <c r="C16" s="92"/>
      <c r="D16" s="10">
        <f t="shared" si="0"/>
        <v>0</v>
      </c>
      <c r="E16" s="9" t="s">
        <v>65</v>
      </c>
      <c r="F16" s="91" t="s">
        <v>67</v>
      </c>
      <c r="G16" s="92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91" t="s">
        <v>85</v>
      </c>
      <c r="AB16" s="92"/>
      <c r="AC16" s="10">
        <f t="shared" ref="AC16:AC22" si="3">SUM(AG16,AJ16)</f>
        <v>0</v>
      </c>
      <c r="AD16" s="9" t="s">
        <v>65</v>
      </c>
      <c r="AE16" s="91" t="s">
        <v>67</v>
      </c>
      <c r="AF16" s="92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91" t="s">
        <v>86</v>
      </c>
      <c r="C17" s="92"/>
      <c r="D17" s="10">
        <f t="shared" si="0"/>
        <v>0</v>
      </c>
      <c r="E17" s="9" t="s">
        <v>65</v>
      </c>
      <c r="F17" s="91" t="s">
        <v>67</v>
      </c>
      <c r="G17" s="92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91" t="s">
        <v>87</v>
      </c>
      <c r="AB17" s="92"/>
      <c r="AC17" s="10">
        <f t="shared" si="3"/>
        <v>0</v>
      </c>
      <c r="AD17" s="9" t="s">
        <v>65</v>
      </c>
      <c r="AE17" s="91" t="s">
        <v>67</v>
      </c>
      <c r="AF17" s="92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91" t="s">
        <v>88</v>
      </c>
      <c r="C18" s="92"/>
      <c r="D18" s="10">
        <f t="shared" si="0"/>
        <v>0</v>
      </c>
      <c r="E18" s="9" t="s">
        <v>65</v>
      </c>
      <c r="F18" s="91" t="s">
        <v>67</v>
      </c>
      <c r="G18" s="92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1" t="s">
        <v>89</v>
      </c>
      <c r="AB18" s="92"/>
      <c r="AC18" s="10">
        <f t="shared" si="3"/>
        <v>0</v>
      </c>
      <c r="AD18" s="9" t="s">
        <v>65</v>
      </c>
      <c r="AE18" s="91" t="s">
        <v>67</v>
      </c>
      <c r="AF18" s="92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1" t="s">
        <v>90</v>
      </c>
      <c r="AB19" s="92"/>
      <c r="AC19" s="10">
        <f t="shared" si="3"/>
        <v>0</v>
      </c>
      <c r="AD19" s="9" t="s">
        <v>65</v>
      </c>
      <c r="AE19" s="91" t="s">
        <v>67</v>
      </c>
      <c r="AF19" s="92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1" t="s">
        <v>91</v>
      </c>
      <c r="AB20" s="92"/>
      <c r="AC20" s="10">
        <f t="shared" si="3"/>
        <v>0</v>
      </c>
      <c r="AD20" s="9" t="s">
        <v>65</v>
      </c>
      <c r="AE20" s="91" t="s">
        <v>67</v>
      </c>
      <c r="AF20" s="92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128" t="s">
        <v>58</v>
      </c>
      <c r="C21" s="92"/>
      <c r="D21" s="105">
        <f>SUM(D22:D25)</f>
        <v>0</v>
      </c>
      <c r="E21" s="92"/>
      <c r="F21" s="114" t="s">
        <v>65</v>
      </c>
      <c r="G21" s="92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1" t="s">
        <v>92</v>
      </c>
      <c r="AB21" s="92"/>
      <c r="AC21" s="10">
        <f t="shared" si="3"/>
        <v>0</v>
      </c>
      <c r="AD21" s="9" t="s">
        <v>65</v>
      </c>
      <c r="AE21" s="91" t="s">
        <v>67</v>
      </c>
      <c r="AF21" s="92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91" t="s">
        <v>93</v>
      </c>
      <c r="C22" s="92"/>
      <c r="D22" s="10">
        <f>SUM(H22,K22)</f>
        <v>0</v>
      </c>
      <c r="E22" s="9" t="s">
        <v>65</v>
      </c>
      <c r="F22" s="91" t="s">
        <v>67</v>
      </c>
      <c r="G22" s="92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1" t="s">
        <v>94</v>
      </c>
      <c r="AB22" s="92"/>
      <c r="AC22" s="10">
        <f t="shared" si="3"/>
        <v>0</v>
      </c>
      <c r="AD22" s="9" t="s">
        <v>65</v>
      </c>
      <c r="AE22" s="91" t="s">
        <v>67</v>
      </c>
      <c r="AF22" s="92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91" t="s">
        <v>95</v>
      </c>
      <c r="C23" s="92"/>
      <c r="D23" s="10">
        <f>SUM(H23,K23)</f>
        <v>0</v>
      </c>
      <c r="E23" s="9" t="s">
        <v>65</v>
      </c>
      <c r="F23" s="91" t="s">
        <v>67</v>
      </c>
      <c r="G23" s="92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1" t="s">
        <v>76</v>
      </c>
      <c r="AF23" s="92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06" t="s">
        <v>69</v>
      </c>
      <c r="AI23" s="92"/>
      <c r="AJ23" s="10"/>
      <c r="AK23" s="12"/>
    </row>
    <row r="24" spans="2:37" ht="22.2" customHeight="1" x14ac:dyDescent="0.45">
      <c r="B24" s="91" t="s">
        <v>96</v>
      </c>
      <c r="C24" s="92"/>
      <c r="D24" s="10">
        <f>SUM(H24,K24)</f>
        <v>0</v>
      </c>
      <c r="E24" s="9" t="s">
        <v>65</v>
      </c>
      <c r="F24" s="91" t="s">
        <v>67</v>
      </c>
      <c r="G24" s="92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91" t="s">
        <v>97</v>
      </c>
      <c r="C25" s="92"/>
      <c r="D25" s="10">
        <f>SUM(H25,K25)</f>
        <v>0</v>
      </c>
      <c r="E25" s="9" t="s">
        <v>65</v>
      </c>
      <c r="F25" s="91" t="s">
        <v>67</v>
      </c>
      <c r="G25" s="92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25" t="s">
        <v>56</v>
      </c>
      <c r="AB25" s="92"/>
      <c r="AC25" s="126">
        <f>SUM(AC26:AC33)</f>
        <v>0</v>
      </c>
      <c r="AD25" s="92"/>
      <c r="AE25" s="113" t="s">
        <v>65</v>
      </c>
      <c r="AF25" s="92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1" t="s">
        <v>98</v>
      </c>
      <c r="AB26" s="92"/>
      <c r="AC26" s="10">
        <f t="shared" ref="AC26:AC33" si="6">SUM(AG26,AJ26)</f>
        <v>0</v>
      </c>
      <c r="AD26" s="9" t="s">
        <v>65</v>
      </c>
      <c r="AE26" s="91" t="s">
        <v>67</v>
      </c>
      <c r="AF26" s="92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91"/>
      <c r="C27" s="92"/>
      <c r="D27" s="10"/>
      <c r="E27" s="9"/>
      <c r="F27" s="91"/>
      <c r="G27" s="92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91" t="s">
        <v>99</v>
      </c>
      <c r="AB27" s="92"/>
      <c r="AC27" s="10">
        <f t="shared" si="6"/>
        <v>0</v>
      </c>
      <c r="AD27" s="9" t="s">
        <v>65</v>
      </c>
      <c r="AE27" s="91" t="s">
        <v>67</v>
      </c>
      <c r="AF27" s="92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1" t="s">
        <v>100</v>
      </c>
      <c r="AB28" s="92"/>
      <c r="AC28" s="10">
        <f t="shared" si="6"/>
        <v>0</v>
      </c>
      <c r="AD28" s="9" t="s">
        <v>65</v>
      </c>
      <c r="AE28" s="91" t="s">
        <v>67</v>
      </c>
      <c r="AF28" s="92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07" t="s">
        <v>59</v>
      </c>
      <c r="C29" s="92"/>
      <c r="D29" s="112">
        <f>SUM(D30:D32)</f>
        <v>0</v>
      </c>
      <c r="E29" s="92"/>
      <c r="F29" s="132" t="s">
        <v>65</v>
      </c>
      <c r="G29" s="92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1" t="s">
        <v>101</v>
      </c>
      <c r="AB29" s="92"/>
      <c r="AC29" s="10">
        <f t="shared" si="6"/>
        <v>0</v>
      </c>
      <c r="AD29" s="9" t="s">
        <v>65</v>
      </c>
      <c r="AE29" s="91" t="s">
        <v>67</v>
      </c>
      <c r="AF29" s="92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91" t="s">
        <v>102</v>
      </c>
      <c r="C30" s="92"/>
      <c r="D30" s="10">
        <f>SUM(H30,K30)</f>
        <v>0</v>
      </c>
      <c r="E30" s="9" t="s">
        <v>65</v>
      </c>
      <c r="F30" s="91" t="s">
        <v>67</v>
      </c>
      <c r="G30" s="92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1" t="s">
        <v>103</v>
      </c>
      <c r="AB30" s="92"/>
      <c r="AC30" s="10">
        <f t="shared" si="6"/>
        <v>0</v>
      </c>
      <c r="AD30" s="9" t="s">
        <v>65</v>
      </c>
      <c r="AE30" s="91" t="s">
        <v>67</v>
      </c>
      <c r="AF30" s="92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91" t="s">
        <v>104</v>
      </c>
      <c r="C31" s="92"/>
      <c r="D31" s="10">
        <f>SUM(H31,K31)</f>
        <v>0</v>
      </c>
      <c r="E31" s="9" t="s">
        <v>65</v>
      </c>
      <c r="F31" s="91" t="s">
        <v>67</v>
      </c>
      <c r="G31" s="92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91" t="s">
        <v>105</v>
      </c>
      <c r="AB31" s="92"/>
      <c r="AC31" s="10">
        <f t="shared" si="6"/>
        <v>0</v>
      </c>
      <c r="AD31" s="9" t="s">
        <v>65</v>
      </c>
      <c r="AE31" s="91" t="s">
        <v>67</v>
      </c>
      <c r="AF31" s="92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91" t="s">
        <v>106</v>
      </c>
      <c r="C32" s="92"/>
      <c r="D32" s="10">
        <f>SUM(H32,K32)</f>
        <v>0</v>
      </c>
      <c r="E32" s="9" t="s">
        <v>65</v>
      </c>
      <c r="F32" s="91" t="s">
        <v>67</v>
      </c>
      <c r="G32" s="92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91" t="s">
        <v>107</v>
      </c>
      <c r="AB32" s="92"/>
      <c r="AC32" s="10">
        <f t="shared" si="6"/>
        <v>0</v>
      </c>
      <c r="AD32" s="9" t="s">
        <v>65</v>
      </c>
      <c r="AE32" s="91" t="s">
        <v>67</v>
      </c>
      <c r="AF32" s="92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1" t="s">
        <v>108</v>
      </c>
      <c r="AB33" s="92"/>
      <c r="AC33" s="10">
        <f t="shared" si="6"/>
        <v>0</v>
      </c>
      <c r="AD33" s="9" t="s">
        <v>65</v>
      </c>
      <c r="AE33" s="91" t="s">
        <v>67</v>
      </c>
      <c r="AF33" s="92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00" t="s">
        <v>60</v>
      </c>
      <c r="C34" s="92"/>
      <c r="D34" s="116">
        <f>SUM(D35:D38)</f>
        <v>0</v>
      </c>
      <c r="E34" s="92"/>
      <c r="F34" s="117" t="s">
        <v>65</v>
      </c>
      <c r="G34" s="92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91" t="s">
        <v>109</v>
      </c>
      <c r="C35" s="92"/>
      <c r="D35" s="10">
        <f>SUM(H35,K35)</f>
        <v>0</v>
      </c>
      <c r="E35" s="9" t="s">
        <v>65</v>
      </c>
      <c r="F35" s="91" t="s">
        <v>67</v>
      </c>
      <c r="G35" s="92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91" t="s">
        <v>110</v>
      </c>
      <c r="C36" s="92"/>
      <c r="D36" s="10">
        <f>SUM(H36,K36)</f>
        <v>0</v>
      </c>
      <c r="E36" s="9" t="s">
        <v>65</v>
      </c>
      <c r="F36" s="91" t="s">
        <v>67</v>
      </c>
      <c r="G36" s="92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91" t="s">
        <v>111</v>
      </c>
      <c r="C37" s="92"/>
      <c r="D37" s="10">
        <f>SUM(H37,K37)</f>
        <v>0</v>
      </c>
      <c r="E37" s="9" t="s">
        <v>65</v>
      </c>
      <c r="F37" s="91" t="s">
        <v>67</v>
      </c>
      <c r="G37" s="92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91" t="s">
        <v>35</v>
      </c>
      <c r="C38" s="92"/>
      <c r="D38" s="10">
        <f>SUM(H38,K38)</f>
        <v>0</v>
      </c>
      <c r="E38" s="9" t="s">
        <v>65</v>
      </c>
      <c r="F38" s="91" t="s">
        <v>67</v>
      </c>
      <c r="G38" s="92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118" t="s">
        <v>52</v>
      </c>
      <c r="C40" s="92"/>
      <c r="D40" s="103">
        <f>SUM(D41)</f>
        <v>0</v>
      </c>
      <c r="E40" s="92"/>
      <c r="F40" s="104" t="s">
        <v>65</v>
      </c>
      <c r="G40" s="92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91" t="s">
        <v>112</v>
      </c>
      <c r="C41" s="92"/>
      <c r="D41" s="10">
        <f>SUM(H41,K41)</f>
        <v>0</v>
      </c>
      <c r="E41" s="9" t="s">
        <v>65</v>
      </c>
      <c r="F41" s="91" t="s">
        <v>67</v>
      </c>
      <c r="G41" s="92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91" t="s">
        <v>113</v>
      </c>
      <c r="M41" s="92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69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08" t="s">
        <v>114</v>
      </c>
      <c r="AE41" s="92"/>
      <c r="AF41" s="92"/>
      <c r="AG41" s="92"/>
      <c r="AH41" s="92"/>
      <c r="AI41" s="92"/>
      <c r="AJ41" s="92"/>
      <c r="AK41" s="92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98"/>
      <c r="AN49" s="92"/>
    </row>
  </sheetData>
  <mergeCells count="139">
    <mergeCell ref="B13:C13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B21:C21"/>
    <mergeCell ref="AA15:AB15"/>
    <mergeCell ref="F15:G15"/>
    <mergeCell ref="AC15:AD15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B36:C36"/>
    <mergeCell ref="AE33:AF33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N5:O5"/>
    <mergeCell ref="J5:M5"/>
    <mergeCell ref="AE8:AF8"/>
    <mergeCell ref="AA26:AB26"/>
    <mergeCell ref="AE17:AF17"/>
    <mergeCell ref="L3:M3"/>
    <mergeCell ref="N3:O3"/>
    <mergeCell ref="P6:Q6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Q630"/>
  <sheetViews>
    <sheetView workbookViewId="0">
      <selection activeCell="C13" sqref="C13"/>
    </sheetView>
  </sheetViews>
  <sheetFormatPr defaultRowHeight="17.399999999999999" customHeight="1" outlineLevelCol="1" x14ac:dyDescent="0.45"/>
  <cols>
    <col min="2" max="2" width="26.09765625" style="35" bestFit="1" customWidth="1"/>
    <col min="5" max="5" width="28.09765625" style="35" customWidth="1" outlineLevel="1"/>
    <col min="6" max="7" width="4.796875" style="35" customWidth="1" outlineLevel="1"/>
    <col min="8" max="8" width="46.796875" style="35" customWidth="1" outlineLevel="1"/>
    <col min="9" max="10" width="3.59765625" style="35" customWidth="1" outlineLevel="1"/>
    <col min="11" max="11" width="49.59765625" style="35" customWidth="1" outlineLevel="1"/>
    <col min="12" max="13" width="4.796875" style="35" customWidth="1" outlineLevel="1"/>
    <col min="14" max="14" width="39.796875" style="35" customWidth="1" outlineLevel="1"/>
    <col min="15" max="16" width="5.19921875" style="35" customWidth="1"/>
    <col min="17" max="17" width="10.3984375" style="35" customWidth="1"/>
  </cols>
  <sheetData>
    <row r="1" spans="2:16" ht="17.399999999999999" customHeight="1" thickBot="1" x14ac:dyDescent="0.5">
      <c r="B1" t="s">
        <v>115</v>
      </c>
      <c r="E1" t="s">
        <v>116</v>
      </c>
      <c r="F1"/>
      <c r="G1">
        <f>SUM(G2:G1000)</f>
        <v>0</v>
      </c>
      <c r="H1" t="s">
        <v>117</v>
      </c>
      <c r="I1"/>
      <c r="J1">
        <f>SUM(J2:J1000)</f>
        <v>0</v>
      </c>
      <c r="K1" t="s">
        <v>118</v>
      </c>
      <c r="L1"/>
      <c r="M1">
        <f>SUM(M2:M1000)</f>
        <v>0</v>
      </c>
      <c r="N1" t="s">
        <v>119</v>
      </c>
      <c r="P1">
        <f>SUM(P2:P1000)</f>
        <v>0</v>
      </c>
    </row>
    <row r="2" spans="2:16" ht="17.399999999999999" customHeight="1" thickBot="1" x14ac:dyDescent="0.5">
      <c r="B2" s="24" t="s">
        <v>120</v>
      </c>
      <c r="C2" s="24" t="s">
        <v>121</v>
      </c>
      <c r="E2" t="s">
        <v>122</v>
      </c>
      <c r="F2" s="81" t="s">
        <v>123</v>
      </c>
      <c r="G2">
        <f>COUNTIF(Kintoneデータ抽出!$D:$D,"*"&amp;病院別実績!F2&amp;"*")</f>
        <v>0</v>
      </c>
      <c r="H2" t="s">
        <v>28</v>
      </c>
      <c r="I2" s="81" t="s">
        <v>124</v>
      </c>
      <c r="J2">
        <f>COUNTIF(Kintoneデータ抽出!$D:$D,"*"&amp;病院別実績!I2&amp;"*")</f>
        <v>0</v>
      </c>
      <c r="K2" t="s">
        <v>11</v>
      </c>
      <c r="L2" s="81" t="s">
        <v>125</v>
      </c>
      <c r="M2">
        <f>COUNTIF(Kintoneデータ抽出!$D:$D,"*"&amp;病院別実績!L2&amp;"*")</f>
        <v>0</v>
      </c>
      <c r="N2" t="s">
        <v>10</v>
      </c>
      <c r="O2" s="80" t="s">
        <v>126</v>
      </c>
      <c r="P2">
        <f>COUNTIF(Kintoneデータ抽出!$D:$D,"*"&amp;病院別実績!O2&amp;"*")</f>
        <v>0</v>
      </c>
    </row>
    <row r="3" spans="2:16" ht="17.399999999999999" customHeight="1" thickBot="1" x14ac:dyDescent="0.5">
      <c r="B3" s="24" t="s">
        <v>127</v>
      </c>
      <c r="C3" s="24">
        <f>COUNTIF(Kintoneデータ抽出!D:D,"*国立病院機構*")</f>
        <v>0</v>
      </c>
      <c r="E3" t="s">
        <v>128</v>
      </c>
      <c r="F3" s="81" t="s">
        <v>129</v>
      </c>
      <c r="G3">
        <f>COUNTIF(Kintoneデータ抽出!$D:$D,"*"&amp;病院別実績!F3&amp;"*")</f>
        <v>0</v>
      </c>
      <c r="H3" t="s">
        <v>27</v>
      </c>
      <c r="I3" s="80" t="s">
        <v>130</v>
      </c>
      <c r="J3">
        <f>COUNTIF(Kintoneデータ抽出!$D:$D,"*"&amp;病院別実績!I3&amp;"*")</f>
        <v>0</v>
      </c>
      <c r="K3" t="s">
        <v>131</v>
      </c>
      <c r="L3" s="81" t="s">
        <v>132</v>
      </c>
      <c r="M3">
        <f>COUNTIF(Kintoneデータ抽出!$D:$D,"*"&amp;病院別実績!L3&amp;"*")</f>
        <v>0</v>
      </c>
      <c r="N3" t="s">
        <v>14</v>
      </c>
      <c r="O3" s="80" t="s">
        <v>133</v>
      </c>
      <c r="P3">
        <f>COUNTIF(Kintoneデータ抽出!$D:$D,"*"&amp;病院別実績!O3&amp;"*")</f>
        <v>0</v>
      </c>
    </row>
    <row r="4" spans="2:16" ht="17.399999999999999" customHeight="1" thickBot="1" x14ac:dyDescent="0.5">
      <c r="B4" s="24" t="s">
        <v>134</v>
      </c>
      <c r="C4" s="24">
        <f>COUNTIF(Kintoneデータ抽出!D:D,"*地域医療機能推進機構*")</f>
        <v>0</v>
      </c>
      <c r="E4" t="s">
        <v>135</v>
      </c>
      <c r="F4" s="81" t="s">
        <v>136</v>
      </c>
      <c r="G4">
        <f>COUNTIF(Kintoneデータ抽出!$D:$D,"*"&amp;病院別実績!F4&amp;"*")</f>
        <v>0</v>
      </c>
      <c r="H4" t="s">
        <v>137</v>
      </c>
      <c r="I4" s="80" t="s">
        <v>138</v>
      </c>
      <c r="J4">
        <f>COUNTIF(Kintoneデータ抽出!$D:$D,"*"&amp;病院別実績!I4&amp;"*")</f>
        <v>0</v>
      </c>
      <c r="K4" t="s">
        <v>139</v>
      </c>
      <c r="L4" s="81" t="s">
        <v>140</v>
      </c>
      <c r="M4">
        <f>COUNTIF(Kintoneデータ抽出!$D:$D,"*"&amp;病院別実績!L4&amp;"*")</f>
        <v>0</v>
      </c>
      <c r="N4" t="s">
        <v>141</v>
      </c>
      <c r="O4" s="80" t="s">
        <v>142</v>
      </c>
      <c r="P4">
        <f>COUNTIF(Kintoneデータ抽出!$D:$D,"*"&amp;病院別実績!O4&amp;"*")</f>
        <v>0</v>
      </c>
    </row>
    <row r="5" spans="2:16" ht="17.399999999999999" customHeight="1" thickBot="1" x14ac:dyDescent="0.5">
      <c r="B5" s="24" t="s">
        <v>119</v>
      </c>
      <c r="C5" s="24">
        <f>COUNTA(N2:N18)</f>
        <v>16</v>
      </c>
      <c r="E5" t="s">
        <v>143</v>
      </c>
      <c r="F5" s="81" t="s">
        <v>144</v>
      </c>
      <c r="G5">
        <f>COUNTIF(Kintoneデータ抽出!$D:$D,"*"&amp;病院別実績!F5&amp;"*")</f>
        <v>0</v>
      </c>
      <c r="H5" t="s">
        <v>23</v>
      </c>
      <c r="I5" s="81" t="s">
        <v>145</v>
      </c>
      <c r="J5">
        <f>COUNTIF(Kintoneデータ抽出!$D:$D,"*"&amp;病院別実績!I5&amp;"*")</f>
        <v>0</v>
      </c>
      <c r="K5" t="s">
        <v>22</v>
      </c>
      <c r="L5" s="81" t="s">
        <v>146</v>
      </c>
      <c r="M5">
        <f>COUNTIF(Kintoneデータ抽出!$D:$D,"*"&amp;病院別実績!L5&amp;"*")</f>
        <v>0</v>
      </c>
      <c r="N5" t="s">
        <v>147</v>
      </c>
      <c r="O5" s="80" t="s">
        <v>148</v>
      </c>
      <c r="P5">
        <f>COUNTIF(Kintoneデータ抽出!$D:$D,"*"&amp;病院別実績!O5&amp;"*")</f>
        <v>0</v>
      </c>
    </row>
    <row r="6" spans="2:16" ht="17.399999999999999" customHeight="1" thickBot="1" x14ac:dyDescent="0.5">
      <c r="B6" s="24" t="s">
        <v>149</v>
      </c>
      <c r="C6" s="24">
        <f>COUNTIFS(Kintoneデータ抽出!D:D,"*市立*")+COUNTIFS(Kintoneデータ抽出!D:D,"*市民*")-COUNTIFS(Kintoneデータ抽出!D:D,"*市立市民*")</f>
        <v>0</v>
      </c>
      <c r="E6" t="s">
        <v>150</v>
      </c>
      <c r="F6" s="81" t="s">
        <v>151</v>
      </c>
      <c r="G6">
        <f>COUNTIF(Kintoneデータ抽出!$D:$D,"*"&amp;病院別実績!F6&amp;"*")</f>
        <v>0</v>
      </c>
      <c r="H6" s="3" t="s">
        <v>19</v>
      </c>
      <c r="I6" s="81" t="s">
        <v>152</v>
      </c>
      <c r="J6">
        <f>COUNTIF(Kintoneデータ抽出!$D:$D,"*"&amp;病院別実績!I6&amp;"*")</f>
        <v>0</v>
      </c>
      <c r="K6" t="s">
        <v>26</v>
      </c>
      <c r="L6" s="81" t="s">
        <v>153</v>
      </c>
      <c r="M6">
        <f>COUNTIF(Kintoneデータ抽出!$D:$D,"*"&amp;病院別実績!L6&amp;"*")</f>
        <v>0</v>
      </c>
      <c r="N6" t="s">
        <v>154</v>
      </c>
      <c r="O6" s="80" t="s">
        <v>155</v>
      </c>
      <c r="P6">
        <f>COUNTIF(Kintoneデータ抽出!$D:$D,"*"&amp;病院別実績!O6&amp;"*")</f>
        <v>0</v>
      </c>
    </row>
    <row r="7" spans="2:16" ht="17.399999999999999" customHeight="1" thickBot="1" x14ac:dyDescent="0.5">
      <c r="B7" s="24" t="s">
        <v>156</v>
      </c>
      <c r="C7" s="24">
        <f>COUNTIF(Kintoneデータ抽出!D:D,"*赤十字*")</f>
        <v>0</v>
      </c>
      <c r="E7" t="s">
        <v>157</v>
      </c>
      <c r="F7" s="81" t="s">
        <v>158</v>
      </c>
      <c r="G7">
        <f>COUNTIF(Kintoneデータ抽出!$D:$D,"*"&amp;病院別実績!F7&amp;"*")</f>
        <v>0</v>
      </c>
      <c r="I7" s="81" t="s">
        <v>159</v>
      </c>
      <c r="J7">
        <f>COUNTIF(Kintoneデータ抽出!$D:$D,"*"&amp;病院別実績!I7&amp;"*")</f>
        <v>0</v>
      </c>
      <c r="K7" t="s">
        <v>33</v>
      </c>
      <c r="L7" s="81" t="s">
        <v>160</v>
      </c>
      <c r="M7">
        <f>COUNTIF(Kintoneデータ抽出!$D:$D,"*"&amp;病院別実績!L7&amp;"*")</f>
        <v>0</v>
      </c>
      <c r="N7" t="s">
        <v>25</v>
      </c>
      <c r="O7" s="80" t="s">
        <v>161</v>
      </c>
      <c r="P7">
        <f>COUNTIF(Kintoneデータ抽出!$D:$D,"*"&amp;病院別実績!O7&amp;"*")</f>
        <v>0</v>
      </c>
    </row>
    <row r="8" spans="2:16" ht="17.399999999999999" customHeight="1" thickBot="1" x14ac:dyDescent="0.5">
      <c r="B8" s="24" t="s">
        <v>162</v>
      </c>
      <c r="C8" s="24">
        <f>COUNTIF(Kintoneデータ抽出!D:D,"*済生会*")</f>
        <v>0</v>
      </c>
      <c r="E8" t="s">
        <v>18</v>
      </c>
      <c r="F8" s="81" t="s">
        <v>163</v>
      </c>
      <c r="G8">
        <f>COUNTIF(Kintoneデータ抽出!$D:$D,"*"&amp;病院別実績!F8&amp;"*")</f>
        <v>0</v>
      </c>
      <c r="I8" s="81" t="s">
        <v>164</v>
      </c>
      <c r="J8">
        <f>COUNTIF(Kintoneデータ抽出!$D:$D,"*"&amp;病院別実績!I8&amp;"*")</f>
        <v>0</v>
      </c>
      <c r="K8" t="s">
        <v>11</v>
      </c>
      <c r="L8" s="81" t="s">
        <v>165</v>
      </c>
      <c r="M8">
        <f>COUNTIF(Kintoneデータ抽出!$D:$D,"*"&amp;病院別実績!L8&amp;"*")</f>
        <v>0</v>
      </c>
      <c r="N8" t="s">
        <v>166</v>
      </c>
      <c r="O8" s="80" t="s">
        <v>167</v>
      </c>
      <c r="P8">
        <f>COUNTIF(Kintoneデータ抽出!$D:$D,"*"&amp;病院別実績!O8&amp;"*")</f>
        <v>0</v>
      </c>
    </row>
    <row r="9" spans="2:16" ht="17.399999999999999" customHeight="1" thickBot="1" x14ac:dyDescent="0.5">
      <c r="B9" s="24" t="s">
        <v>168</v>
      </c>
      <c r="C9" s="24">
        <f>COUNTIF(Kintoneデータ抽出!D:D,"*大学*")+1</f>
        <v>1</v>
      </c>
      <c r="E9" t="s">
        <v>15</v>
      </c>
      <c r="F9" s="81" t="s">
        <v>169</v>
      </c>
      <c r="G9">
        <f>COUNTIF(Kintoneデータ抽出!$D:$D,"*"&amp;病院別実績!F9&amp;"*")</f>
        <v>0</v>
      </c>
      <c r="I9" s="80" t="s">
        <v>170</v>
      </c>
      <c r="J9">
        <f>COUNTIF(Kintoneデータ抽出!$D:$D,"*"&amp;病院別実績!I9&amp;"*")</f>
        <v>0</v>
      </c>
      <c r="K9" t="s">
        <v>171</v>
      </c>
      <c r="L9" s="81" t="s">
        <v>172</v>
      </c>
      <c r="M9">
        <f>COUNTIF(Kintoneデータ抽出!$D:$D,"*"&amp;病院別実績!L9&amp;"*")</f>
        <v>0</v>
      </c>
      <c r="N9" t="s">
        <v>24</v>
      </c>
      <c r="O9" s="80" t="s">
        <v>173</v>
      </c>
      <c r="P9">
        <f>COUNTIF(Kintoneデータ抽出!$D:$D,"*"&amp;病院別実績!O9&amp;"*")</f>
        <v>0</v>
      </c>
    </row>
    <row r="10" spans="2:16" ht="17.399999999999999" customHeight="1" thickBot="1" x14ac:dyDescent="0.5">
      <c r="B10" s="24" t="s">
        <v>174</v>
      </c>
      <c r="C10" s="24">
        <f>COUNTA(E2:E21)</f>
        <v>15</v>
      </c>
      <c r="E10" t="s">
        <v>175</v>
      </c>
      <c r="F10" s="81" t="s">
        <v>176</v>
      </c>
      <c r="G10">
        <f>COUNTIF(Kintoneデータ抽出!$D:$D,"*"&amp;病院別実績!F10&amp;"*")</f>
        <v>0</v>
      </c>
      <c r="I10" s="81" t="s">
        <v>177</v>
      </c>
      <c r="J10">
        <f>COUNTIF(Kintoneデータ抽出!$D:$D,"*"&amp;病院別実績!I10&amp;"*")</f>
        <v>0</v>
      </c>
      <c r="L10" s="81" t="s">
        <v>178</v>
      </c>
      <c r="M10">
        <f>COUNTIF(Kintoneデータ抽出!$D:$D,"*"&amp;病院別実績!L10&amp;"*")</f>
        <v>0</v>
      </c>
      <c r="N10" t="s">
        <v>36</v>
      </c>
      <c r="O10" s="80" t="s">
        <v>179</v>
      </c>
      <c r="P10">
        <f>COUNTIF(Kintoneデータ抽出!$D:$D,"*"&amp;病院別実績!O10&amp;"*")</f>
        <v>0</v>
      </c>
    </row>
    <row r="11" spans="2:16" ht="17.399999999999999" customHeight="1" thickBot="1" x14ac:dyDescent="0.5">
      <c r="B11" s="24" t="s">
        <v>180</v>
      </c>
      <c r="C11" s="24">
        <f>COUNTA(H2:H16)</f>
        <v>5</v>
      </c>
      <c r="E11" t="s">
        <v>181</v>
      </c>
      <c r="F11" s="81" t="s">
        <v>182</v>
      </c>
      <c r="G11">
        <f>COUNTIF(Kintoneデータ抽出!$D:$D,"*"&amp;病院別実績!F11&amp;"*")</f>
        <v>0</v>
      </c>
      <c r="I11" s="81" t="s">
        <v>183</v>
      </c>
      <c r="J11">
        <f>COUNTIF(Kintoneデータ抽出!$D:$D,"*"&amp;病院別実績!I11&amp;"*")</f>
        <v>0</v>
      </c>
      <c r="L11" s="81" t="s">
        <v>184</v>
      </c>
      <c r="M11">
        <f>COUNTIF(Kintoneデータ抽出!$D:$D,"*"&amp;病院別実績!L11&amp;"*")</f>
        <v>0</v>
      </c>
      <c r="N11" t="s">
        <v>30</v>
      </c>
      <c r="O11" s="80" t="s">
        <v>185</v>
      </c>
      <c r="P11">
        <f>COUNTIF(Kintoneデータ抽出!$D:$D,"*"&amp;病院別実績!O11&amp;"*")</f>
        <v>0</v>
      </c>
    </row>
    <row r="12" spans="2:16" ht="17.399999999999999" customHeight="1" thickBot="1" x14ac:dyDescent="0.5">
      <c r="B12" s="24" t="s">
        <v>186</v>
      </c>
      <c r="C12" s="24">
        <f>COUNTA($K$2:$K$16)</f>
        <v>8</v>
      </c>
      <c r="E12" t="s">
        <v>32</v>
      </c>
      <c r="F12" s="81" t="s">
        <v>187</v>
      </c>
      <c r="G12">
        <f>COUNTIF(Kintoneデータ抽出!$D:$D,"*"&amp;病院別実績!F12&amp;"*")</f>
        <v>0</v>
      </c>
      <c r="I12" s="81" t="s">
        <v>188</v>
      </c>
      <c r="J12">
        <f>COUNTIF(Kintoneデータ抽出!$D:$D,"*"&amp;病院別実績!I12&amp;"*")</f>
        <v>0</v>
      </c>
      <c r="L12" s="81" t="s">
        <v>189</v>
      </c>
      <c r="M12">
        <f>COUNTIF(Kintoneデータ抽出!$D:$D,"*"&amp;病院別実績!L12&amp;"*")</f>
        <v>0</v>
      </c>
      <c r="N12" t="s">
        <v>34</v>
      </c>
      <c r="O12" s="80" t="s">
        <v>190</v>
      </c>
      <c r="P12">
        <f>COUNTIF(Kintoneデータ抽出!$D:$D,"*"&amp;病院別実績!O12&amp;"*")</f>
        <v>0</v>
      </c>
    </row>
    <row r="13" spans="2:16" ht="17.399999999999999" customHeight="1" thickBot="1" x14ac:dyDescent="0.5">
      <c r="E13" t="s">
        <v>191</v>
      </c>
      <c r="F13" s="81" t="s">
        <v>192</v>
      </c>
      <c r="G13">
        <f>COUNTIF(Kintoneデータ抽出!$D:$D,"*"&amp;病院別実績!F13&amp;"*")</f>
        <v>0</v>
      </c>
      <c r="I13" s="81" t="s">
        <v>193</v>
      </c>
      <c r="J13">
        <f>COUNTIF(Kintoneデータ抽出!$D:$D,"*"&amp;病院別実績!I13&amp;"*")</f>
        <v>0</v>
      </c>
      <c r="L13" s="81" t="s">
        <v>194</v>
      </c>
      <c r="M13">
        <f>COUNTIF(Kintoneデータ抽出!$D:$D,"*"&amp;病院別実績!L13&amp;"*")</f>
        <v>0</v>
      </c>
      <c r="N13" t="s">
        <v>195</v>
      </c>
      <c r="O13" s="80" t="s">
        <v>196</v>
      </c>
      <c r="P13">
        <f>COUNTIF(Kintoneデータ抽出!$D:$D,"*"&amp;病院別実績!O13&amp;"*")</f>
        <v>0</v>
      </c>
    </row>
    <row r="14" spans="2:16" ht="17.399999999999999" customHeight="1" thickBot="1" x14ac:dyDescent="0.5">
      <c r="E14" t="s">
        <v>197</v>
      </c>
      <c r="F14" s="81" t="s">
        <v>198</v>
      </c>
      <c r="G14">
        <f>COUNTIF(Kintoneデータ抽出!$D:$D,"*"&amp;病院別実績!F14&amp;"*")</f>
        <v>0</v>
      </c>
      <c r="I14" s="81" t="s">
        <v>199</v>
      </c>
      <c r="J14">
        <f>COUNTIF(Kintoneデータ抽出!$D:$D,"*"&amp;病院別実績!I14&amp;"*")</f>
        <v>0</v>
      </c>
      <c r="L14" s="81" t="s">
        <v>200</v>
      </c>
      <c r="M14">
        <f>COUNTIF(Kintoneデータ抽出!$D:$D,"*"&amp;病院別実績!L14&amp;"*")</f>
        <v>0</v>
      </c>
      <c r="N14" t="s">
        <v>201</v>
      </c>
      <c r="O14" s="80" t="s">
        <v>202</v>
      </c>
      <c r="P14">
        <f>COUNTIF(Kintoneデータ抽出!$D:$D,"*"&amp;病院別実績!O14&amp;"*")</f>
        <v>0</v>
      </c>
    </row>
    <row r="15" spans="2:16" ht="17.399999999999999" customHeight="1" thickBot="1" x14ac:dyDescent="0.5">
      <c r="E15" t="s">
        <v>203</v>
      </c>
      <c r="F15" s="81" t="s">
        <v>204</v>
      </c>
      <c r="G15">
        <f>COUNTIF(Kintoneデータ抽出!$D:$D,"*"&amp;病院別実績!F15&amp;"*")</f>
        <v>0</v>
      </c>
      <c r="I15" s="80" t="s">
        <v>205</v>
      </c>
      <c r="J15">
        <f>COUNTIF(Kintoneデータ抽出!$D:$D,"*"&amp;病院別実績!I15&amp;"*")</f>
        <v>0</v>
      </c>
      <c r="L15" s="81" t="s">
        <v>206</v>
      </c>
      <c r="M15">
        <f>COUNTIF(Kintoneデータ抽出!$D:$D,"*"&amp;病院別実績!L15&amp;"*")</f>
        <v>0</v>
      </c>
      <c r="N15" t="s">
        <v>207</v>
      </c>
      <c r="O15" s="80" t="s">
        <v>208</v>
      </c>
      <c r="P15">
        <f>COUNTIF(Kintoneデータ抽出!$D:$D,"*"&amp;病院別実績!O15&amp;"*")</f>
        <v>0</v>
      </c>
    </row>
    <row r="16" spans="2:16" ht="17.399999999999999" customHeight="1" thickBot="1" x14ac:dyDescent="0.5">
      <c r="E16" t="s">
        <v>20</v>
      </c>
      <c r="F16" s="81" t="s">
        <v>209</v>
      </c>
      <c r="G16">
        <f>COUNTIF(Kintoneデータ抽出!$D:$D,"*"&amp;病院別実績!F16&amp;"*")</f>
        <v>0</v>
      </c>
      <c r="I16" s="80" t="s">
        <v>210</v>
      </c>
      <c r="J16">
        <f>COUNTIF(Kintoneデータ抽出!$D:$D,"*"&amp;病院別実績!I16&amp;"*")</f>
        <v>0</v>
      </c>
      <c r="L16" s="81" t="s">
        <v>211</v>
      </c>
      <c r="M16">
        <f>COUNTIF(Kintoneデータ抽出!$D:$D,"*"&amp;病院別実績!L16&amp;"*")</f>
        <v>0</v>
      </c>
      <c r="N16" t="s">
        <v>21</v>
      </c>
      <c r="O16" s="80" t="s">
        <v>212</v>
      </c>
      <c r="P16">
        <f>COUNTIF(Kintoneデータ抽出!$D:$D,"*"&amp;病院別実績!O16&amp;"*")</f>
        <v>0</v>
      </c>
    </row>
    <row r="17" spans="6:16" ht="17.399999999999999" customHeight="1" thickBot="1" x14ac:dyDescent="0.5">
      <c r="F17" s="81" t="s">
        <v>213</v>
      </c>
      <c r="G17">
        <f>COUNTIF(Kintoneデータ抽出!$D:$D,"*"&amp;病院別実績!F17&amp;"*")</f>
        <v>0</v>
      </c>
      <c r="I17" s="80" t="s">
        <v>214</v>
      </c>
      <c r="J17">
        <f>COUNTIF(Kintoneデータ抽出!$D:$D,"*"&amp;病院別実績!I17&amp;"*")</f>
        <v>0</v>
      </c>
      <c r="L17" s="80" t="s">
        <v>215</v>
      </c>
      <c r="M17">
        <f>COUNTIF(Kintoneデータ抽出!$D:$D,"*"&amp;病院別実績!L17&amp;"*")</f>
        <v>0</v>
      </c>
      <c r="N17" t="s">
        <v>31</v>
      </c>
      <c r="O17" s="80" t="s">
        <v>216</v>
      </c>
      <c r="P17">
        <f>COUNTIF(Kintoneデータ抽出!$D:$D,"*"&amp;病院別実績!O17&amp;"*")</f>
        <v>0</v>
      </c>
    </row>
    <row r="18" spans="6:16" ht="17.399999999999999" customHeight="1" thickBot="1" x14ac:dyDescent="0.5">
      <c r="F18" s="81" t="s">
        <v>217</v>
      </c>
      <c r="G18">
        <f>COUNTIF(Kintoneデータ抽出!$D:$D,"*"&amp;病院別実績!F18&amp;"*")</f>
        <v>0</v>
      </c>
      <c r="I18" s="80" t="s">
        <v>218</v>
      </c>
      <c r="J18">
        <f>COUNTIF(Kintoneデータ抽出!$D:$D,"*"&amp;病院別実績!I18&amp;"*")</f>
        <v>0</v>
      </c>
      <c r="L18" s="81" t="s">
        <v>219</v>
      </c>
      <c r="M18">
        <f>COUNTIF(Kintoneデータ抽出!$D:$D,"*"&amp;病院別実績!L18&amp;"*")</f>
        <v>0</v>
      </c>
      <c r="O18" s="80" t="s">
        <v>220</v>
      </c>
      <c r="P18">
        <f>COUNTIF(Kintoneデータ抽出!$D:$D,"*"&amp;病院別実績!O18&amp;"*")</f>
        <v>0</v>
      </c>
    </row>
    <row r="19" spans="6:16" ht="17.399999999999999" customHeight="1" thickBot="1" x14ac:dyDescent="0.5">
      <c r="F19" s="81" t="s">
        <v>221</v>
      </c>
      <c r="G19">
        <f>COUNTIF(Kintoneデータ抽出!$D:$D,"*"&amp;病院別実績!F19&amp;"*")</f>
        <v>0</v>
      </c>
      <c r="I19" s="81" t="s">
        <v>222</v>
      </c>
      <c r="J19">
        <f>COUNTIF(Kintoneデータ抽出!$D:$D,"*"&amp;病院別実績!I19&amp;"*")</f>
        <v>0</v>
      </c>
      <c r="L19" s="81" t="s">
        <v>223</v>
      </c>
      <c r="M19">
        <f>COUNTIF(Kintoneデータ抽出!$D:$D,"*"&amp;病院別実績!L19&amp;"*")</f>
        <v>0</v>
      </c>
      <c r="O19" s="80" t="s">
        <v>224</v>
      </c>
      <c r="P19">
        <f>COUNTIF(Kintoneデータ抽出!$D:$D,"*"&amp;病院別実績!O19&amp;"*")</f>
        <v>0</v>
      </c>
    </row>
    <row r="20" spans="6:16" ht="17.399999999999999" customHeight="1" thickBot="1" x14ac:dyDescent="0.5">
      <c r="F20" s="81" t="s">
        <v>225</v>
      </c>
      <c r="G20">
        <f>COUNTIF(Kintoneデータ抽出!$D:$D,"*"&amp;病院別実績!F20&amp;"*")</f>
        <v>0</v>
      </c>
      <c r="I20" s="80" t="s">
        <v>226</v>
      </c>
      <c r="J20">
        <f>COUNTIF(Kintoneデータ抽出!$D:$D,"*"&amp;病院別実績!I20&amp;"*")</f>
        <v>0</v>
      </c>
      <c r="L20" s="81" t="s">
        <v>227</v>
      </c>
      <c r="M20">
        <f>COUNTIF(Kintoneデータ抽出!$D:$D,"*"&amp;病院別実績!L20&amp;"*")</f>
        <v>0</v>
      </c>
      <c r="O20" s="80" t="s">
        <v>228</v>
      </c>
      <c r="P20">
        <f>COUNTIF(Kintoneデータ抽出!$D:$D,"*"&amp;病院別実績!O20&amp;"*")</f>
        <v>0</v>
      </c>
    </row>
    <row r="21" spans="6:16" ht="17.399999999999999" customHeight="1" thickBot="1" x14ac:dyDescent="0.5">
      <c r="F21" s="81" t="s">
        <v>229</v>
      </c>
      <c r="G21">
        <f>COUNTIF(Kintoneデータ抽出!$D:$D,"*"&amp;病院別実績!F21&amp;"*")</f>
        <v>0</v>
      </c>
      <c r="I21" s="80" t="s">
        <v>230</v>
      </c>
      <c r="J21">
        <f>COUNTIF(Kintoneデータ抽出!$D:$D,"*"&amp;病院別実績!I21&amp;"*")</f>
        <v>0</v>
      </c>
      <c r="L21" s="81" t="s">
        <v>231</v>
      </c>
      <c r="M21">
        <f>COUNTIF(Kintoneデータ抽出!$D:$D,"*"&amp;病院別実績!L21&amp;"*")</f>
        <v>0</v>
      </c>
      <c r="O21" s="80" t="s">
        <v>232</v>
      </c>
      <c r="P21">
        <f>COUNTIF(Kintoneデータ抽出!$D:$D,"*"&amp;病院別実績!O21&amp;"*")</f>
        <v>0</v>
      </c>
    </row>
    <row r="22" spans="6:16" ht="17.399999999999999" customHeight="1" thickBot="1" x14ac:dyDescent="0.5">
      <c r="F22" s="81" t="s">
        <v>233</v>
      </c>
      <c r="G22">
        <f>COUNTIF(Kintoneデータ抽出!$D:$D,"*"&amp;病院別実績!F22&amp;"*")</f>
        <v>0</v>
      </c>
      <c r="I22" s="80" t="s">
        <v>234</v>
      </c>
      <c r="J22">
        <f>COUNTIF(Kintoneデータ抽出!$D:$D,"*"&amp;病院別実績!I22&amp;"*")</f>
        <v>0</v>
      </c>
      <c r="L22" s="80" t="s">
        <v>235</v>
      </c>
      <c r="M22">
        <f>COUNTIF(Kintoneデータ抽出!$D:$D,"*"&amp;病院別実績!L22&amp;"*")</f>
        <v>0</v>
      </c>
      <c r="O22" s="80" t="s">
        <v>236</v>
      </c>
      <c r="P22">
        <f>COUNTIF(Kintoneデータ抽出!$D:$D,"*"&amp;病院別実績!O22&amp;"*")</f>
        <v>0</v>
      </c>
    </row>
    <row r="23" spans="6:16" ht="17.399999999999999" customHeight="1" thickBot="1" x14ac:dyDescent="0.5">
      <c r="F23" s="81" t="s">
        <v>237</v>
      </c>
      <c r="G23">
        <f>COUNTIF(Kintoneデータ抽出!$D:$D,"*"&amp;病院別実績!F23&amp;"*")</f>
        <v>0</v>
      </c>
      <c r="I23" s="80" t="s">
        <v>238</v>
      </c>
      <c r="J23">
        <f>COUNTIF(Kintoneデータ抽出!$D:$D,"*"&amp;病院別実績!I23&amp;"*")</f>
        <v>0</v>
      </c>
      <c r="L23" s="81" t="s">
        <v>239</v>
      </c>
      <c r="M23">
        <f>COUNTIF(Kintoneデータ抽出!$D:$D,"*"&amp;病院別実績!L23&amp;"*")</f>
        <v>0</v>
      </c>
      <c r="O23" s="80" t="s">
        <v>240</v>
      </c>
      <c r="P23">
        <f>COUNTIF(Kintoneデータ抽出!$D:$D,"*"&amp;病院別実績!O23&amp;"*")</f>
        <v>0</v>
      </c>
    </row>
    <row r="24" spans="6:16" ht="17.399999999999999" customHeight="1" thickBot="1" x14ac:dyDescent="0.5">
      <c r="F24" s="81" t="s">
        <v>241</v>
      </c>
      <c r="G24">
        <f>COUNTIF(Kintoneデータ抽出!$D:$D,"*"&amp;病院別実績!F24&amp;"*")</f>
        <v>0</v>
      </c>
      <c r="I24" s="81" t="s">
        <v>242</v>
      </c>
      <c r="J24">
        <f>COUNTIF(Kintoneデータ抽出!$D:$D,"*"&amp;病院別実績!I24&amp;"*")</f>
        <v>0</v>
      </c>
      <c r="L24" s="80" t="s">
        <v>243</v>
      </c>
      <c r="M24">
        <f>COUNTIF(Kintoneデータ抽出!$D:$D,"*"&amp;病院別実績!L24&amp;"*")</f>
        <v>0</v>
      </c>
      <c r="O24" s="80" t="s">
        <v>244</v>
      </c>
      <c r="P24">
        <f>COUNTIF(Kintoneデータ抽出!$D:$D,"*"&amp;病院別実績!O24&amp;"*")</f>
        <v>0</v>
      </c>
    </row>
    <row r="25" spans="6:16" ht="17.399999999999999" customHeight="1" thickBot="1" x14ac:dyDescent="0.5">
      <c r="F25" s="81" t="s">
        <v>245</v>
      </c>
      <c r="G25">
        <f>COUNTIF(Kintoneデータ抽出!$D:$D,"*"&amp;病院別実績!F25&amp;"*")</f>
        <v>0</v>
      </c>
      <c r="I25" s="81" t="s">
        <v>246</v>
      </c>
      <c r="J25">
        <f>COUNTIF(Kintoneデータ抽出!$D:$D,"*"&amp;病院別実績!I25&amp;"*")</f>
        <v>0</v>
      </c>
      <c r="L25" s="80" t="s">
        <v>247</v>
      </c>
      <c r="M25">
        <f>COUNTIF(Kintoneデータ抽出!$D:$D,"*"&amp;病院別実績!L25&amp;"*")</f>
        <v>0</v>
      </c>
      <c r="O25" s="80" t="s">
        <v>248</v>
      </c>
      <c r="P25">
        <f>COUNTIF(Kintoneデータ抽出!$D:$D,"*"&amp;病院別実績!O25&amp;"*")</f>
        <v>0</v>
      </c>
    </row>
    <row r="26" spans="6:16" ht="17.399999999999999" customHeight="1" thickBot="1" x14ac:dyDescent="0.5">
      <c r="F26" s="81" t="s">
        <v>249</v>
      </c>
      <c r="G26">
        <f>COUNTIF(Kintoneデータ抽出!$D:$D,"*"&amp;病院別実績!F26&amp;"*")</f>
        <v>0</v>
      </c>
      <c r="I26" s="80" t="s">
        <v>250</v>
      </c>
      <c r="J26">
        <f>COUNTIF(Kintoneデータ抽出!$D:$D,"*"&amp;病院別実績!I26&amp;"*")</f>
        <v>0</v>
      </c>
      <c r="L26" s="81" t="s">
        <v>251</v>
      </c>
      <c r="M26">
        <f>COUNTIF(Kintoneデータ抽出!$D:$D,"*"&amp;病院別実績!L26&amp;"*")</f>
        <v>0</v>
      </c>
      <c r="O26" s="80" t="s">
        <v>252</v>
      </c>
      <c r="P26">
        <f>COUNTIF(Kintoneデータ抽出!$D:$D,"*"&amp;病院別実績!O26&amp;"*")</f>
        <v>0</v>
      </c>
    </row>
    <row r="27" spans="6:16" ht="17.399999999999999" customHeight="1" thickBot="1" x14ac:dyDescent="0.5">
      <c r="F27" s="81" t="s">
        <v>253</v>
      </c>
      <c r="G27">
        <f>COUNTIF(Kintoneデータ抽出!$D:$D,"*"&amp;病院別実績!F27&amp;"*")</f>
        <v>0</v>
      </c>
      <c r="I27" s="81" t="s">
        <v>254</v>
      </c>
      <c r="J27">
        <f>COUNTIF(Kintoneデータ抽出!$D:$D,"*"&amp;病院別実績!I27&amp;"*")</f>
        <v>0</v>
      </c>
      <c r="L27" s="81" t="s">
        <v>255</v>
      </c>
      <c r="M27">
        <f>COUNTIF(Kintoneデータ抽出!$D:$D,"*"&amp;病院別実績!L27&amp;"*")</f>
        <v>0</v>
      </c>
      <c r="O27" s="80" t="s">
        <v>256</v>
      </c>
      <c r="P27">
        <f>COUNTIF(Kintoneデータ抽出!$D:$D,"*"&amp;病院別実績!O27&amp;"*")</f>
        <v>0</v>
      </c>
    </row>
    <row r="28" spans="6:16" ht="17.399999999999999" customHeight="1" thickBot="1" x14ac:dyDescent="0.5">
      <c r="F28" s="81" t="s">
        <v>257</v>
      </c>
      <c r="G28">
        <f>COUNTIF(Kintoneデータ抽出!$D:$D,"*"&amp;病院別実績!F28&amp;"*")</f>
        <v>0</v>
      </c>
      <c r="I28" s="81" t="s">
        <v>258</v>
      </c>
      <c r="J28">
        <f>COUNTIF(Kintoneデータ抽出!$D:$D,"*"&amp;病院別実績!I28&amp;"*")</f>
        <v>0</v>
      </c>
      <c r="L28" s="81" t="s">
        <v>259</v>
      </c>
      <c r="M28">
        <f>COUNTIF(Kintoneデータ抽出!$D:$D,"*"&amp;病院別実績!L28&amp;"*")</f>
        <v>0</v>
      </c>
      <c r="O28" s="80" t="s">
        <v>260</v>
      </c>
      <c r="P28">
        <f>COUNTIF(Kintoneデータ抽出!$D:$D,"*"&amp;病院別実績!O28&amp;"*")</f>
        <v>0</v>
      </c>
    </row>
    <row r="29" spans="6:16" ht="17.399999999999999" customHeight="1" thickBot="1" x14ac:dyDescent="0.5">
      <c r="F29" s="81" t="s">
        <v>261</v>
      </c>
      <c r="G29">
        <f>COUNTIF(Kintoneデータ抽出!$D:$D,"*"&amp;病院別実績!F29&amp;"*")</f>
        <v>0</v>
      </c>
      <c r="I29" s="80" t="s">
        <v>262</v>
      </c>
      <c r="J29">
        <f>COUNTIF(Kintoneデータ抽出!$D:$D,"*"&amp;病院別実績!I29&amp;"*")</f>
        <v>0</v>
      </c>
      <c r="L29" s="81" t="s">
        <v>263</v>
      </c>
      <c r="M29">
        <f>COUNTIF(Kintoneデータ抽出!$D:$D,"*"&amp;病院別実績!L29&amp;"*")</f>
        <v>0</v>
      </c>
      <c r="O29" s="80" t="s">
        <v>264</v>
      </c>
      <c r="P29">
        <f>COUNTIF(Kintoneデータ抽出!$D:$D,"*"&amp;病院別実績!O29&amp;"*")</f>
        <v>0</v>
      </c>
    </row>
    <row r="30" spans="6:16" ht="17.399999999999999" customHeight="1" thickBot="1" x14ac:dyDescent="0.5">
      <c r="F30" s="80" t="s">
        <v>265</v>
      </c>
      <c r="G30">
        <f>COUNTIF(Kintoneデータ抽出!$D:$D,"*"&amp;病院別実績!F30&amp;"*")</f>
        <v>0</v>
      </c>
      <c r="I30" s="80" t="s">
        <v>266</v>
      </c>
      <c r="J30">
        <f>COUNTIF(Kintoneデータ抽出!$D:$D,"*"&amp;病院別実績!I30&amp;"*")</f>
        <v>0</v>
      </c>
      <c r="L30" s="81" t="s">
        <v>267</v>
      </c>
      <c r="M30">
        <f>COUNTIF(Kintoneデータ抽出!$D:$D,"*"&amp;病院別実績!L30&amp;"*")</f>
        <v>0</v>
      </c>
      <c r="O30" s="80" t="s">
        <v>268</v>
      </c>
      <c r="P30">
        <f>COUNTIF(Kintoneデータ抽出!$D:$D,"*"&amp;病院別実績!O30&amp;"*")</f>
        <v>0</v>
      </c>
    </row>
    <row r="31" spans="6:16" ht="17.399999999999999" customHeight="1" thickBot="1" x14ac:dyDescent="0.5">
      <c r="F31" s="81" t="s">
        <v>269</v>
      </c>
      <c r="G31">
        <f>COUNTIF(Kintoneデータ抽出!$D:$D,"*"&amp;病院別実績!F31&amp;"*")</f>
        <v>0</v>
      </c>
      <c r="I31" s="81" t="s">
        <v>270</v>
      </c>
      <c r="J31">
        <f>COUNTIF(Kintoneデータ抽出!$D:$D,"*"&amp;病院別実績!I31&amp;"*")</f>
        <v>0</v>
      </c>
      <c r="L31" s="80" t="s">
        <v>271</v>
      </c>
      <c r="M31">
        <f>COUNTIF(Kintoneデータ抽出!$D:$D,"*"&amp;病院別実績!L31&amp;"*")</f>
        <v>0</v>
      </c>
      <c r="O31" s="80" t="s">
        <v>272</v>
      </c>
      <c r="P31">
        <f>COUNTIF(Kintoneデータ抽出!$D:$D,"*"&amp;病院別実績!O31&amp;"*")</f>
        <v>0</v>
      </c>
    </row>
    <row r="32" spans="6:16" ht="17.399999999999999" customHeight="1" thickBot="1" x14ac:dyDescent="0.5">
      <c r="F32" s="81" t="s">
        <v>273</v>
      </c>
      <c r="G32">
        <f>COUNTIF(Kintoneデータ抽出!$D:$D,"*"&amp;病院別実績!F32&amp;"*")</f>
        <v>0</v>
      </c>
      <c r="I32" s="80" t="s">
        <v>274</v>
      </c>
      <c r="J32">
        <f>COUNTIF(Kintoneデータ抽出!$D:$D,"*"&amp;病院別実績!I32&amp;"*")</f>
        <v>0</v>
      </c>
      <c r="L32" s="80" t="s">
        <v>275</v>
      </c>
      <c r="M32">
        <f>COUNTIF(Kintoneデータ抽出!$D:$D,"*"&amp;病院別実績!L32&amp;"*")</f>
        <v>0</v>
      </c>
      <c r="O32" s="80" t="s">
        <v>276</v>
      </c>
      <c r="P32">
        <f>COUNTIF(Kintoneデータ抽出!$D:$D,"*"&amp;病院別実績!O32&amp;"*")</f>
        <v>0</v>
      </c>
    </row>
    <row r="33" spans="6:16" ht="17.399999999999999" customHeight="1" thickBot="1" x14ac:dyDescent="0.5">
      <c r="F33" s="81" t="s">
        <v>277</v>
      </c>
      <c r="G33">
        <f>COUNTIF(Kintoneデータ抽出!$D:$D,"*"&amp;病院別実績!F33&amp;"*")</f>
        <v>0</v>
      </c>
      <c r="I33" s="80" t="s">
        <v>278</v>
      </c>
      <c r="J33">
        <f>COUNTIF(Kintoneデータ抽出!$D:$D,"*"&amp;病院別実績!I33&amp;"*")</f>
        <v>0</v>
      </c>
      <c r="L33" s="81" t="s">
        <v>279</v>
      </c>
      <c r="M33">
        <f>COUNTIF(Kintoneデータ抽出!$D:$D,"*"&amp;病院別実績!L33&amp;"*")</f>
        <v>0</v>
      </c>
      <c r="O33" s="80" t="s">
        <v>10</v>
      </c>
      <c r="P33">
        <f>COUNTIF(Kintoneデータ抽出!$D:$D,"*"&amp;病院別実績!O33&amp;"*")</f>
        <v>0</v>
      </c>
    </row>
    <row r="34" spans="6:16" ht="17.399999999999999" customHeight="1" thickBot="1" x14ac:dyDescent="0.5">
      <c r="F34" s="81" t="s">
        <v>20</v>
      </c>
      <c r="G34">
        <f>COUNTIF(Kintoneデータ抽出!$D:$D,"*"&amp;病院別実績!F34&amp;"*")</f>
        <v>0</v>
      </c>
      <c r="I34" s="81" t="s">
        <v>280</v>
      </c>
      <c r="J34">
        <f>COUNTIF(Kintoneデータ抽出!$D:$D,"*"&amp;病院別実績!I34&amp;"*")</f>
        <v>0</v>
      </c>
      <c r="L34" s="81" t="s">
        <v>281</v>
      </c>
      <c r="M34">
        <f>COUNTIF(Kintoneデータ抽出!$D:$D,"*"&amp;病院別実績!L34&amp;"*")</f>
        <v>0</v>
      </c>
      <c r="O34" s="80" t="s">
        <v>282</v>
      </c>
      <c r="P34">
        <f>COUNTIF(Kintoneデータ抽出!$D:$D,"*"&amp;病院別実績!O34&amp;"*")</f>
        <v>0</v>
      </c>
    </row>
    <row r="35" spans="6:16" ht="17.399999999999999" customHeight="1" thickBot="1" x14ac:dyDescent="0.5">
      <c r="F35" s="80" t="s">
        <v>283</v>
      </c>
      <c r="G35">
        <f>COUNTIF(Kintoneデータ抽出!$D:$D,"*"&amp;病院別実績!F35&amp;"*")</f>
        <v>0</v>
      </c>
      <c r="I35" s="81" t="s">
        <v>284</v>
      </c>
      <c r="J35">
        <f>COUNTIF(Kintoneデータ抽出!$D:$D,"*"&amp;病院別実績!I35&amp;"*")</f>
        <v>0</v>
      </c>
      <c r="L35" s="81" t="s">
        <v>285</v>
      </c>
      <c r="M35">
        <f>COUNTIF(Kintoneデータ抽出!$D:$D,"*"&amp;病院別実績!L35&amp;"*")</f>
        <v>0</v>
      </c>
      <c r="O35" s="80" t="s">
        <v>286</v>
      </c>
      <c r="P35">
        <f>COUNTIF(Kintoneデータ抽出!$D:$D,"*"&amp;病院別実績!O35&amp;"*")</f>
        <v>0</v>
      </c>
    </row>
    <row r="36" spans="6:16" ht="17.399999999999999" customHeight="1" thickBot="1" x14ac:dyDescent="0.5">
      <c r="F36" s="81" t="s">
        <v>287</v>
      </c>
      <c r="G36">
        <f>COUNTIF(Kintoneデータ抽出!$D:$D,"*"&amp;病院別実績!F36&amp;"*")</f>
        <v>0</v>
      </c>
      <c r="I36" s="81" t="s">
        <v>288</v>
      </c>
      <c r="J36">
        <f>COUNTIF(Kintoneデータ抽出!$D:$D,"*"&amp;病院別実績!I36&amp;"*")</f>
        <v>0</v>
      </c>
      <c r="L36" s="80" t="s">
        <v>289</v>
      </c>
      <c r="M36">
        <f>COUNTIF(Kintoneデータ抽出!$D:$D,"*"&amp;病院別実績!L36&amp;"*")</f>
        <v>0</v>
      </c>
      <c r="O36" s="80" t="s">
        <v>290</v>
      </c>
      <c r="P36">
        <f>COUNTIF(Kintoneデータ抽出!$D:$D,"*"&amp;病院別実績!O36&amp;"*")</f>
        <v>0</v>
      </c>
    </row>
    <row r="37" spans="6:16" ht="17.399999999999999" customHeight="1" thickBot="1" x14ac:dyDescent="0.5">
      <c r="F37" s="81" t="s">
        <v>291</v>
      </c>
      <c r="G37">
        <f>COUNTIF(Kintoneデータ抽出!$D:$D,"*"&amp;病院別実績!F37&amp;"*")</f>
        <v>0</v>
      </c>
      <c r="I37" s="81" t="s">
        <v>292</v>
      </c>
      <c r="J37">
        <f>COUNTIF(Kintoneデータ抽出!$D:$D,"*"&amp;病院別実績!I37&amp;"*")</f>
        <v>0</v>
      </c>
      <c r="L37" s="81" t="s">
        <v>293</v>
      </c>
      <c r="M37">
        <f>COUNTIF(Kintoneデータ抽出!$D:$D,"*"&amp;病院別実績!L37&amp;"*")</f>
        <v>0</v>
      </c>
      <c r="O37" s="80" t="s">
        <v>294</v>
      </c>
      <c r="P37">
        <f>COUNTIF(Kintoneデータ抽出!$D:$D,"*"&amp;病院別実績!O37&amp;"*")</f>
        <v>0</v>
      </c>
    </row>
    <row r="38" spans="6:16" ht="17.399999999999999" customHeight="1" thickBot="1" x14ac:dyDescent="0.5">
      <c r="F38" s="81" t="s">
        <v>295</v>
      </c>
      <c r="G38">
        <f>COUNTIF(Kintoneデータ抽出!$D:$D,"*"&amp;病院別実績!F38&amp;"*")</f>
        <v>0</v>
      </c>
      <c r="I38" s="81" t="s">
        <v>296</v>
      </c>
      <c r="J38">
        <f>COUNTIF(Kintoneデータ抽出!$D:$D,"*"&amp;病院別実績!I38&amp;"*")</f>
        <v>0</v>
      </c>
      <c r="L38" s="81" t="s">
        <v>297</v>
      </c>
      <c r="M38">
        <f>COUNTIF(Kintoneデータ抽出!$D:$D,"*"&amp;病院別実績!L38&amp;"*")</f>
        <v>0</v>
      </c>
      <c r="O38" s="80" t="s">
        <v>298</v>
      </c>
      <c r="P38">
        <f>COUNTIF(Kintoneデータ抽出!$D:$D,"*"&amp;病院別実績!O38&amp;"*")</f>
        <v>0</v>
      </c>
    </row>
    <row r="39" spans="6:16" ht="17.399999999999999" customHeight="1" thickBot="1" x14ac:dyDescent="0.5">
      <c r="F39" s="80" t="s">
        <v>299</v>
      </c>
      <c r="G39">
        <f>COUNTIF(Kintoneデータ抽出!$D:$D,"*"&amp;病院別実績!F39&amp;"*")</f>
        <v>0</v>
      </c>
      <c r="I39" s="80" t="s">
        <v>300</v>
      </c>
      <c r="J39">
        <f>COUNTIF(Kintoneデータ抽出!$D:$D,"*"&amp;病院別実績!I39&amp;"*")</f>
        <v>0</v>
      </c>
      <c r="L39" s="81" t="s">
        <v>301</v>
      </c>
      <c r="M39">
        <f>COUNTIF(Kintoneデータ抽出!$D:$D,"*"&amp;病院別実績!L39&amp;"*")</f>
        <v>0</v>
      </c>
      <c r="O39" s="80" t="s">
        <v>302</v>
      </c>
      <c r="P39">
        <f>COUNTIF(Kintoneデータ抽出!$D:$D,"*"&amp;病院別実績!O39&amp;"*")</f>
        <v>0</v>
      </c>
    </row>
    <row r="40" spans="6:16" ht="17.399999999999999" customHeight="1" thickBot="1" x14ac:dyDescent="0.5">
      <c r="F40" s="80" t="s">
        <v>303</v>
      </c>
      <c r="G40">
        <f>COUNTIF(Kintoneデータ抽出!$D:$D,"*"&amp;病院別実績!F40&amp;"*")</f>
        <v>0</v>
      </c>
      <c r="I40" s="81" t="s">
        <v>304</v>
      </c>
      <c r="J40">
        <f>COUNTIF(Kintoneデータ抽出!$D:$D,"*"&amp;病院別実績!I40&amp;"*")</f>
        <v>0</v>
      </c>
      <c r="L40" s="81" t="s">
        <v>305</v>
      </c>
      <c r="M40">
        <f>COUNTIF(Kintoneデータ抽出!$D:$D,"*"&amp;病院別実績!L40&amp;"*")</f>
        <v>0</v>
      </c>
      <c r="O40" s="80" t="s">
        <v>306</v>
      </c>
      <c r="P40">
        <f>COUNTIF(Kintoneデータ抽出!$D:$D,"*"&amp;病院別実績!O40&amp;"*")</f>
        <v>0</v>
      </c>
    </row>
    <row r="41" spans="6:16" ht="17.399999999999999" customHeight="1" thickBot="1" x14ac:dyDescent="0.5">
      <c r="F41" s="81" t="s">
        <v>307</v>
      </c>
      <c r="G41">
        <f>COUNTIF(Kintoneデータ抽出!$D:$D,"*"&amp;病院別実績!F41&amp;"*")</f>
        <v>0</v>
      </c>
      <c r="I41" s="81" t="s">
        <v>308</v>
      </c>
      <c r="J41">
        <f>COUNTIF(Kintoneデータ抽出!$D:$D,"*"&amp;病院別実績!I41&amp;"*")</f>
        <v>0</v>
      </c>
      <c r="L41" s="80" t="s">
        <v>309</v>
      </c>
      <c r="M41">
        <f>COUNTIF(Kintoneデータ抽出!$D:$D,"*"&amp;病院別実績!L41&amp;"*")</f>
        <v>0</v>
      </c>
      <c r="O41" s="80" t="s">
        <v>310</v>
      </c>
      <c r="P41">
        <f>COUNTIF(Kintoneデータ抽出!$D:$D,"*"&amp;病院別実績!O41&amp;"*")</f>
        <v>0</v>
      </c>
    </row>
    <row r="42" spans="6:16" ht="17.399999999999999" customHeight="1" thickBot="1" x14ac:dyDescent="0.5">
      <c r="F42" s="81" t="s">
        <v>311</v>
      </c>
      <c r="G42">
        <f>COUNTIF(Kintoneデータ抽出!$D:$D,"*"&amp;病院別実績!F42&amp;"*")</f>
        <v>0</v>
      </c>
      <c r="I42" s="81" t="s">
        <v>312</v>
      </c>
      <c r="J42">
        <f>COUNTIF(Kintoneデータ抽出!$D:$D,"*"&amp;病院別実績!I42&amp;"*")</f>
        <v>0</v>
      </c>
      <c r="L42" s="80" t="s">
        <v>313</v>
      </c>
      <c r="M42">
        <f>COUNTIF(Kintoneデータ抽出!$D:$D,"*"&amp;病院別実績!L42&amp;"*")</f>
        <v>0</v>
      </c>
      <c r="O42" s="80" t="s">
        <v>314</v>
      </c>
      <c r="P42">
        <f>COUNTIF(Kintoneデータ抽出!$D:$D,"*"&amp;病院別実績!O42&amp;"*")</f>
        <v>0</v>
      </c>
    </row>
    <row r="43" spans="6:16" ht="17.399999999999999" customHeight="1" thickBot="1" x14ac:dyDescent="0.5">
      <c r="F43" s="81" t="s">
        <v>315</v>
      </c>
      <c r="G43">
        <f>COUNTIF(Kintoneデータ抽出!$D:$D,"*"&amp;病院別実績!F43&amp;"*")</f>
        <v>0</v>
      </c>
      <c r="I43" s="81" t="s">
        <v>316</v>
      </c>
      <c r="J43">
        <f>COUNTIF(Kintoneデータ抽出!$D:$D,"*"&amp;病院別実績!I43&amp;"*")</f>
        <v>0</v>
      </c>
      <c r="L43" s="80" t="s">
        <v>317</v>
      </c>
      <c r="M43">
        <f>COUNTIF(Kintoneデータ抽出!$D:$D,"*"&amp;病院別実績!L43&amp;"*")</f>
        <v>0</v>
      </c>
      <c r="O43" s="80" t="s">
        <v>318</v>
      </c>
      <c r="P43">
        <f>COUNTIF(Kintoneデータ抽出!$D:$D,"*"&amp;病院別実績!O43&amp;"*")</f>
        <v>0</v>
      </c>
    </row>
    <row r="44" spans="6:16" ht="17.399999999999999" customHeight="1" thickBot="1" x14ac:dyDescent="0.5">
      <c r="F44" s="81" t="s">
        <v>319</v>
      </c>
      <c r="G44">
        <f>COUNTIF(Kintoneデータ抽出!$D:$D,"*"&amp;病院別実績!F44&amp;"*")</f>
        <v>0</v>
      </c>
      <c r="I44" s="81" t="s">
        <v>320</v>
      </c>
      <c r="J44">
        <f>COUNTIF(Kintoneデータ抽出!$D:$D,"*"&amp;病院別実績!I44&amp;"*")</f>
        <v>0</v>
      </c>
      <c r="L44" s="81" t="s">
        <v>321</v>
      </c>
      <c r="M44">
        <f>COUNTIF(Kintoneデータ抽出!$D:$D,"*"&amp;病院別実績!L44&amp;"*")</f>
        <v>0</v>
      </c>
      <c r="O44" s="80" t="s">
        <v>322</v>
      </c>
      <c r="P44">
        <f>COUNTIF(Kintoneデータ抽出!$D:$D,"*"&amp;病院別実績!O44&amp;"*")</f>
        <v>0</v>
      </c>
    </row>
    <row r="45" spans="6:16" ht="17.399999999999999" customHeight="1" thickBot="1" x14ac:dyDescent="0.5">
      <c r="F45" s="81" t="s">
        <v>323</v>
      </c>
      <c r="G45">
        <f>COUNTIF(Kintoneデータ抽出!$D:$D,"*"&amp;病院別実績!F45&amp;"*")</f>
        <v>0</v>
      </c>
      <c r="I45" s="80" t="s">
        <v>324</v>
      </c>
      <c r="J45">
        <f>COUNTIF(Kintoneデータ抽出!$D:$D,"*"&amp;病院別実績!I45&amp;"*")</f>
        <v>0</v>
      </c>
      <c r="L45" s="80" t="s">
        <v>325</v>
      </c>
      <c r="M45">
        <f>COUNTIF(Kintoneデータ抽出!$D:$D,"*"&amp;病院別実績!L45&amp;"*")</f>
        <v>0</v>
      </c>
      <c r="O45" s="80" t="s">
        <v>326</v>
      </c>
      <c r="P45">
        <f>COUNTIF(Kintoneデータ抽出!$D:$D,"*"&amp;病院別実績!O45&amp;"*")</f>
        <v>0</v>
      </c>
    </row>
    <row r="46" spans="6:16" ht="17.399999999999999" customHeight="1" thickBot="1" x14ac:dyDescent="0.5">
      <c r="F46" s="81" t="s">
        <v>327</v>
      </c>
      <c r="G46">
        <f>COUNTIF(Kintoneデータ抽出!$D:$D,"*"&amp;病院別実績!F46&amp;"*")</f>
        <v>0</v>
      </c>
      <c r="I46" s="80" t="s">
        <v>328</v>
      </c>
      <c r="J46">
        <f>COUNTIF(Kintoneデータ抽出!$D:$D,"*"&amp;病院別実績!I46&amp;"*")</f>
        <v>0</v>
      </c>
      <c r="L46" s="80" t="s">
        <v>329</v>
      </c>
      <c r="M46">
        <f>COUNTIF(Kintoneデータ抽出!$D:$D,"*"&amp;病院別実績!L46&amp;"*")</f>
        <v>0</v>
      </c>
      <c r="O46" s="80" t="s">
        <v>330</v>
      </c>
      <c r="P46">
        <f>COUNTIF(Kintoneデータ抽出!$D:$D,"*"&amp;病院別実績!O46&amp;"*")</f>
        <v>0</v>
      </c>
    </row>
    <row r="47" spans="6:16" ht="17.399999999999999" customHeight="1" thickBot="1" x14ac:dyDescent="0.5">
      <c r="F47" s="81" t="s">
        <v>331</v>
      </c>
      <c r="G47">
        <f>COUNTIF(Kintoneデータ抽出!$D:$D,"*"&amp;病院別実績!F47&amp;"*")</f>
        <v>0</v>
      </c>
      <c r="I47" s="81" t="s">
        <v>332</v>
      </c>
      <c r="J47">
        <f>COUNTIF(Kintoneデータ抽出!$D:$D,"*"&amp;病院別実績!I47&amp;"*")</f>
        <v>0</v>
      </c>
      <c r="L47" s="81" t="s">
        <v>333</v>
      </c>
      <c r="M47">
        <f>COUNTIF(Kintoneデータ抽出!$D:$D,"*"&amp;病院別実績!L47&amp;"*")</f>
        <v>0</v>
      </c>
      <c r="O47" s="80" t="s">
        <v>334</v>
      </c>
      <c r="P47">
        <f>COUNTIF(Kintoneデータ抽出!$D:$D,"*"&amp;病院別実績!O47&amp;"*")</f>
        <v>0</v>
      </c>
    </row>
    <row r="48" spans="6:16" ht="17.399999999999999" customHeight="1" thickBot="1" x14ac:dyDescent="0.5">
      <c r="F48" s="81" t="s">
        <v>335</v>
      </c>
      <c r="G48">
        <f>COUNTIF(Kintoneデータ抽出!$D:$D,"*"&amp;病院別実績!F48&amp;"*")</f>
        <v>0</v>
      </c>
      <c r="I48" s="81" t="s">
        <v>336</v>
      </c>
      <c r="J48">
        <f>COUNTIF(Kintoneデータ抽出!$D:$D,"*"&amp;病院別実績!I48&amp;"*")</f>
        <v>0</v>
      </c>
      <c r="L48" s="80" t="s">
        <v>337</v>
      </c>
      <c r="M48">
        <f>COUNTIF(Kintoneデータ抽出!$D:$D,"*"&amp;病院別実績!L48&amp;"*")</f>
        <v>0</v>
      </c>
      <c r="O48" s="80" t="s">
        <v>338</v>
      </c>
      <c r="P48">
        <f>COUNTIF(Kintoneデータ抽出!$D:$D,"*"&amp;病院別実績!O48&amp;"*")</f>
        <v>0</v>
      </c>
    </row>
    <row r="49" spans="6:16" ht="17.399999999999999" customHeight="1" thickBot="1" x14ac:dyDescent="0.5">
      <c r="F49" s="81" t="s">
        <v>339</v>
      </c>
      <c r="G49">
        <f>COUNTIF(Kintoneデータ抽出!$D:$D,"*"&amp;病院別実績!F49&amp;"*")</f>
        <v>0</v>
      </c>
      <c r="I49" s="80" t="s">
        <v>340</v>
      </c>
      <c r="J49">
        <f>COUNTIF(Kintoneデータ抽出!$D:$D,"*"&amp;病院別実績!I49&amp;"*")</f>
        <v>0</v>
      </c>
      <c r="L49" s="80" t="s">
        <v>341</v>
      </c>
      <c r="M49">
        <f>COUNTIF(Kintoneデータ抽出!$D:$D,"*"&amp;病院別実績!L49&amp;"*")</f>
        <v>0</v>
      </c>
      <c r="O49" s="80" t="s">
        <v>342</v>
      </c>
      <c r="P49">
        <f>COUNTIF(Kintoneデータ抽出!$D:$D,"*"&amp;病院別実績!O49&amp;"*")</f>
        <v>0</v>
      </c>
    </row>
    <row r="50" spans="6:16" ht="17.399999999999999" customHeight="1" thickBot="1" x14ac:dyDescent="0.5">
      <c r="F50" s="80" t="s">
        <v>343</v>
      </c>
      <c r="G50">
        <f>COUNTIF(Kintoneデータ抽出!$D:$D,"*"&amp;病院別実績!F50&amp;"*")</f>
        <v>0</v>
      </c>
      <c r="I50" s="80" t="s">
        <v>344</v>
      </c>
      <c r="J50">
        <f>COUNTIF(Kintoneデータ抽出!$D:$D,"*"&amp;病院別実績!I50&amp;"*")</f>
        <v>0</v>
      </c>
      <c r="L50" s="80" t="s">
        <v>345</v>
      </c>
      <c r="M50">
        <f>COUNTIF(Kintoneデータ抽出!$D:$D,"*"&amp;病院別実績!L50&amp;"*")</f>
        <v>0</v>
      </c>
      <c r="O50" s="80" t="s">
        <v>346</v>
      </c>
      <c r="P50">
        <f>COUNTIF(Kintoneデータ抽出!$D:$D,"*"&amp;病院別実績!O50&amp;"*")</f>
        <v>0</v>
      </c>
    </row>
    <row r="51" spans="6:16" ht="17.399999999999999" customHeight="1" thickBot="1" x14ac:dyDescent="0.5">
      <c r="F51" s="81" t="s">
        <v>347</v>
      </c>
      <c r="G51">
        <f>COUNTIF(Kintoneデータ抽出!$D:$D,"*"&amp;病院別実績!F51&amp;"*")</f>
        <v>0</v>
      </c>
      <c r="I51" s="81" t="s">
        <v>348</v>
      </c>
      <c r="J51">
        <f>COUNTIF(Kintoneデータ抽出!$D:$D,"*"&amp;病院別実績!I51&amp;"*")</f>
        <v>0</v>
      </c>
      <c r="L51" s="80" t="s">
        <v>349</v>
      </c>
      <c r="M51">
        <f>COUNTIF(Kintoneデータ抽出!$D:$D,"*"&amp;病院別実績!L51&amp;"*")</f>
        <v>0</v>
      </c>
      <c r="O51" s="80" t="s">
        <v>350</v>
      </c>
      <c r="P51">
        <f>COUNTIF(Kintoneデータ抽出!$D:$D,"*"&amp;病院別実績!O51&amp;"*")</f>
        <v>0</v>
      </c>
    </row>
    <row r="52" spans="6:16" ht="17.399999999999999" customHeight="1" thickBot="1" x14ac:dyDescent="0.5">
      <c r="F52" s="81" t="s">
        <v>351</v>
      </c>
      <c r="G52">
        <f>COUNTIF(Kintoneデータ抽出!$D:$D,"*"&amp;病院別実績!F52&amp;"*")</f>
        <v>0</v>
      </c>
      <c r="I52" s="80" t="s">
        <v>352</v>
      </c>
      <c r="J52">
        <f>COUNTIF(Kintoneデータ抽出!$D:$D,"*"&amp;病院別実績!I52&amp;"*")</f>
        <v>0</v>
      </c>
      <c r="L52" s="80" t="s">
        <v>353</v>
      </c>
      <c r="M52">
        <f>COUNTIF(Kintoneデータ抽出!$D:$D,"*"&amp;病院別実績!L52&amp;"*")</f>
        <v>0</v>
      </c>
      <c r="O52" s="80" t="s">
        <v>354</v>
      </c>
      <c r="P52">
        <f>COUNTIF(Kintoneデータ抽出!$D:$D,"*"&amp;病院別実績!O52&amp;"*")</f>
        <v>0</v>
      </c>
    </row>
    <row r="53" spans="6:16" ht="17.399999999999999" customHeight="1" thickBot="1" x14ac:dyDescent="0.5">
      <c r="F53" s="81" t="s">
        <v>355</v>
      </c>
      <c r="G53">
        <f>COUNTIF(Kintoneデータ抽出!$D:$D,"*"&amp;病院別実績!F53&amp;"*")</f>
        <v>0</v>
      </c>
      <c r="I53" s="81" t="s">
        <v>356</v>
      </c>
      <c r="J53">
        <f>COUNTIF(Kintoneデータ抽出!$D:$D,"*"&amp;病院別実績!I53&amp;"*")</f>
        <v>0</v>
      </c>
      <c r="L53" s="80" t="s">
        <v>357</v>
      </c>
      <c r="M53">
        <f>COUNTIF(Kintoneデータ抽出!$D:$D,"*"&amp;病院別実績!L53&amp;"*")</f>
        <v>0</v>
      </c>
      <c r="O53" s="80" t="s">
        <v>358</v>
      </c>
      <c r="P53">
        <f>COUNTIF(Kintoneデータ抽出!$D:$D,"*"&amp;病院別実績!O53&amp;"*")</f>
        <v>0</v>
      </c>
    </row>
    <row r="54" spans="6:16" ht="17.399999999999999" customHeight="1" thickBot="1" x14ac:dyDescent="0.5">
      <c r="F54" s="81" t="s">
        <v>359</v>
      </c>
      <c r="G54">
        <f>COUNTIF(Kintoneデータ抽出!$D:$D,"*"&amp;病院別実績!F54&amp;"*")</f>
        <v>0</v>
      </c>
      <c r="I54" s="80" t="s">
        <v>360</v>
      </c>
      <c r="J54">
        <f>COUNTIF(Kintoneデータ抽出!$D:$D,"*"&amp;病院別実績!I54&amp;"*")</f>
        <v>0</v>
      </c>
      <c r="L54" s="81" t="s">
        <v>361</v>
      </c>
      <c r="M54">
        <f>COUNTIF(Kintoneデータ抽出!$D:$D,"*"&amp;病院別実績!L54&amp;"*")</f>
        <v>0</v>
      </c>
      <c r="O54" s="80" t="s">
        <v>362</v>
      </c>
      <c r="P54">
        <f>COUNTIF(Kintoneデータ抽出!$D:$D,"*"&amp;病院別実績!O54&amp;"*")</f>
        <v>0</v>
      </c>
    </row>
    <row r="55" spans="6:16" ht="17.399999999999999" customHeight="1" thickBot="1" x14ac:dyDescent="0.5">
      <c r="F55" s="81" t="s">
        <v>363</v>
      </c>
      <c r="G55">
        <f>COUNTIF(Kintoneデータ抽出!$D:$D,"*"&amp;病院別実績!F55&amp;"*")</f>
        <v>0</v>
      </c>
      <c r="I55" s="80" t="s">
        <v>364</v>
      </c>
      <c r="J55">
        <f>COUNTIF(Kintoneデータ抽出!$D:$D,"*"&amp;病院別実績!I55&amp;"*")</f>
        <v>0</v>
      </c>
      <c r="L55" s="80" t="s">
        <v>365</v>
      </c>
      <c r="M55">
        <f>COUNTIF(Kintoneデータ抽出!$D:$D,"*"&amp;病院別実績!L55&amp;"*")</f>
        <v>0</v>
      </c>
      <c r="O55" s="80" t="s">
        <v>366</v>
      </c>
      <c r="P55">
        <f>COUNTIF(Kintoneデータ抽出!$D:$D,"*"&amp;病院別実績!O55&amp;"*")</f>
        <v>0</v>
      </c>
    </row>
    <row r="56" spans="6:16" ht="17.399999999999999" customHeight="1" thickBot="1" x14ac:dyDescent="0.5">
      <c r="F56" s="80" t="s">
        <v>367</v>
      </c>
      <c r="G56">
        <f>COUNTIF(Kintoneデータ抽出!$D:$D,"*"&amp;病院別実績!F56&amp;"*")</f>
        <v>0</v>
      </c>
      <c r="I56" s="80" t="s">
        <v>368</v>
      </c>
      <c r="J56">
        <f>COUNTIF(Kintoneデータ抽出!$D:$D,"*"&amp;病院別実績!I56&amp;"*")</f>
        <v>0</v>
      </c>
      <c r="L56" s="81" t="s">
        <v>369</v>
      </c>
      <c r="M56">
        <f>COUNTIF(Kintoneデータ抽出!$D:$D,"*"&amp;病院別実績!L56&amp;"*")</f>
        <v>0</v>
      </c>
      <c r="O56" s="80" t="s">
        <v>370</v>
      </c>
      <c r="P56">
        <f>COUNTIF(Kintoneデータ抽出!$D:$D,"*"&amp;病院別実績!O56&amp;"*")</f>
        <v>0</v>
      </c>
    </row>
    <row r="57" spans="6:16" ht="17.399999999999999" customHeight="1" thickBot="1" x14ac:dyDescent="0.5">
      <c r="F57" s="81" t="s">
        <v>371</v>
      </c>
      <c r="G57">
        <f>COUNTIF(Kintoneデータ抽出!$D:$D,"*"&amp;病院別実績!F57&amp;"*")</f>
        <v>0</v>
      </c>
      <c r="I57" s="81" t="s">
        <v>372</v>
      </c>
      <c r="J57">
        <f>COUNTIF(Kintoneデータ抽出!$D:$D,"*"&amp;病院別実績!I57&amp;"*")</f>
        <v>0</v>
      </c>
      <c r="L57" s="81" t="s">
        <v>373</v>
      </c>
      <c r="M57">
        <f>COUNTIF(Kintoneデータ抽出!$D:$D,"*"&amp;病院別実績!L57&amp;"*")</f>
        <v>0</v>
      </c>
      <c r="O57" s="80" t="s">
        <v>374</v>
      </c>
      <c r="P57">
        <f>COUNTIF(Kintoneデータ抽出!$D:$D,"*"&amp;病院別実績!O57&amp;"*")</f>
        <v>0</v>
      </c>
    </row>
    <row r="58" spans="6:16" ht="17.399999999999999" customHeight="1" thickBot="1" x14ac:dyDescent="0.5">
      <c r="F58" s="81" t="s">
        <v>375</v>
      </c>
      <c r="G58">
        <f>COUNTIF(Kintoneデータ抽出!$D:$D,"*"&amp;病院別実績!F58&amp;"*")</f>
        <v>0</v>
      </c>
      <c r="I58" s="80" t="s">
        <v>376</v>
      </c>
      <c r="J58">
        <f>COUNTIF(Kintoneデータ抽出!$D:$D,"*"&amp;病院別実績!I58&amp;"*")</f>
        <v>0</v>
      </c>
      <c r="L58" s="81" t="s">
        <v>377</v>
      </c>
      <c r="M58">
        <f>COUNTIF(Kintoneデータ抽出!$D:$D,"*"&amp;病院別実績!L58&amp;"*")</f>
        <v>0</v>
      </c>
      <c r="O58" s="80" t="s">
        <v>378</v>
      </c>
      <c r="P58">
        <f>COUNTIF(Kintoneデータ抽出!$D:$D,"*"&amp;病院別実績!O58&amp;"*")</f>
        <v>0</v>
      </c>
    </row>
    <row r="59" spans="6:16" ht="17.399999999999999" customHeight="1" thickBot="1" x14ac:dyDescent="0.5">
      <c r="F59" s="81" t="s">
        <v>379</v>
      </c>
      <c r="G59">
        <f>COUNTIF(Kintoneデータ抽出!$D:$D,"*"&amp;病院別実績!F59&amp;"*")</f>
        <v>0</v>
      </c>
      <c r="I59" s="81" t="s">
        <v>380</v>
      </c>
      <c r="J59">
        <f>COUNTIF(Kintoneデータ抽出!$D:$D,"*"&amp;病院別実績!I59&amp;"*")</f>
        <v>0</v>
      </c>
      <c r="L59" s="81" t="s">
        <v>381</v>
      </c>
      <c r="M59">
        <f>COUNTIF(Kintoneデータ抽出!$D:$D,"*"&amp;病院別実績!L59&amp;"*")</f>
        <v>0</v>
      </c>
      <c r="O59" s="80" t="s">
        <v>382</v>
      </c>
      <c r="P59">
        <f>COUNTIF(Kintoneデータ抽出!$D:$D,"*"&amp;病院別実績!O59&amp;"*")</f>
        <v>0</v>
      </c>
    </row>
    <row r="60" spans="6:16" ht="17.399999999999999" customHeight="1" thickBot="1" x14ac:dyDescent="0.5">
      <c r="F60" s="81" t="s">
        <v>383</v>
      </c>
      <c r="G60">
        <f>COUNTIF(Kintoneデータ抽出!$D:$D,"*"&amp;病院別実績!F60&amp;"*")</f>
        <v>0</v>
      </c>
      <c r="I60" s="80" t="s">
        <v>384</v>
      </c>
      <c r="J60">
        <f>COUNTIF(Kintoneデータ抽出!$D:$D,"*"&amp;病院別実績!I60&amp;"*")</f>
        <v>0</v>
      </c>
      <c r="L60" s="81" t="s">
        <v>385</v>
      </c>
      <c r="M60">
        <f>COUNTIF(Kintoneデータ抽出!$D:$D,"*"&amp;病院別実績!L60&amp;"*")</f>
        <v>0</v>
      </c>
      <c r="O60" s="80" t="s">
        <v>386</v>
      </c>
      <c r="P60">
        <f>COUNTIF(Kintoneデータ抽出!$D:$D,"*"&amp;病院別実績!O60&amp;"*")</f>
        <v>0</v>
      </c>
    </row>
    <row r="61" spans="6:16" ht="17.399999999999999" customHeight="1" thickBot="1" x14ac:dyDescent="0.5">
      <c r="F61" s="81" t="s">
        <v>387</v>
      </c>
      <c r="G61">
        <f>COUNTIF(Kintoneデータ抽出!$D:$D,"*"&amp;病院別実績!F61&amp;"*")</f>
        <v>0</v>
      </c>
      <c r="I61" s="81" t="s">
        <v>388</v>
      </c>
      <c r="J61">
        <f>COUNTIF(Kintoneデータ抽出!$D:$D,"*"&amp;病院別実績!I61&amp;"*")</f>
        <v>0</v>
      </c>
      <c r="L61" s="80" t="s">
        <v>389</v>
      </c>
      <c r="M61">
        <f>COUNTIF(Kintoneデータ抽出!$D:$D,"*"&amp;病院別実績!L61&amp;"*")</f>
        <v>0</v>
      </c>
      <c r="O61" s="80" t="s">
        <v>390</v>
      </c>
      <c r="P61">
        <f>COUNTIF(Kintoneデータ抽出!$D:$D,"*"&amp;病院別実績!O61&amp;"*")</f>
        <v>0</v>
      </c>
    </row>
    <row r="62" spans="6:16" ht="17.399999999999999" customHeight="1" thickBot="1" x14ac:dyDescent="0.5">
      <c r="F62" s="81" t="s">
        <v>391</v>
      </c>
      <c r="G62">
        <f>COUNTIF(Kintoneデータ抽出!$D:$D,"*"&amp;病院別実績!F62&amp;"*")</f>
        <v>0</v>
      </c>
      <c r="I62" s="80" t="s">
        <v>392</v>
      </c>
      <c r="J62">
        <f>COUNTIF(Kintoneデータ抽出!$D:$D,"*"&amp;病院別実績!I62&amp;"*")</f>
        <v>0</v>
      </c>
      <c r="L62" s="81" t="s">
        <v>393</v>
      </c>
      <c r="M62">
        <f>COUNTIF(Kintoneデータ抽出!$D:$D,"*"&amp;病院別実績!L62&amp;"*")</f>
        <v>0</v>
      </c>
      <c r="O62" s="80" t="s">
        <v>394</v>
      </c>
      <c r="P62">
        <f>COUNTIF(Kintoneデータ抽出!$D:$D,"*"&amp;病院別実績!O62&amp;"*")</f>
        <v>0</v>
      </c>
    </row>
    <row r="63" spans="6:16" ht="17.399999999999999" customHeight="1" thickBot="1" x14ac:dyDescent="0.5">
      <c r="F63" s="81" t="s">
        <v>395</v>
      </c>
      <c r="G63">
        <f>COUNTIF(Kintoneデータ抽出!$D:$D,"*"&amp;病院別実績!F63&amp;"*")</f>
        <v>0</v>
      </c>
      <c r="I63" s="81" t="s">
        <v>396</v>
      </c>
      <c r="J63">
        <f>COUNTIF(Kintoneデータ抽出!$D:$D,"*"&amp;病院別実績!I63&amp;"*")</f>
        <v>0</v>
      </c>
      <c r="L63" s="81" t="s">
        <v>397</v>
      </c>
      <c r="M63">
        <f>COUNTIF(Kintoneデータ抽出!$D:$D,"*"&amp;病院別実績!L63&amp;"*")</f>
        <v>0</v>
      </c>
      <c r="O63" s="80" t="s">
        <v>398</v>
      </c>
      <c r="P63">
        <f>COUNTIF(Kintoneデータ抽出!$D:$D,"*"&amp;病院別実績!O63&amp;"*")</f>
        <v>0</v>
      </c>
    </row>
    <row r="64" spans="6:16" ht="17.399999999999999" customHeight="1" thickBot="1" x14ac:dyDescent="0.5">
      <c r="F64" s="80" t="s">
        <v>399</v>
      </c>
      <c r="G64">
        <f>COUNTIF(Kintoneデータ抽出!$D:$D,"*"&amp;病院別実績!F64&amp;"*")</f>
        <v>0</v>
      </c>
      <c r="I64" s="80" t="s">
        <v>400</v>
      </c>
      <c r="J64">
        <f>COUNTIF(Kintoneデータ抽出!$D:$D,"*"&amp;病院別実績!I64&amp;"*")</f>
        <v>0</v>
      </c>
      <c r="L64" s="81" t="s">
        <v>401</v>
      </c>
      <c r="M64">
        <f>COUNTIF(Kintoneデータ抽出!$D:$D,"*"&amp;病院別実績!L64&amp;"*")</f>
        <v>0</v>
      </c>
      <c r="O64" s="80" t="s">
        <v>402</v>
      </c>
      <c r="P64">
        <f>COUNTIF(Kintoneデータ抽出!$D:$D,"*"&amp;病院別実績!O64&amp;"*")</f>
        <v>0</v>
      </c>
    </row>
    <row r="65" spans="6:16" ht="17.399999999999999" customHeight="1" thickBot="1" x14ac:dyDescent="0.5">
      <c r="F65" s="80" t="s">
        <v>403</v>
      </c>
      <c r="G65">
        <f>COUNTIF(Kintoneデータ抽出!$D:$D,"*"&amp;病院別実績!F65&amp;"*")</f>
        <v>0</v>
      </c>
      <c r="I65" s="81" t="s">
        <v>404</v>
      </c>
      <c r="J65">
        <f>COUNTIF(Kintoneデータ抽出!$D:$D,"*"&amp;病院別実績!I65&amp;"*")</f>
        <v>0</v>
      </c>
      <c r="L65" s="80" t="s">
        <v>405</v>
      </c>
      <c r="M65">
        <f>COUNTIF(Kintoneデータ抽出!$D:$D,"*"&amp;病院別実績!L65&amp;"*")</f>
        <v>0</v>
      </c>
      <c r="O65" s="80" t="s">
        <v>406</v>
      </c>
      <c r="P65">
        <f>COUNTIF(Kintoneデータ抽出!$D:$D,"*"&amp;病院別実績!O65&amp;"*")</f>
        <v>0</v>
      </c>
    </row>
    <row r="66" spans="6:16" ht="17.399999999999999" customHeight="1" thickBot="1" x14ac:dyDescent="0.5">
      <c r="F66" s="81" t="s">
        <v>407</v>
      </c>
      <c r="G66">
        <f>COUNTIF(Kintoneデータ抽出!$D:$D,"*"&amp;病院別実績!F66&amp;"*")</f>
        <v>0</v>
      </c>
      <c r="I66" s="81" t="s">
        <v>27</v>
      </c>
      <c r="J66">
        <f>COUNTIF(Kintoneデータ抽出!$D:$D,"*"&amp;病院別実績!I66&amp;"*")</f>
        <v>0</v>
      </c>
      <c r="L66" s="80" t="s">
        <v>408</v>
      </c>
      <c r="M66">
        <f>COUNTIF(Kintoneデータ抽出!$D:$D,"*"&amp;病院別実績!L66&amp;"*")</f>
        <v>0</v>
      </c>
      <c r="O66" s="80" t="s">
        <v>409</v>
      </c>
      <c r="P66">
        <f>COUNTIF(Kintoneデータ抽出!$D:$D,"*"&amp;病院別実績!O66&amp;"*")</f>
        <v>0</v>
      </c>
    </row>
    <row r="67" spans="6:16" ht="17.399999999999999" customHeight="1" thickBot="1" x14ac:dyDescent="0.5">
      <c r="F67" s="81" t="s">
        <v>410</v>
      </c>
      <c r="G67">
        <f>COUNTIF(Kintoneデータ抽出!$D:$D,"*"&amp;病院別実績!F67&amp;"*")</f>
        <v>0</v>
      </c>
      <c r="I67" s="81" t="s">
        <v>411</v>
      </c>
      <c r="J67">
        <f>COUNTIF(Kintoneデータ抽出!$D:$D,"*"&amp;病院別実績!I67&amp;"*")</f>
        <v>0</v>
      </c>
      <c r="L67" s="80" t="s">
        <v>412</v>
      </c>
      <c r="M67">
        <f>COUNTIF(Kintoneデータ抽出!$D:$D,"*"&amp;病院別実績!L67&amp;"*")</f>
        <v>0</v>
      </c>
      <c r="O67" s="80" t="s">
        <v>413</v>
      </c>
      <c r="P67">
        <f>COUNTIF(Kintoneデータ抽出!$D:$D,"*"&amp;病院別実績!O67&amp;"*")</f>
        <v>0</v>
      </c>
    </row>
    <row r="68" spans="6:16" ht="17.399999999999999" customHeight="1" thickBot="1" x14ac:dyDescent="0.5">
      <c r="F68" s="81" t="s">
        <v>414</v>
      </c>
      <c r="G68">
        <f>COUNTIF(Kintoneデータ抽出!$D:$D,"*"&amp;病院別実績!F68&amp;"*")</f>
        <v>0</v>
      </c>
      <c r="I68" s="80" t="s">
        <v>415</v>
      </c>
      <c r="J68">
        <f>COUNTIF(Kintoneデータ抽出!$D:$D,"*"&amp;病院別実績!I68&amp;"*")</f>
        <v>0</v>
      </c>
      <c r="L68" s="81" t="s">
        <v>416</v>
      </c>
      <c r="M68">
        <f>COUNTIF(Kintoneデータ抽出!$D:$D,"*"&amp;病院別実績!L68&amp;"*")</f>
        <v>0</v>
      </c>
      <c r="O68" s="80" t="s">
        <v>417</v>
      </c>
      <c r="P68">
        <f>COUNTIF(Kintoneデータ抽出!$D:$D,"*"&amp;病院別実績!O68&amp;"*")</f>
        <v>0</v>
      </c>
    </row>
    <row r="69" spans="6:16" ht="17.399999999999999" customHeight="1" thickBot="1" x14ac:dyDescent="0.5">
      <c r="F69" s="81" t="s">
        <v>418</v>
      </c>
      <c r="G69">
        <f>COUNTIF(Kintoneデータ抽出!$D:$D,"*"&amp;病院別実績!F69&amp;"*")</f>
        <v>0</v>
      </c>
      <c r="I69" s="81" t="s">
        <v>419</v>
      </c>
      <c r="J69">
        <f>COUNTIF(Kintoneデータ抽出!$D:$D,"*"&amp;病院別実績!I69&amp;"*")</f>
        <v>0</v>
      </c>
      <c r="L69" s="81" t="s">
        <v>420</v>
      </c>
      <c r="M69">
        <f>COUNTIF(Kintoneデータ抽出!$D:$D,"*"&amp;病院別実績!L69&amp;"*")</f>
        <v>0</v>
      </c>
      <c r="O69" s="80" t="s">
        <v>421</v>
      </c>
      <c r="P69">
        <f>COUNTIF(Kintoneデータ抽出!$D:$D,"*"&amp;病院別実績!O69&amp;"*")</f>
        <v>0</v>
      </c>
    </row>
    <row r="70" spans="6:16" ht="17.399999999999999" customHeight="1" thickBot="1" x14ac:dyDescent="0.5">
      <c r="F70" s="81" t="s">
        <v>422</v>
      </c>
      <c r="G70">
        <f>COUNTIF(Kintoneデータ抽出!$D:$D,"*"&amp;病院別実績!F70&amp;"*")</f>
        <v>0</v>
      </c>
      <c r="I70" s="80" t="s">
        <v>423</v>
      </c>
      <c r="J70">
        <f>COUNTIF(Kintoneデータ抽出!$D:$D,"*"&amp;病院別実績!I70&amp;"*")</f>
        <v>0</v>
      </c>
      <c r="L70" s="81" t="s">
        <v>424</v>
      </c>
      <c r="M70">
        <f>COUNTIF(Kintoneデータ抽出!$D:$D,"*"&amp;病院別実績!L70&amp;"*")</f>
        <v>0</v>
      </c>
      <c r="O70" s="80" t="s">
        <v>425</v>
      </c>
      <c r="P70">
        <f>COUNTIF(Kintoneデータ抽出!$D:$D,"*"&amp;病院別実績!O70&amp;"*")</f>
        <v>0</v>
      </c>
    </row>
    <row r="71" spans="6:16" ht="17.399999999999999" customHeight="1" thickBot="1" x14ac:dyDescent="0.5">
      <c r="F71" s="81" t="s">
        <v>426</v>
      </c>
      <c r="G71">
        <f>COUNTIF(Kintoneデータ抽出!$D:$D,"*"&amp;病院別実績!F71&amp;"*")</f>
        <v>0</v>
      </c>
      <c r="I71" s="80" t="s">
        <v>427</v>
      </c>
      <c r="J71">
        <f>COUNTIF(Kintoneデータ抽出!$D:$D,"*"&amp;病院別実績!I71&amp;"*")</f>
        <v>0</v>
      </c>
      <c r="L71" s="80" t="s">
        <v>428</v>
      </c>
      <c r="M71">
        <f>COUNTIF(Kintoneデータ抽出!$D:$D,"*"&amp;病院別実績!L71&amp;"*")</f>
        <v>0</v>
      </c>
      <c r="O71" s="80" t="s">
        <v>429</v>
      </c>
      <c r="P71">
        <f>COUNTIF(Kintoneデータ抽出!$D:$D,"*"&amp;病院別実績!O71&amp;"*")</f>
        <v>0</v>
      </c>
    </row>
    <row r="72" spans="6:16" ht="17.399999999999999" customHeight="1" thickBot="1" x14ac:dyDescent="0.5">
      <c r="F72" s="81" t="s">
        <v>430</v>
      </c>
      <c r="G72">
        <f>COUNTIF(Kintoneデータ抽出!$D:$D,"*"&amp;病院別実績!F72&amp;"*")</f>
        <v>0</v>
      </c>
      <c r="I72" s="81" t="s">
        <v>431</v>
      </c>
      <c r="J72">
        <f>COUNTIF(Kintoneデータ抽出!$D:$D,"*"&amp;病院別実績!I72&amp;"*")</f>
        <v>0</v>
      </c>
      <c r="L72" s="81" t="s">
        <v>432</v>
      </c>
      <c r="M72">
        <f>COUNTIF(Kintoneデータ抽出!$D:$D,"*"&amp;病院別実績!L72&amp;"*")</f>
        <v>0</v>
      </c>
      <c r="O72" s="80" t="s">
        <v>433</v>
      </c>
      <c r="P72">
        <f>COUNTIF(Kintoneデータ抽出!$D:$D,"*"&amp;病院別実績!O72&amp;"*")</f>
        <v>0</v>
      </c>
    </row>
    <row r="73" spans="6:16" ht="17.399999999999999" customHeight="1" thickBot="1" x14ac:dyDescent="0.5">
      <c r="F73" s="81" t="s">
        <v>434</v>
      </c>
      <c r="G73">
        <f>COUNTIF(Kintoneデータ抽出!$D:$D,"*"&amp;病院別実績!F73&amp;"*")</f>
        <v>0</v>
      </c>
      <c r="I73" s="80" t="s">
        <v>435</v>
      </c>
      <c r="J73">
        <f>COUNTIF(Kintoneデータ抽出!$D:$D,"*"&amp;病院別実績!I73&amp;"*")</f>
        <v>0</v>
      </c>
      <c r="L73" s="81" t="s">
        <v>436</v>
      </c>
      <c r="M73">
        <f>COUNTIF(Kintoneデータ抽出!$D:$D,"*"&amp;病院別実績!L73&amp;"*")</f>
        <v>0</v>
      </c>
      <c r="O73" s="80" t="s">
        <v>437</v>
      </c>
      <c r="P73">
        <f>COUNTIF(Kintoneデータ抽出!$D:$D,"*"&amp;病院別実績!O73&amp;"*")</f>
        <v>0</v>
      </c>
    </row>
    <row r="74" spans="6:16" ht="17.399999999999999" customHeight="1" thickBot="1" x14ac:dyDescent="0.5">
      <c r="F74" s="81" t="s">
        <v>438</v>
      </c>
      <c r="G74">
        <f>COUNTIF(Kintoneデータ抽出!$D:$D,"*"&amp;病院別実績!F74&amp;"*")</f>
        <v>0</v>
      </c>
      <c r="I74" s="80" t="s">
        <v>439</v>
      </c>
      <c r="J74">
        <f>COUNTIF(Kintoneデータ抽出!$D:$D,"*"&amp;病院別実績!I74&amp;"*")</f>
        <v>0</v>
      </c>
      <c r="L74" s="81" t="s">
        <v>440</v>
      </c>
      <c r="M74">
        <f>COUNTIF(Kintoneデータ抽出!$D:$D,"*"&amp;病院別実績!L74&amp;"*")</f>
        <v>0</v>
      </c>
      <c r="O74" s="80" t="s">
        <v>441</v>
      </c>
      <c r="P74">
        <f>COUNTIF(Kintoneデータ抽出!$D:$D,"*"&amp;病院別実績!O74&amp;"*")</f>
        <v>0</v>
      </c>
    </row>
    <row r="75" spans="6:16" ht="17.399999999999999" customHeight="1" thickBot="1" x14ac:dyDescent="0.5">
      <c r="F75" s="81" t="s">
        <v>442</v>
      </c>
      <c r="G75">
        <f>COUNTIF(Kintoneデータ抽出!$D:$D,"*"&amp;病院別実績!F75&amp;"*")</f>
        <v>0</v>
      </c>
      <c r="I75" s="81" t="s">
        <v>443</v>
      </c>
      <c r="J75">
        <f>COUNTIF(Kintoneデータ抽出!$D:$D,"*"&amp;病院別実績!I75&amp;"*")</f>
        <v>0</v>
      </c>
      <c r="L75" s="81" t="s">
        <v>444</v>
      </c>
      <c r="M75">
        <f>COUNTIF(Kintoneデータ抽出!$D:$D,"*"&amp;病院別実績!L75&amp;"*")</f>
        <v>0</v>
      </c>
      <c r="O75" s="80" t="s">
        <v>445</v>
      </c>
      <c r="P75">
        <f>COUNTIF(Kintoneデータ抽出!$D:$D,"*"&amp;病院別実績!O75&amp;"*")</f>
        <v>0</v>
      </c>
    </row>
    <row r="76" spans="6:16" ht="17.399999999999999" customHeight="1" thickBot="1" x14ac:dyDescent="0.5">
      <c r="F76" s="81" t="s">
        <v>446</v>
      </c>
      <c r="G76">
        <f>COUNTIF(Kintoneデータ抽出!$D:$D,"*"&amp;病院別実績!F76&amp;"*")</f>
        <v>0</v>
      </c>
      <c r="I76" s="81" t="s">
        <v>447</v>
      </c>
      <c r="J76">
        <f>COUNTIF(Kintoneデータ抽出!$D:$D,"*"&amp;病院別実績!I76&amp;"*")</f>
        <v>0</v>
      </c>
      <c r="L76" s="81" t="s">
        <v>448</v>
      </c>
      <c r="M76">
        <f>COUNTIF(Kintoneデータ抽出!$D:$D,"*"&amp;病院別実績!L76&amp;"*")</f>
        <v>0</v>
      </c>
      <c r="O76" s="81" t="s">
        <v>449</v>
      </c>
      <c r="P76">
        <f>COUNTIF(Kintoneデータ抽出!$D:$D,"*"&amp;病院別実績!O76&amp;"*")</f>
        <v>0</v>
      </c>
    </row>
    <row r="77" spans="6:16" ht="17.399999999999999" customHeight="1" thickBot="1" x14ac:dyDescent="0.5">
      <c r="F77" s="81" t="s">
        <v>450</v>
      </c>
      <c r="G77">
        <f>COUNTIF(Kintoneデータ抽出!$D:$D,"*"&amp;病院別実績!F77&amp;"*")</f>
        <v>0</v>
      </c>
      <c r="I77" s="81" t="s">
        <v>451</v>
      </c>
      <c r="J77">
        <f>COUNTIF(Kintoneデータ抽出!$D:$D,"*"&amp;病院別実績!I77&amp;"*")</f>
        <v>0</v>
      </c>
      <c r="L77" s="81" t="s">
        <v>452</v>
      </c>
      <c r="M77">
        <f>COUNTIF(Kintoneデータ抽出!$D:$D,"*"&amp;病院別実績!L77&amp;"*")</f>
        <v>0</v>
      </c>
      <c r="O77" s="80" t="s">
        <v>453</v>
      </c>
      <c r="P77">
        <f>COUNTIF(Kintoneデータ抽出!$D:$D,"*"&amp;病院別実績!O77&amp;"*")</f>
        <v>0</v>
      </c>
    </row>
    <row r="78" spans="6:16" ht="17.399999999999999" customHeight="1" thickBot="1" x14ac:dyDescent="0.5">
      <c r="F78" s="81" t="s">
        <v>454</v>
      </c>
      <c r="G78">
        <f>COUNTIF(Kintoneデータ抽出!$D:$D,"*"&amp;病院別実績!F78&amp;"*")</f>
        <v>0</v>
      </c>
      <c r="I78" s="81" t="s">
        <v>455</v>
      </c>
      <c r="J78">
        <f>COUNTIF(Kintoneデータ抽出!$D:$D,"*"&amp;病院別実績!I78&amp;"*")</f>
        <v>0</v>
      </c>
      <c r="L78" s="81" t="s">
        <v>456</v>
      </c>
      <c r="M78">
        <f>COUNTIF(Kintoneデータ抽出!$D:$D,"*"&amp;病院別実績!L78&amp;"*")</f>
        <v>0</v>
      </c>
      <c r="O78" s="81" t="s">
        <v>457</v>
      </c>
      <c r="P78">
        <f>COUNTIF(Kintoneデータ抽出!$D:$D,"*"&amp;病院別実績!O78&amp;"*")</f>
        <v>0</v>
      </c>
    </row>
    <row r="79" spans="6:16" ht="17.399999999999999" customHeight="1" thickBot="1" x14ac:dyDescent="0.5">
      <c r="F79" s="81" t="s">
        <v>458</v>
      </c>
      <c r="G79">
        <f>COUNTIF(Kintoneデータ抽出!$D:$D,"*"&amp;病院別実績!F79&amp;"*")</f>
        <v>0</v>
      </c>
      <c r="I79" s="81" t="s">
        <v>459</v>
      </c>
      <c r="J79">
        <f>COUNTIF(Kintoneデータ抽出!$D:$D,"*"&amp;病院別実績!I79&amp;"*")</f>
        <v>0</v>
      </c>
      <c r="L79" s="80" t="s">
        <v>460</v>
      </c>
      <c r="M79">
        <f>COUNTIF(Kintoneデータ抽出!$D:$D,"*"&amp;病院別実績!L79&amp;"*")</f>
        <v>0</v>
      </c>
      <c r="O79" s="80" t="s">
        <v>461</v>
      </c>
      <c r="P79">
        <f>COUNTIF(Kintoneデータ抽出!$D:$D,"*"&amp;病院別実績!O79&amp;"*")</f>
        <v>0</v>
      </c>
    </row>
    <row r="80" spans="6:16" ht="17.399999999999999" customHeight="1" thickBot="1" x14ac:dyDescent="0.5">
      <c r="F80" s="81" t="s">
        <v>462</v>
      </c>
      <c r="G80">
        <f>COUNTIF(Kintoneデータ抽出!$D:$D,"*"&amp;病院別実績!F80&amp;"*")</f>
        <v>0</v>
      </c>
      <c r="I80" s="81" t="s">
        <v>463</v>
      </c>
      <c r="J80">
        <f>COUNTIF(Kintoneデータ抽出!$D:$D,"*"&amp;病院別実績!I80&amp;"*")</f>
        <v>0</v>
      </c>
      <c r="L80" s="80" t="s">
        <v>464</v>
      </c>
      <c r="M80">
        <f>COUNTIF(Kintoneデータ抽出!$D:$D,"*"&amp;病院別実績!L80&amp;"*")</f>
        <v>0</v>
      </c>
      <c r="O80" s="80" t="s">
        <v>465</v>
      </c>
      <c r="P80">
        <f>COUNTIF(Kintoneデータ抽出!$D:$D,"*"&amp;病院別実績!O80&amp;"*")</f>
        <v>0</v>
      </c>
    </row>
    <row r="81" spans="6:16" ht="17.399999999999999" customHeight="1" thickBot="1" x14ac:dyDescent="0.5">
      <c r="F81" s="81" t="s">
        <v>466</v>
      </c>
      <c r="G81">
        <f>COUNTIF(Kintoneデータ抽出!$D:$D,"*"&amp;病院別実績!F81&amp;"*")</f>
        <v>0</v>
      </c>
      <c r="I81" s="81" t="s">
        <v>467</v>
      </c>
      <c r="J81">
        <f>COUNTIF(Kintoneデータ抽出!$D:$D,"*"&amp;病院別実績!I81&amp;"*")</f>
        <v>0</v>
      </c>
      <c r="L81" s="81" t="s">
        <v>468</v>
      </c>
      <c r="M81">
        <f>COUNTIF(Kintoneデータ抽出!$D:$D,"*"&amp;病院別実績!L81&amp;"*")</f>
        <v>0</v>
      </c>
      <c r="O81" s="80" t="s">
        <v>469</v>
      </c>
      <c r="P81">
        <f>COUNTIF(Kintoneデータ抽出!$D:$D,"*"&amp;病院別実績!O81&amp;"*")</f>
        <v>0</v>
      </c>
    </row>
    <row r="82" spans="6:16" ht="17.399999999999999" customHeight="1" thickBot="1" x14ac:dyDescent="0.5">
      <c r="F82" s="81" t="s">
        <v>470</v>
      </c>
      <c r="G82">
        <f>COUNTIF(Kintoneデータ抽出!$D:$D,"*"&amp;病院別実績!F82&amp;"*")</f>
        <v>0</v>
      </c>
      <c r="I82" s="81" t="s">
        <v>471</v>
      </c>
      <c r="J82">
        <f>COUNTIF(Kintoneデータ抽出!$D:$D,"*"&amp;病院別実績!I82&amp;"*")</f>
        <v>0</v>
      </c>
      <c r="L82" s="81" t="s">
        <v>472</v>
      </c>
      <c r="M82">
        <f>COUNTIF(Kintoneデータ抽出!$D:$D,"*"&amp;病院別実績!L82&amp;"*")</f>
        <v>0</v>
      </c>
      <c r="O82" s="80" t="s">
        <v>473</v>
      </c>
      <c r="P82">
        <f>COUNTIF(Kintoneデータ抽出!$D:$D,"*"&amp;病院別実績!O82&amp;"*")</f>
        <v>0</v>
      </c>
    </row>
    <row r="83" spans="6:16" ht="17.399999999999999" customHeight="1" thickBot="1" x14ac:dyDescent="0.5">
      <c r="F83" s="81" t="s">
        <v>474</v>
      </c>
      <c r="G83">
        <f>COUNTIF(Kintoneデータ抽出!$D:$D,"*"&amp;病院別実績!F83&amp;"*")</f>
        <v>0</v>
      </c>
      <c r="I83" s="81" t="s">
        <v>475</v>
      </c>
      <c r="J83">
        <f>COUNTIF(Kintoneデータ抽出!$D:$D,"*"&amp;病院別実績!I83&amp;"*")</f>
        <v>0</v>
      </c>
      <c r="L83" s="81" t="s">
        <v>476</v>
      </c>
      <c r="M83">
        <f>COUNTIF(Kintoneデータ抽出!$D:$D,"*"&amp;病院別実績!L83&amp;"*")</f>
        <v>0</v>
      </c>
      <c r="O83" s="80" t="s">
        <v>477</v>
      </c>
      <c r="P83">
        <f>COUNTIF(Kintoneデータ抽出!$D:$D,"*"&amp;病院別実績!O83&amp;"*")</f>
        <v>0</v>
      </c>
    </row>
    <row r="84" spans="6:16" ht="17.399999999999999" customHeight="1" thickBot="1" x14ac:dyDescent="0.5">
      <c r="F84" s="81" t="s">
        <v>478</v>
      </c>
      <c r="G84">
        <f>COUNTIF(Kintoneデータ抽出!$D:$D,"*"&amp;病院別実績!F84&amp;"*")</f>
        <v>0</v>
      </c>
      <c r="I84" s="81" t="s">
        <v>479</v>
      </c>
      <c r="J84">
        <f>COUNTIF(Kintoneデータ抽出!$D:$D,"*"&amp;病院別実績!I84&amp;"*")</f>
        <v>0</v>
      </c>
      <c r="L84" s="80" t="s">
        <v>480</v>
      </c>
      <c r="M84">
        <f>COUNTIF(Kintoneデータ抽出!$D:$D,"*"&amp;病院別実績!L84&amp;"*")</f>
        <v>0</v>
      </c>
      <c r="O84" s="80" t="s">
        <v>481</v>
      </c>
      <c r="P84">
        <f>COUNTIF(Kintoneデータ抽出!$D:$D,"*"&amp;病院別実績!O84&amp;"*")</f>
        <v>0</v>
      </c>
    </row>
    <row r="85" spans="6:16" ht="17.399999999999999" customHeight="1" thickBot="1" x14ac:dyDescent="0.5">
      <c r="F85" s="81" t="s">
        <v>482</v>
      </c>
      <c r="G85">
        <f>COUNTIF(Kintoneデータ抽出!$D:$D,"*"&amp;病院別実績!F85&amp;"*")</f>
        <v>0</v>
      </c>
      <c r="I85" s="80" t="s">
        <v>483</v>
      </c>
      <c r="J85">
        <f>COUNTIF(Kintoneデータ抽出!$D:$D,"*"&amp;病院別実績!I85&amp;"*")</f>
        <v>0</v>
      </c>
      <c r="L85" s="81" t="s">
        <v>484</v>
      </c>
      <c r="M85">
        <f>COUNTIF(Kintoneデータ抽出!$D:$D,"*"&amp;病院別実績!L85&amp;"*")</f>
        <v>0</v>
      </c>
      <c r="O85" s="80" t="s">
        <v>485</v>
      </c>
      <c r="P85">
        <f>COUNTIF(Kintoneデータ抽出!$D:$D,"*"&amp;病院別実績!O85&amp;"*")</f>
        <v>0</v>
      </c>
    </row>
    <row r="86" spans="6:16" ht="17.399999999999999" customHeight="1" thickBot="1" x14ac:dyDescent="0.5">
      <c r="F86" s="81" t="s">
        <v>486</v>
      </c>
      <c r="G86">
        <f>COUNTIF(Kintoneデータ抽出!$D:$D,"*"&amp;病院別実績!F86&amp;"*")</f>
        <v>0</v>
      </c>
      <c r="I86" s="81" t="s">
        <v>487</v>
      </c>
      <c r="J86">
        <f>COUNTIF(Kintoneデータ抽出!$D:$D,"*"&amp;病院別実績!I86&amp;"*")</f>
        <v>0</v>
      </c>
      <c r="L86" s="80" t="s">
        <v>488</v>
      </c>
      <c r="M86">
        <f>COUNTIF(Kintoneデータ抽出!$D:$D,"*"&amp;病院別実績!L86&amp;"*")</f>
        <v>0</v>
      </c>
      <c r="O86" s="80" t="s">
        <v>489</v>
      </c>
      <c r="P86">
        <f>COUNTIF(Kintoneデータ抽出!$D:$D,"*"&amp;病院別実績!O86&amp;"*")</f>
        <v>0</v>
      </c>
    </row>
    <row r="87" spans="6:16" ht="17.399999999999999" customHeight="1" thickBot="1" x14ac:dyDescent="0.5">
      <c r="I87" s="80" t="s">
        <v>490</v>
      </c>
      <c r="J87">
        <f>COUNTIF(Kintoneデータ抽出!$D:$D,"*"&amp;病院別実績!I87&amp;"*")</f>
        <v>0</v>
      </c>
      <c r="L87" s="81" t="s">
        <v>491</v>
      </c>
      <c r="M87">
        <f>COUNTIF(Kintoneデータ抽出!$D:$D,"*"&amp;病院別実績!L87&amp;"*")</f>
        <v>0</v>
      </c>
      <c r="O87" s="80" t="s">
        <v>492</v>
      </c>
      <c r="P87">
        <f>COUNTIF(Kintoneデータ抽出!$D:$D,"*"&amp;病院別実績!O87&amp;"*")</f>
        <v>0</v>
      </c>
    </row>
    <row r="88" spans="6:16" ht="17.399999999999999" customHeight="1" thickBot="1" x14ac:dyDescent="0.5">
      <c r="I88" s="80" t="s">
        <v>493</v>
      </c>
      <c r="J88">
        <f>COUNTIF(Kintoneデータ抽出!$D:$D,"*"&amp;病院別実績!I88&amp;"*")</f>
        <v>0</v>
      </c>
      <c r="L88" s="81" t="s">
        <v>494</v>
      </c>
      <c r="M88">
        <f>COUNTIF(Kintoneデータ抽出!$D:$D,"*"&amp;病院別実績!L88&amp;"*")</f>
        <v>0</v>
      </c>
      <c r="O88" s="80" t="s">
        <v>25</v>
      </c>
      <c r="P88">
        <f>COUNTIF(Kintoneデータ抽出!$D:$D,"*"&amp;病院別実績!O88&amp;"*")</f>
        <v>0</v>
      </c>
    </row>
    <row r="89" spans="6:16" ht="17.399999999999999" customHeight="1" thickBot="1" x14ac:dyDescent="0.5">
      <c r="I89" s="81" t="s">
        <v>495</v>
      </c>
      <c r="J89">
        <f>COUNTIF(Kintoneデータ抽出!$D:$D,"*"&amp;病院別実績!I89&amp;"*")</f>
        <v>0</v>
      </c>
      <c r="L89" s="81" t="s">
        <v>496</v>
      </c>
      <c r="M89">
        <f>COUNTIF(Kintoneデータ抽出!$D:$D,"*"&amp;病院別実績!L89&amp;"*")</f>
        <v>0</v>
      </c>
      <c r="O89" s="80" t="s">
        <v>497</v>
      </c>
      <c r="P89">
        <f>COUNTIF(Kintoneデータ抽出!$D:$D,"*"&amp;病院別実績!O89&amp;"*")</f>
        <v>0</v>
      </c>
    </row>
    <row r="90" spans="6:16" ht="17.399999999999999" customHeight="1" thickBot="1" x14ac:dyDescent="0.5">
      <c r="I90" s="81" t="s">
        <v>498</v>
      </c>
      <c r="J90">
        <f>COUNTIF(Kintoneデータ抽出!$D:$D,"*"&amp;病院別実績!I90&amp;"*")</f>
        <v>0</v>
      </c>
      <c r="L90" s="81" t="s">
        <v>499</v>
      </c>
      <c r="M90">
        <f>COUNTIF(Kintoneデータ抽出!$D:$D,"*"&amp;病院別実績!L90&amp;"*")</f>
        <v>0</v>
      </c>
      <c r="O90" s="80" t="s">
        <v>500</v>
      </c>
      <c r="P90">
        <f>COUNTIF(Kintoneデータ抽出!$D:$D,"*"&amp;病院別実績!O90&amp;"*")</f>
        <v>0</v>
      </c>
    </row>
    <row r="91" spans="6:16" ht="17.399999999999999" customHeight="1" thickBot="1" x14ac:dyDescent="0.5">
      <c r="I91" s="81" t="s">
        <v>501</v>
      </c>
      <c r="J91">
        <f>COUNTIF(Kintoneデータ抽出!$D:$D,"*"&amp;病院別実績!I91&amp;"*")</f>
        <v>0</v>
      </c>
      <c r="L91" s="81" t="s">
        <v>502</v>
      </c>
      <c r="M91">
        <f>COUNTIF(Kintoneデータ抽出!$D:$D,"*"&amp;病院別実績!L91&amp;"*")</f>
        <v>0</v>
      </c>
      <c r="O91" s="80" t="s">
        <v>24</v>
      </c>
      <c r="P91">
        <f>COUNTIF(Kintoneデータ抽出!$D:$D,"*"&amp;病院別実績!O91&amp;"*")</f>
        <v>0</v>
      </c>
    </row>
    <row r="92" spans="6:16" ht="17.399999999999999" customHeight="1" thickBot="1" x14ac:dyDescent="0.5">
      <c r="I92" s="81" t="s">
        <v>503</v>
      </c>
      <c r="J92">
        <f>COUNTIF(Kintoneデータ抽出!$D:$D,"*"&amp;病院別実績!I92&amp;"*")</f>
        <v>0</v>
      </c>
      <c r="L92" s="81" t="s">
        <v>504</v>
      </c>
      <c r="M92">
        <f>COUNTIF(Kintoneデータ抽出!$D:$D,"*"&amp;病院別実績!L92&amp;"*")</f>
        <v>0</v>
      </c>
      <c r="O92" s="80" t="s">
        <v>505</v>
      </c>
      <c r="P92">
        <f>COUNTIF(Kintoneデータ抽出!$D:$D,"*"&amp;病院別実績!O92&amp;"*")</f>
        <v>0</v>
      </c>
    </row>
    <row r="93" spans="6:16" ht="17.399999999999999" customHeight="1" thickBot="1" x14ac:dyDescent="0.5">
      <c r="I93" s="81" t="s">
        <v>506</v>
      </c>
      <c r="J93">
        <f>COUNTIF(Kintoneデータ抽出!$D:$D,"*"&amp;病院別実績!I93&amp;"*")</f>
        <v>0</v>
      </c>
      <c r="L93" s="81" t="s">
        <v>507</v>
      </c>
      <c r="M93">
        <f>COUNTIF(Kintoneデータ抽出!$D:$D,"*"&amp;病院別実績!L93&amp;"*")</f>
        <v>0</v>
      </c>
      <c r="O93" s="80" t="s">
        <v>508</v>
      </c>
      <c r="P93">
        <f>COUNTIF(Kintoneデータ抽出!$D:$D,"*"&amp;病院別実績!O93&amp;"*")</f>
        <v>0</v>
      </c>
    </row>
    <row r="94" spans="6:16" ht="17.399999999999999" customHeight="1" thickBot="1" x14ac:dyDescent="0.5">
      <c r="I94" s="81" t="s">
        <v>509</v>
      </c>
      <c r="J94">
        <f>COUNTIF(Kintoneデータ抽出!$D:$D,"*"&amp;病院別実績!I94&amp;"*")</f>
        <v>0</v>
      </c>
      <c r="L94" s="80" t="s">
        <v>510</v>
      </c>
      <c r="M94">
        <f>COUNTIF(Kintoneデータ抽出!$D:$D,"*"&amp;病院別実績!L94&amp;"*")</f>
        <v>0</v>
      </c>
      <c r="O94" s="80" t="s">
        <v>511</v>
      </c>
      <c r="P94">
        <f>COUNTIF(Kintoneデータ抽出!$D:$D,"*"&amp;病院別実績!O94&amp;"*")</f>
        <v>0</v>
      </c>
    </row>
    <row r="95" spans="6:16" ht="17.399999999999999" customHeight="1" thickBot="1" x14ac:dyDescent="0.5">
      <c r="I95" s="81" t="s">
        <v>512</v>
      </c>
      <c r="J95">
        <f>COUNTIF(Kintoneデータ抽出!$D:$D,"*"&amp;病院別実績!I95&amp;"*")</f>
        <v>0</v>
      </c>
      <c r="L95" s="81" t="s">
        <v>513</v>
      </c>
      <c r="M95">
        <f>COUNTIF(Kintoneデータ抽出!$D:$D,"*"&amp;病院別実績!L95&amp;"*")</f>
        <v>0</v>
      </c>
      <c r="O95" s="80" t="s">
        <v>514</v>
      </c>
      <c r="P95">
        <f>COUNTIF(Kintoneデータ抽出!$D:$D,"*"&amp;病院別実績!O95&amp;"*")</f>
        <v>0</v>
      </c>
    </row>
    <row r="96" spans="6:16" ht="17.399999999999999" customHeight="1" thickBot="1" x14ac:dyDescent="0.5">
      <c r="I96" s="81" t="s">
        <v>515</v>
      </c>
      <c r="J96">
        <f>COUNTIF(Kintoneデータ抽出!$D:$D,"*"&amp;病院別実績!I96&amp;"*")</f>
        <v>0</v>
      </c>
      <c r="L96" s="80" t="s">
        <v>516</v>
      </c>
      <c r="M96">
        <f>COUNTIF(Kintoneデータ抽出!$D:$D,"*"&amp;病院別実績!L96&amp;"*")</f>
        <v>0</v>
      </c>
      <c r="O96" s="80" t="s">
        <v>517</v>
      </c>
      <c r="P96">
        <f>COUNTIF(Kintoneデータ抽出!$D:$D,"*"&amp;病院別実績!O96&amp;"*")</f>
        <v>0</v>
      </c>
    </row>
    <row r="97" spans="9:16" ht="17.399999999999999" customHeight="1" thickBot="1" x14ac:dyDescent="0.5">
      <c r="I97" s="80" t="s">
        <v>518</v>
      </c>
      <c r="J97">
        <f>COUNTIF(Kintoneデータ抽出!$D:$D,"*"&amp;病院別実績!I97&amp;"*")</f>
        <v>0</v>
      </c>
      <c r="L97" s="81" t="s">
        <v>519</v>
      </c>
      <c r="M97">
        <f>COUNTIF(Kintoneデータ抽出!$D:$D,"*"&amp;病院別実績!L97&amp;"*")</f>
        <v>0</v>
      </c>
      <c r="O97" s="80" t="s">
        <v>520</v>
      </c>
      <c r="P97">
        <f>COUNTIF(Kintoneデータ抽出!$D:$D,"*"&amp;病院別実績!O97&amp;"*")</f>
        <v>0</v>
      </c>
    </row>
    <row r="98" spans="9:16" ht="17.399999999999999" customHeight="1" thickBot="1" x14ac:dyDescent="0.5">
      <c r="I98" s="81" t="s">
        <v>521</v>
      </c>
      <c r="J98">
        <f>COUNTIF(Kintoneデータ抽出!$D:$D,"*"&amp;病院別実績!I98&amp;"*")</f>
        <v>0</v>
      </c>
      <c r="L98" s="81" t="s">
        <v>522</v>
      </c>
      <c r="M98">
        <f>COUNTIF(Kintoneデータ抽出!$D:$D,"*"&amp;病院別実績!L98&amp;"*")</f>
        <v>0</v>
      </c>
      <c r="O98" s="80" t="s">
        <v>523</v>
      </c>
      <c r="P98">
        <f>COUNTIF(Kintoneデータ抽出!$D:$D,"*"&amp;病院別実績!O98&amp;"*")</f>
        <v>0</v>
      </c>
    </row>
    <row r="99" spans="9:16" ht="17.399999999999999" customHeight="1" thickBot="1" x14ac:dyDescent="0.5">
      <c r="I99" s="80" t="s">
        <v>524</v>
      </c>
      <c r="J99">
        <f>COUNTIF(Kintoneデータ抽出!$D:$D,"*"&amp;病院別実績!I99&amp;"*")</f>
        <v>0</v>
      </c>
      <c r="L99" s="81" t="s">
        <v>525</v>
      </c>
      <c r="M99">
        <f>COUNTIF(Kintoneデータ抽出!$D:$D,"*"&amp;病院別実績!L99&amp;"*")</f>
        <v>0</v>
      </c>
      <c r="O99" s="80" t="s">
        <v>526</v>
      </c>
      <c r="P99">
        <f>COUNTIF(Kintoneデータ抽出!$D:$D,"*"&amp;病院別実績!O99&amp;"*")</f>
        <v>0</v>
      </c>
    </row>
    <row r="100" spans="9:16" ht="17.399999999999999" customHeight="1" thickBot="1" x14ac:dyDescent="0.5">
      <c r="I100" s="80" t="s">
        <v>527</v>
      </c>
      <c r="J100">
        <f>COUNTIF(Kintoneデータ抽出!$D:$D,"*"&amp;病院別実績!I100&amp;"*")</f>
        <v>0</v>
      </c>
      <c r="L100" s="81" t="s">
        <v>528</v>
      </c>
      <c r="M100">
        <f>COUNTIF(Kintoneデータ抽出!$D:$D,"*"&amp;病院別実績!L100&amp;"*")</f>
        <v>0</v>
      </c>
      <c r="O100" s="80" t="s">
        <v>529</v>
      </c>
      <c r="P100">
        <f>COUNTIF(Kintoneデータ抽出!$D:$D,"*"&amp;病院別実績!O100&amp;"*")</f>
        <v>0</v>
      </c>
    </row>
    <row r="101" spans="9:16" ht="17.399999999999999" customHeight="1" thickBot="1" x14ac:dyDescent="0.5">
      <c r="I101" s="80" t="s">
        <v>530</v>
      </c>
      <c r="J101">
        <f>COUNTIF(Kintoneデータ抽出!$D:$D,"*"&amp;病院別実績!I101&amp;"*")</f>
        <v>0</v>
      </c>
      <c r="L101" s="81" t="s">
        <v>531</v>
      </c>
      <c r="M101">
        <f>COUNTIF(Kintoneデータ抽出!$D:$D,"*"&amp;病院別実績!L101&amp;"*")</f>
        <v>0</v>
      </c>
      <c r="O101" s="80" t="s">
        <v>532</v>
      </c>
      <c r="P101">
        <f>COUNTIF(Kintoneデータ抽出!$D:$D,"*"&amp;病院別実績!O101&amp;"*")</f>
        <v>0</v>
      </c>
    </row>
    <row r="102" spans="9:16" ht="17.399999999999999" customHeight="1" thickBot="1" x14ac:dyDescent="0.5">
      <c r="I102" s="81" t="s">
        <v>533</v>
      </c>
      <c r="J102">
        <f>COUNTIF(Kintoneデータ抽出!$D:$D,"*"&amp;病院別実績!I102&amp;"*")</f>
        <v>0</v>
      </c>
      <c r="L102" s="81" t="s">
        <v>534</v>
      </c>
      <c r="M102">
        <f>COUNTIF(Kintoneデータ抽出!$D:$D,"*"&amp;病院別実績!L102&amp;"*")</f>
        <v>0</v>
      </c>
      <c r="O102" s="80" t="s">
        <v>535</v>
      </c>
      <c r="P102">
        <f>COUNTIF(Kintoneデータ抽出!$D:$D,"*"&amp;病院別実績!O102&amp;"*")</f>
        <v>0</v>
      </c>
    </row>
    <row r="103" spans="9:16" ht="17.399999999999999" customHeight="1" thickBot="1" x14ac:dyDescent="0.5">
      <c r="L103" s="81" t="s">
        <v>536</v>
      </c>
      <c r="M103">
        <f>COUNTIF(Kintoneデータ抽出!$D:$D,"*"&amp;病院別実績!L103&amp;"*")</f>
        <v>0</v>
      </c>
      <c r="O103" s="80" t="s">
        <v>537</v>
      </c>
      <c r="P103">
        <f>COUNTIF(Kintoneデータ抽出!$D:$D,"*"&amp;病院別実績!O103&amp;"*")</f>
        <v>0</v>
      </c>
    </row>
    <row r="104" spans="9:16" ht="17.399999999999999" customHeight="1" thickBot="1" x14ac:dyDescent="0.5">
      <c r="L104" s="81" t="s">
        <v>538</v>
      </c>
      <c r="M104">
        <f>COUNTIF(Kintoneデータ抽出!$D:$D,"*"&amp;病院別実績!L104&amp;"*")</f>
        <v>0</v>
      </c>
      <c r="O104" s="80" t="s">
        <v>30</v>
      </c>
      <c r="P104">
        <f>COUNTIF(Kintoneデータ抽出!$D:$D,"*"&amp;病院別実績!O104&amp;"*")</f>
        <v>0</v>
      </c>
    </row>
    <row r="105" spans="9:16" ht="17.399999999999999" customHeight="1" thickBot="1" x14ac:dyDescent="0.5">
      <c r="L105" s="81" t="s">
        <v>539</v>
      </c>
      <c r="M105">
        <f>COUNTIF(Kintoneデータ抽出!$D:$D,"*"&amp;病院別実績!L105&amp;"*")</f>
        <v>0</v>
      </c>
      <c r="O105" s="80" t="s">
        <v>540</v>
      </c>
      <c r="P105">
        <f>COUNTIF(Kintoneデータ抽出!$D:$D,"*"&amp;病院別実績!O105&amp;"*")</f>
        <v>0</v>
      </c>
    </row>
    <row r="106" spans="9:16" ht="17.399999999999999" customHeight="1" thickBot="1" x14ac:dyDescent="0.5">
      <c r="L106" s="81" t="s">
        <v>541</v>
      </c>
      <c r="M106">
        <f>COUNTIF(Kintoneデータ抽出!$D:$D,"*"&amp;病院別実績!L106&amp;"*")</f>
        <v>0</v>
      </c>
      <c r="O106" s="80" t="s">
        <v>542</v>
      </c>
      <c r="P106">
        <f>COUNTIF(Kintoneデータ抽出!$D:$D,"*"&amp;病院別実績!O106&amp;"*")</f>
        <v>0</v>
      </c>
    </row>
    <row r="107" spans="9:16" ht="17.399999999999999" customHeight="1" thickBot="1" x14ac:dyDescent="0.5">
      <c r="L107" s="81" t="s">
        <v>543</v>
      </c>
      <c r="M107">
        <f>COUNTIF(Kintoneデータ抽出!$D:$D,"*"&amp;病院別実績!L107&amp;"*")</f>
        <v>0</v>
      </c>
      <c r="O107" s="80" t="s">
        <v>544</v>
      </c>
      <c r="P107">
        <f>COUNTIF(Kintoneデータ抽出!$D:$D,"*"&amp;病院別実績!O107&amp;"*")</f>
        <v>0</v>
      </c>
    </row>
    <row r="108" spans="9:16" ht="17.399999999999999" customHeight="1" thickBot="1" x14ac:dyDescent="0.5">
      <c r="L108" s="81" t="s">
        <v>545</v>
      </c>
      <c r="M108">
        <f>COUNTIF(Kintoneデータ抽出!$D:$D,"*"&amp;病院別実績!L108&amp;"*")</f>
        <v>0</v>
      </c>
      <c r="O108" s="80" t="s">
        <v>546</v>
      </c>
      <c r="P108">
        <f>COUNTIF(Kintoneデータ抽出!$D:$D,"*"&amp;病院別実績!O108&amp;"*")</f>
        <v>0</v>
      </c>
    </row>
    <row r="109" spans="9:16" ht="17.399999999999999" customHeight="1" thickBot="1" x14ac:dyDescent="0.5">
      <c r="L109" s="81" t="s">
        <v>547</v>
      </c>
      <c r="M109">
        <f>COUNTIF(Kintoneデータ抽出!$D:$D,"*"&amp;病院別実績!L109&amp;"*")</f>
        <v>0</v>
      </c>
      <c r="O109" s="80" t="s">
        <v>548</v>
      </c>
      <c r="P109">
        <f>COUNTIF(Kintoneデータ抽出!$D:$D,"*"&amp;病院別実績!O109&amp;"*")</f>
        <v>0</v>
      </c>
    </row>
    <row r="110" spans="9:16" ht="17.399999999999999" customHeight="1" thickBot="1" x14ac:dyDescent="0.5">
      <c r="L110" s="80" t="s">
        <v>549</v>
      </c>
      <c r="M110">
        <f>COUNTIF(Kintoneデータ抽出!$D:$D,"*"&amp;病院別実績!L110&amp;"*")</f>
        <v>0</v>
      </c>
      <c r="O110" s="80" t="s">
        <v>550</v>
      </c>
      <c r="P110">
        <f>COUNTIF(Kintoneデータ抽出!$D:$D,"*"&amp;病院別実績!O110&amp;"*")</f>
        <v>0</v>
      </c>
    </row>
    <row r="111" spans="9:16" ht="17.399999999999999" customHeight="1" thickBot="1" x14ac:dyDescent="0.5">
      <c r="L111" s="81" t="s">
        <v>551</v>
      </c>
      <c r="M111">
        <f>COUNTIF(Kintoneデータ抽出!$D:$D,"*"&amp;病院別実績!L111&amp;"*")</f>
        <v>0</v>
      </c>
      <c r="O111" s="80" t="s">
        <v>552</v>
      </c>
      <c r="P111">
        <f>COUNTIF(Kintoneデータ抽出!$D:$D,"*"&amp;病院別実績!O111&amp;"*")</f>
        <v>0</v>
      </c>
    </row>
    <row r="112" spans="9:16" ht="17.399999999999999" customHeight="1" thickBot="1" x14ac:dyDescent="0.5">
      <c r="L112" s="81" t="s">
        <v>553</v>
      </c>
      <c r="M112">
        <f>COUNTIF(Kintoneデータ抽出!$D:$D,"*"&amp;病院別実績!L112&amp;"*")</f>
        <v>0</v>
      </c>
      <c r="O112" s="80" t="s">
        <v>554</v>
      </c>
      <c r="P112">
        <f>COUNTIF(Kintoneデータ抽出!$D:$D,"*"&amp;病院別実績!O112&amp;"*")</f>
        <v>0</v>
      </c>
    </row>
    <row r="113" spans="12:16" ht="17.399999999999999" customHeight="1" thickBot="1" x14ac:dyDescent="0.5">
      <c r="L113" s="81" t="s">
        <v>555</v>
      </c>
      <c r="M113">
        <f>COUNTIF(Kintoneデータ抽出!$D:$D,"*"&amp;病院別実績!L113&amp;"*")</f>
        <v>0</v>
      </c>
      <c r="O113" s="80" t="s">
        <v>556</v>
      </c>
      <c r="P113">
        <f>COUNTIF(Kintoneデータ抽出!$D:$D,"*"&amp;病院別実績!O113&amp;"*")</f>
        <v>0</v>
      </c>
    </row>
    <row r="114" spans="12:16" ht="17.399999999999999" customHeight="1" thickBot="1" x14ac:dyDescent="0.5">
      <c r="L114" s="81" t="s">
        <v>557</v>
      </c>
      <c r="M114">
        <f>COUNTIF(Kintoneデータ抽出!$D:$D,"*"&amp;病院別実績!L114&amp;"*")</f>
        <v>0</v>
      </c>
      <c r="O114" s="81" t="s">
        <v>558</v>
      </c>
      <c r="P114">
        <f>COUNTIF(Kintoneデータ抽出!$D:$D,"*"&amp;病院別実績!O114&amp;"*")</f>
        <v>0</v>
      </c>
    </row>
    <row r="115" spans="12:16" ht="17.399999999999999" customHeight="1" thickBot="1" x14ac:dyDescent="0.5">
      <c r="L115" s="81" t="s">
        <v>559</v>
      </c>
      <c r="M115">
        <f>COUNTIF(Kintoneデータ抽出!$D:$D,"*"&amp;病院別実績!L115&amp;"*")</f>
        <v>0</v>
      </c>
      <c r="O115" s="81" t="s">
        <v>560</v>
      </c>
      <c r="P115">
        <f>COUNTIF(Kintoneデータ抽出!$D:$D,"*"&amp;病院別実績!O115&amp;"*")</f>
        <v>0</v>
      </c>
    </row>
    <row r="116" spans="12:16" ht="17.399999999999999" customHeight="1" thickBot="1" x14ac:dyDescent="0.5">
      <c r="L116" s="81" t="s">
        <v>561</v>
      </c>
      <c r="M116">
        <f>COUNTIF(Kintoneデータ抽出!$D:$D,"*"&amp;病院別実績!L116&amp;"*")</f>
        <v>0</v>
      </c>
      <c r="O116" s="80" t="s">
        <v>562</v>
      </c>
      <c r="P116">
        <f>COUNTIF(Kintoneデータ抽出!$D:$D,"*"&amp;病院別実績!O116&amp;"*")</f>
        <v>0</v>
      </c>
    </row>
    <row r="117" spans="12:16" ht="17.399999999999999" customHeight="1" thickBot="1" x14ac:dyDescent="0.5">
      <c r="L117" s="81" t="s">
        <v>563</v>
      </c>
      <c r="M117">
        <f>COUNTIF(Kintoneデータ抽出!$D:$D,"*"&amp;病院別実績!L117&amp;"*")</f>
        <v>0</v>
      </c>
      <c r="O117" s="80" t="s">
        <v>564</v>
      </c>
      <c r="P117">
        <f>COUNTIF(Kintoneデータ抽出!$D:$D,"*"&amp;病院別実績!O117&amp;"*")</f>
        <v>0</v>
      </c>
    </row>
    <row r="118" spans="12:16" ht="17.399999999999999" customHeight="1" thickBot="1" x14ac:dyDescent="0.5">
      <c r="L118" s="81" t="s">
        <v>565</v>
      </c>
      <c r="M118">
        <f>COUNTIF(Kintoneデータ抽出!$D:$D,"*"&amp;病院別実績!L118&amp;"*")</f>
        <v>0</v>
      </c>
      <c r="O118" s="80" t="s">
        <v>566</v>
      </c>
      <c r="P118">
        <f>COUNTIF(Kintoneデータ抽出!$D:$D,"*"&amp;病院別実績!O118&amp;"*")</f>
        <v>0</v>
      </c>
    </row>
    <row r="119" spans="12:16" ht="17.399999999999999" customHeight="1" thickBot="1" x14ac:dyDescent="0.5">
      <c r="L119" s="81" t="s">
        <v>567</v>
      </c>
      <c r="M119">
        <f>COUNTIF(Kintoneデータ抽出!$D:$D,"*"&amp;病院別実績!L119&amp;"*")</f>
        <v>0</v>
      </c>
      <c r="O119" s="80" t="s">
        <v>568</v>
      </c>
      <c r="P119">
        <f>COUNTIF(Kintoneデータ抽出!$D:$D,"*"&amp;病院別実績!O119&amp;"*")</f>
        <v>0</v>
      </c>
    </row>
    <row r="120" spans="12:16" ht="17.399999999999999" customHeight="1" thickBot="1" x14ac:dyDescent="0.5">
      <c r="L120" s="81" t="s">
        <v>569</v>
      </c>
      <c r="M120">
        <f>COUNTIF(Kintoneデータ抽出!$D:$D,"*"&amp;病院別実績!L120&amp;"*")</f>
        <v>0</v>
      </c>
      <c r="O120" s="80" t="s">
        <v>570</v>
      </c>
      <c r="P120">
        <f>COUNTIF(Kintoneデータ抽出!$D:$D,"*"&amp;病院別実績!O120&amp;"*")</f>
        <v>0</v>
      </c>
    </row>
    <row r="121" spans="12:16" ht="17.399999999999999" customHeight="1" thickBot="1" x14ac:dyDescent="0.5">
      <c r="L121" s="81" t="s">
        <v>571</v>
      </c>
      <c r="M121">
        <f>COUNTIF(Kintoneデータ抽出!$D:$D,"*"&amp;病院別実績!L121&amp;"*")</f>
        <v>0</v>
      </c>
      <c r="O121" s="80" t="s">
        <v>572</v>
      </c>
      <c r="P121">
        <f>COUNTIF(Kintoneデータ抽出!$D:$D,"*"&amp;病院別実績!O121&amp;"*")</f>
        <v>0</v>
      </c>
    </row>
    <row r="122" spans="12:16" ht="17.399999999999999" customHeight="1" thickBot="1" x14ac:dyDescent="0.5">
      <c r="L122" s="81" t="s">
        <v>573</v>
      </c>
      <c r="M122">
        <f>COUNTIF(Kintoneデータ抽出!$D:$D,"*"&amp;病院別実績!L122&amp;"*")</f>
        <v>0</v>
      </c>
      <c r="O122" s="80" t="s">
        <v>574</v>
      </c>
      <c r="P122">
        <f>COUNTIF(Kintoneデータ抽出!$D:$D,"*"&amp;病院別実績!O122&amp;"*")</f>
        <v>0</v>
      </c>
    </row>
    <row r="123" spans="12:16" ht="17.399999999999999" customHeight="1" thickBot="1" x14ac:dyDescent="0.5">
      <c r="L123" s="81" t="s">
        <v>575</v>
      </c>
      <c r="M123">
        <f>COUNTIF(Kintoneデータ抽出!$D:$D,"*"&amp;病院別実績!L123&amp;"*")</f>
        <v>0</v>
      </c>
      <c r="O123" s="80" t="s">
        <v>576</v>
      </c>
      <c r="P123">
        <f>COUNTIF(Kintoneデータ抽出!$D:$D,"*"&amp;病院別実績!O123&amp;"*")</f>
        <v>0</v>
      </c>
    </row>
    <row r="124" spans="12:16" ht="17.399999999999999" customHeight="1" thickBot="1" x14ac:dyDescent="0.5">
      <c r="L124" s="81" t="s">
        <v>577</v>
      </c>
      <c r="M124">
        <f>COUNTIF(Kintoneデータ抽出!$D:$D,"*"&amp;病院別実績!L124&amp;"*")</f>
        <v>0</v>
      </c>
      <c r="O124" s="80" t="s">
        <v>578</v>
      </c>
      <c r="P124">
        <f>COUNTIF(Kintoneデータ抽出!$D:$D,"*"&amp;病院別実績!O124&amp;"*")</f>
        <v>0</v>
      </c>
    </row>
    <row r="125" spans="12:16" ht="17.399999999999999" customHeight="1" thickBot="1" x14ac:dyDescent="0.5">
      <c r="L125" s="81" t="s">
        <v>579</v>
      </c>
      <c r="M125">
        <f>COUNTIF(Kintoneデータ抽出!$D:$D,"*"&amp;病院別実績!L125&amp;"*")</f>
        <v>0</v>
      </c>
      <c r="O125" s="80" t="s">
        <v>580</v>
      </c>
      <c r="P125">
        <f>COUNTIF(Kintoneデータ抽出!$D:$D,"*"&amp;病院別実績!O125&amp;"*")</f>
        <v>0</v>
      </c>
    </row>
    <row r="126" spans="12:16" ht="17.399999999999999" customHeight="1" thickBot="1" x14ac:dyDescent="0.5">
      <c r="L126" s="81" t="s">
        <v>581</v>
      </c>
      <c r="M126">
        <f>COUNTIF(Kintoneデータ抽出!$D:$D,"*"&amp;病院別実績!L126&amp;"*")</f>
        <v>0</v>
      </c>
      <c r="O126" s="80" t="s">
        <v>582</v>
      </c>
      <c r="P126">
        <f>COUNTIF(Kintoneデータ抽出!$D:$D,"*"&amp;病院別実績!O126&amp;"*")</f>
        <v>0</v>
      </c>
    </row>
    <row r="127" spans="12:16" ht="17.399999999999999" customHeight="1" thickBot="1" x14ac:dyDescent="0.5">
      <c r="L127" s="81" t="s">
        <v>583</v>
      </c>
      <c r="M127">
        <f>COUNTIF(Kintoneデータ抽出!$D:$D,"*"&amp;病院別実績!L127&amp;"*")</f>
        <v>0</v>
      </c>
      <c r="O127" s="80" t="s">
        <v>584</v>
      </c>
      <c r="P127">
        <f>COUNTIF(Kintoneデータ抽出!$D:$D,"*"&amp;病院別実績!O127&amp;"*")</f>
        <v>0</v>
      </c>
    </row>
    <row r="128" spans="12:16" ht="17.399999999999999" customHeight="1" thickBot="1" x14ac:dyDescent="0.5">
      <c r="L128" s="81" t="s">
        <v>585</v>
      </c>
      <c r="M128">
        <f>COUNTIF(Kintoneデータ抽出!$D:$D,"*"&amp;病院別実績!L128&amp;"*")</f>
        <v>0</v>
      </c>
      <c r="O128" s="80" t="s">
        <v>586</v>
      </c>
      <c r="P128">
        <f>COUNTIF(Kintoneデータ抽出!$D:$D,"*"&amp;病院別実績!O128&amp;"*")</f>
        <v>0</v>
      </c>
    </row>
    <row r="129" spans="12:16" ht="17.399999999999999" customHeight="1" thickBot="1" x14ac:dyDescent="0.5">
      <c r="L129" s="80" t="s">
        <v>587</v>
      </c>
      <c r="M129">
        <f>COUNTIF(Kintoneデータ抽出!$D:$D,"*"&amp;病院別実績!L129&amp;"*")</f>
        <v>0</v>
      </c>
      <c r="O129" s="80" t="s">
        <v>588</v>
      </c>
      <c r="P129">
        <f>COUNTIF(Kintoneデータ抽出!$D:$D,"*"&amp;病院別実績!O129&amp;"*")</f>
        <v>0</v>
      </c>
    </row>
    <row r="130" spans="12:16" ht="17.399999999999999" customHeight="1" thickBot="1" x14ac:dyDescent="0.5">
      <c r="L130" s="81" t="s">
        <v>589</v>
      </c>
      <c r="M130">
        <f>COUNTIF(Kintoneデータ抽出!$D:$D,"*"&amp;病院別実績!L130&amp;"*")</f>
        <v>0</v>
      </c>
      <c r="O130" s="80" t="s">
        <v>590</v>
      </c>
      <c r="P130">
        <f>COUNTIF(Kintoneデータ抽出!$D:$D,"*"&amp;病院別実績!O130&amp;"*")</f>
        <v>0</v>
      </c>
    </row>
    <row r="131" spans="12:16" ht="17.399999999999999" customHeight="1" thickBot="1" x14ac:dyDescent="0.5">
      <c r="L131" s="81" t="s">
        <v>591</v>
      </c>
      <c r="M131">
        <f>COUNTIF(Kintoneデータ抽出!$D:$D,"*"&amp;病院別実績!L131&amp;"*")</f>
        <v>0</v>
      </c>
      <c r="O131" s="80" t="s">
        <v>592</v>
      </c>
      <c r="P131">
        <f>COUNTIF(Kintoneデータ抽出!$D:$D,"*"&amp;病院別実績!O131&amp;"*")</f>
        <v>0</v>
      </c>
    </row>
    <row r="132" spans="12:16" ht="17.399999999999999" customHeight="1" thickBot="1" x14ac:dyDescent="0.5">
      <c r="L132" s="81" t="s">
        <v>593</v>
      </c>
      <c r="M132">
        <f>COUNTIF(Kintoneデータ抽出!$D:$D,"*"&amp;病院別実績!L132&amp;"*")</f>
        <v>0</v>
      </c>
      <c r="O132" s="80" t="s">
        <v>594</v>
      </c>
      <c r="P132">
        <f>COUNTIF(Kintoneデータ抽出!$D:$D,"*"&amp;病院別実績!O132&amp;"*")</f>
        <v>0</v>
      </c>
    </row>
    <row r="133" spans="12:16" ht="17.399999999999999" customHeight="1" thickBot="1" x14ac:dyDescent="0.5">
      <c r="L133" s="81" t="s">
        <v>595</v>
      </c>
      <c r="M133">
        <f>COUNTIF(Kintoneデータ抽出!$D:$D,"*"&amp;病院別実績!L133&amp;"*")</f>
        <v>0</v>
      </c>
      <c r="O133" s="81" t="s">
        <v>34</v>
      </c>
      <c r="P133">
        <f>COUNTIF(Kintoneデータ抽出!$D:$D,"*"&amp;病院別実績!O133&amp;"*")</f>
        <v>0</v>
      </c>
    </row>
    <row r="134" spans="12:16" ht="17.399999999999999" customHeight="1" thickBot="1" x14ac:dyDescent="0.5">
      <c r="L134" s="80" t="s">
        <v>596</v>
      </c>
      <c r="M134">
        <f>COUNTIF(Kintoneデータ抽出!$D:$D,"*"&amp;病院別実績!L134&amp;"*")</f>
        <v>0</v>
      </c>
      <c r="O134" s="80" t="s">
        <v>597</v>
      </c>
      <c r="P134">
        <f>COUNTIF(Kintoneデータ抽出!$D:$D,"*"&amp;病院別実績!O134&amp;"*")</f>
        <v>0</v>
      </c>
    </row>
    <row r="135" spans="12:16" ht="17.399999999999999" customHeight="1" thickBot="1" x14ac:dyDescent="0.5">
      <c r="L135" s="81" t="s">
        <v>598</v>
      </c>
      <c r="M135">
        <f>COUNTIF(Kintoneデータ抽出!$D:$D,"*"&amp;病院別実績!L135&amp;"*")</f>
        <v>0</v>
      </c>
      <c r="O135" s="81" t="s">
        <v>599</v>
      </c>
      <c r="P135">
        <f>COUNTIF(Kintoneデータ抽出!$D:$D,"*"&amp;病院別実績!O135&amp;"*")</f>
        <v>0</v>
      </c>
    </row>
    <row r="136" spans="12:16" ht="17.399999999999999" customHeight="1" thickBot="1" x14ac:dyDescent="0.5">
      <c r="L136" s="81" t="s">
        <v>600</v>
      </c>
      <c r="M136">
        <f>COUNTIF(Kintoneデータ抽出!$D:$D,"*"&amp;病院別実績!L136&amp;"*")</f>
        <v>0</v>
      </c>
      <c r="O136" s="80" t="s">
        <v>601</v>
      </c>
      <c r="P136">
        <f>COUNTIF(Kintoneデータ抽出!$D:$D,"*"&amp;病院別実績!O136&amp;"*")</f>
        <v>0</v>
      </c>
    </row>
    <row r="137" spans="12:16" ht="17.399999999999999" customHeight="1" thickBot="1" x14ac:dyDescent="0.5">
      <c r="L137" s="81" t="s">
        <v>602</v>
      </c>
      <c r="M137">
        <f>COUNTIF(Kintoneデータ抽出!$D:$D,"*"&amp;病院別実績!L137&amp;"*")</f>
        <v>0</v>
      </c>
      <c r="O137" s="81" t="s">
        <v>603</v>
      </c>
      <c r="P137">
        <f>COUNTIF(Kintoneデータ抽出!$D:$D,"*"&amp;病院別実績!O137&amp;"*")</f>
        <v>0</v>
      </c>
    </row>
    <row r="138" spans="12:16" ht="17.399999999999999" customHeight="1" thickBot="1" x14ac:dyDescent="0.5">
      <c r="L138" s="81" t="s">
        <v>604</v>
      </c>
      <c r="M138">
        <f>COUNTIF(Kintoneデータ抽出!$D:$D,"*"&amp;病院別実績!L138&amp;"*")</f>
        <v>0</v>
      </c>
      <c r="O138" s="80" t="s">
        <v>605</v>
      </c>
      <c r="P138">
        <f>COUNTIF(Kintoneデータ抽出!$D:$D,"*"&amp;病院別実績!O138&amp;"*")</f>
        <v>0</v>
      </c>
    </row>
    <row r="139" spans="12:16" ht="17.399999999999999" customHeight="1" thickBot="1" x14ac:dyDescent="0.5">
      <c r="L139" s="81" t="s">
        <v>606</v>
      </c>
      <c r="M139">
        <f>COUNTIF(Kintoneデータ抽出!$D:$D,"*"&amp;病院別実績!L139&amp;"*")</f>
        <v>0</v>
      </c>
      <c r="O139" s="81" t="s">
        <v>607</v>
      </c>
      <c r="P139">
        <f>COUNTIF(Kintoneデータ抽出!$D:$D,"*"&amp;病院別実績!O139&amp;"*")</f>
        <v>0</v>
      </c>
    </row>
    <row r="140" spans="12:16" ht="17.399999999999999" customHeight="1" thickBot="1" x14ac:dyDescent="0.5">
      <c r="L140" s="81" t="s">
        <v>608</v>
      </c>
      <c r="M140">
        <f>COUNTIF(Kintoneデータ抽出!$D:$D,"*"&amp;病院別実績!L140&amp;"*")</f>
        <v>0</v>
      </c>
      <c r="O140" s="80" t="s">
        <v>609</v>
      </c>
      <c r="P140">
        <f>COUNTIF(Kintoneデータ抽出!$D:$D,"*"&amp;病院別実績!O140&amp;"*")</f>
        <v>0</v>
      </c>
    </row>
    <row r="141" spans="12:16" ht="17.399999999999999" customHeight="1" thickBot="1" x14ac:dyDescent="0.5">
      <c r="L141" s="81" t="s">
        <v>610</v>
      </c>
      <c r="M141">
        <f>COUNTIF(Kintoneデータ抽出!$D:$D,"*"&amp;病院別実績!L141&amp;"*")</f>
        <v>0</v>
      </c>
      <c r="O141" s="81" t="s">
        <v>611</v>
      </c>
      <c r="P141">
        <f>COUNTIF(Kintoneデータ抽出!$D:$D,"*"&amp;病院別実績!O141&amp;"*")</f>
        <v>0</v>
      </c>
    </row>
    <row r="142" spans="12:16" ht="17.399999999999999" customHeight="1" thickBot="1" x14ac:dyDescent="0.5">
      <c r="L142" s="80" t="s">
        <v>612</v>
      </c>
      <c r="M142">
        <f>COUNTIF(Kintoneデータ抽出!$D:$D,"*"&amp;病院別実績!L142&amp;"*")</f>
        <v>0</v>
      </c>
      <c r="O142" s="81" t="s">
        <v>613</v>
      </c>
      <c r="P142">
        <f>COUNTIF(Kintoneデータ抽出!$D:$D,"*"&amp;病院別実績!O142&amp;"*")</f>
        <v>0</v>
      </c>
    </row>
    <row r="143" spans="12:16" ht="17.399999999999999" customHeight="1" thickBot="1" x14ac:dyDescent="0.5">
      <c r="L143" s="81" t="s">
        <v>614</v>
      </c>
      <c r="M143">
        <f>COUNTIF(Kintoneデータ抽出!$D:$D,"*"&amp;病院別実績!L143&amp;"*")</f>
        <v>0</v>
      </c>
      <c r="O143" s="81" t="s">
        <v>615</v>
      </c>
      <c r="P143">
        <f>COUNTIF(Kintoneデータ抽出!$D:$D,"*"&amp;病院別実績!O143&amp;"*")</f>
        <v>0</v>
      </c>
    </row>
    <row r="144" spans="12:16" ht="17.399999999999999" customHeight="1" thickBot="1" x14ac:dyDescent="0.5">
      <c r="L144" s="81" t="s">
        <v>616</v>
      </c>
      <c r="M144">
        <f>COUNTIF(Kintoneデータ抽出!$D:$D,"*"&amp;病院別実績!L144&amp;"*")</f>
        <v>0</v>
      </c>
      <c r="O144" s="81" t="s">
        <v>617</v>
      </c>
      <c r="P144">
        <f>COUNTIF(Kintoneデータ抽出!$D:$D,"*"&amp;病院別実績!O144&amp;"*")</f>
        <v>0</v>
      </c>
    </row>
    <row r="145" spans="12:16" ht="17.399999999999999" customHeight="1" thickBot="1" x14ac:dyDescent="0.5">
      <c r="L145" s="80" t="s">
        <v>618</v>
      </c>
      <c r="M145">
        <f>COUNTIF(Kintoneデータ抽出!$D:$D,"*"&amp;病院別実績!L145&amp;"*")</f>
        <v>0</v>
      </c>
      <c r="O145" s="80" t="s">
        <v>619</v>
      </c>
      <c r="P145">
        <f>COUNTIF(Kintoneデータ抽出!$D:$D,"*"&amp;病院別実績!O145&amp;"*")</f>
        <v>0</v>
      </c>
    </row>
    <row r="146" spans="12:16" ht="17.399999999999999" customHeight="1" thickBot="1" x14ac:dyDescent="0.5">
      <c r="L146" s="81" t="s">
        <v>620</v>
      </c>
      <c r="M146">
        <f>COUNTIF(Kintoneデータ抽出!$D:$D,"*"&amp;病院別実績!L146&amp;"*")</f>
        <v>0</v>
      </c>
      <c r="O146" s="81" t="s">
        <v>621</v>
      </c>
      <c r="P146">
        <f>COUNTIF(Kintoneデータ抽出!$D:$D,"*"&amp;病院別実績!O146&amp;"*")</f>
        <v>0</v>
      </c>
    </row>
    <row r="147" spans="12:16" ht="17.399999999999999" customHeight="1" thickBot="1" x14ac:dyDescent="0.5">
      <c r="L147" s="81" t="s">
        <v>622</v>
      </c>
      <c r="M147">
        <f>COUNTIF(Kintoneデータ抽出!$D:$D,"*"&amp;病院別実績!L147&amp;"*")</f>
        <v>0</v>
      </c>
      <c r="O147" s="81" t="s">
        <v>623</v>
      </c>
      <c r="P147">
        <f>COUNTIF(Kintoneデータ抽出!$D:$D,"*"&amp;病院別実績!O147&amp;"*")</f>
        <v>0</v>
      </c>
    </row>
    <row r="148" spans="12:16" ht="17.399999999999999" customHeight="1" thickBot="1" x14ac:dyDescent="0.5">
      <c r="L148" s="81" t="s">
        <v>624</v>
      </c>
      <c r="M148">
        <f>COUNTIF(Kintoneデータ抽出!$D:$D,"*"&amp;病院別実績!L148&amp;"*")</f>
        <v>0</v>
      </c>
      <c r="O148" s="81" t="s">
        <v>625</v>
      </c>
      <c r="P148">
        <f>COUNTIF(Kintoneデータ抽出!$D:$D,"*"&amp;病院別実績!O148&amp;"*")</f>
        <v>0</v>
      </c>
    </row>
    <row r="149" spans="12:16" ht="17.399999999999999" customHeight="1" thickBot="1" x14ac:dyDescent="0.5">
      <c r="L149" s="81" t="s">
        <v>626</v>
      </c>
      <c r="M149">
        <f>COUNTIF(Kintoneデータ抽出!$D:$D,"*"&amp;病院別実績!L149&amp;"*")</f>
        <v>0</v>
      </c>
      <c r="O149" s="81" t="s">
        <v>627</v>
      </c>
      <c r="P149">
        <f>COUNTIF(Kintoneデータ抽出!$D:$D,"*"&amp;病院別実績!O149&amp;"*")</f>
        <v>0</v>
      </c>
    </row>
    <row r="150" spans="12:16" ht="17.399999999999999" customHeight="1" thickBot="1" x14ac:dyDescent="0.5">
      <c r="L150" s="81" t="s">
        <v>628</v>
      </c>
      <c r="M150">
        <f>COUNTIF(Kintoneデータ抽出!$D:$D,"*"&amp;病院別実績!L150&amp;"*")</f>
        <v>0</v>
      </c>
      <c r="O150" s="80" t="s">
        <v>629</v>
      </c>
      <c r="P150">
        <f>COUNTIF(Kintoneデータ抽出!$D:$D,"*"&amp;病院別実績!O150&amp;"*")</f>
        <v>0</v>
      </c>
    </row>
    <row r="151" spans="12:16" ht="17.399999999999999" customHeight="1" thickBot="1" x14ac:dyDescent="0.5">
      <c r="L151" s="81" t="s">
        <v>630</v>
      </c>
      <c r="M151">
        <f>COUNTIF(Kintoneデータ抽出!$D:$D,"*"&amp;病院別実績!L151&amp;"*")</f>
        <v>0</v>
      </c>
      <c r="O151" s="80" t="s">
        <v>631</v>
      </c>
      <c r="P151">
        <f>COUNTIF(Kintoneデータ抽出!$D:$D,"*"&amp;病院別実績!O151&amp;"*")</f>
        <v>0</v>
      </c>
    </row>
    <row r="152" spans="12:16" ht="17.399999999999999" customHeight="1" thickBot="1" x14ac:dyDescent="0.5">
      <c r="L152" s="80" t="s">
        <v>632</v>
      </c>
      <c r="M152">
        <f>COUNTIF(Kintoneデータ抽出!$D:$D,"*"&amp;病院別実績!L152&amp;"*")</f>
        <v>0</v>
      </c>
      <c r="O152" s="80" t="s">
        <v>633</v>
      </c>
      <c r="P152">
        <f>COUNTIF(Kintoneデータ抽出!$D:$D,"*"&amp;病院別実績!O152&amp;"*")</f>
        <v>0</v>
      </c>
    </row>
    <row r="153" spans="12:16" ht="17.399999999999999" customHeight="1" thickBot="1" x14ac:dyDescent="0.5">
      <c r="L153" s="80" t="s">
        <v>634</v>
      </c>
      <c r="M153">
        <f>COUNTIF(Kintoneデータ抽出!$D:$D,"*"&amp;病院別実績!L153&amp;"*")</f>
        <v>0</v>
      </c>
      <c r="O153" s="80" t="s">
        <v>635</v>
      </c>
      <c r="P153">
        <f>COUNTIF(Kintoneデータ抽出!$D:$D,"*"&amp;病院別実績!O153&amp;"*")</f>
        <v>0</v>
      </c>
    </row>
    <row r="154" spans="12:16" ht="17.399999999999999" customHeight="1" thickBot="1" x14ac:dyDescent="0.5">
      <c r="L154" s="81" t="s">
        <v>636</v>
      </c>
      <c r="M154">
        <f>COUNTIF(Kintoneデータ抽出!$D:$D,"*"&amp;病院別実績!L154&amp;"*")</f>
        <v>0</v>
      </c>
      <c r="O154" s="80" t="s">
        <v>637</v>
      </c>
      <c r="P154">
        <f>COUNTIF(Kintoneデータ抽出!$D:$D,"*"&amp;病院別実績!O154&amp;"*")</f>
        <v>0</v>
      </c>
    </row>
    <row r="155" spans="12:16" ht="17.399999999999999" customHeight="1" thickBot="1" x14ac:dyDescent="0.5">
      <c r="L155" s="81" t="s">
        <v>638</v>
      </c>
      <c r="M155">
        <f>COUNTIF(Kintoneデータ抽出!$D:$D,"*"&amp;病院別実績!L155&amp;"*")</f>
        <v>0</v>
      </c>
      <c r="O155" s="80" t="s">
        <v>639</v>
      </c>
      <c r="P155">
        <f>COUNTIF(Kintoneデータ抽出!$D:$D,"*"&amp;病院別実績!O155&amp;"*")</f>
        <v>0</v>
      </c>
    </row>
    <row r="156" spans="12:16" ht="17.399999999999999" customHeight="1" thickBot="1" x14ac:dyDescent="0.5">
      <c r="L156" s="81" t="s">
        <v>640</v>
      </c>
      <c r="M156">
        <f>COUNTIF(Kintoneデータ抽出!$D:$D,"*"&amp;病院別実績!L156&amp;"*")</f>
        <v>0</v>
      </c>
    </row>
    <row r="157" spans="12:16" ht="17.399999999999999" customHeight="1" thickBot="1" x14ac:dyDescent="0.5">
      <c r="L157" s="80" t="s">
        <v>641</v>
      </c>
      <c r="M157">
        <f>COUNTIF(Kintoneデータ抽出!$D:$D,"*"&amp;病院別実績!L157&amp;"*")</f>
        <v>0</v>
      </c>
    </row>
    <row r="158" spans="12:16" ht="17.399999999999999" customHeight="1" thickBot="1" x14ac:dyDescent="0.5">
      <c r="L158" s="81" t="s">
        <v>642</v>
      </c>
      <c r="M158">
        <f>COUNTIF(Kintoneデータ抽出!$D:$D,"*"&amp;病院別実績!L158&amp;"*")</f>
        <v>0</v>
      </c>
    </row>
    <row r="159" spans="12:16" ht="17.399999999999999" customHeight="1" thickBot="1" x14ac:dyDescent="0.5">
      <c r="L159" s="80" t="s">
        <v>643</v>
      </c>
      <c r="M159">
        <f>COUNTIF(Kintoneデータ抽出!$D:$D,"*"&amp;病院別実績!L159&amp;"*")</f>
        <v>0</v>
      </c>
    </row>
    <row r="160" spans="12:16" ht="17.399999999999999" customHeight="1" thickBot="1" x14ac:dyDescent="0.5">
      <c r="L160" s="81" t="s">
        <v>644</v>
      </c>
      <c r="M160">
        <f>COUNTIF(Kintoneデータ抽出!$D:$D,"*"&amp;病院別実績!L160&amp;"*")</f>
        <v>0</v>
      </c>
    </row>
    <row r="161" spans="12:13" ht="17.399999999999999" customHeight="1" thickBot="1" x14ac:dyDescent="0.5">
      <c r="L161" s="81" t="s">
        <v>645</v>
      </c>
      <c r="M161">
        <f>COUNTIF(Kintoneデータ抽出!$D:$D,"*"&amp;病院別実績!L161&amp;"*")</f>
        <v>0</v>
      </c>
    </row>
    <row r="162" spans="12:13" ht="17.399999999999999" customHeight="1" thickBot="1" x14ac:dyDescent="0.5">
      <c r="L162" s="81" t="s">
        <v>646</v>
      </c>
      <c r="M162">
        <f>COUNTIF(Kintoneデータ抽出!$D:$D,"*"&amp;病院別実績!L162&amp;"*")</f>
        <v>0</v>
      </c>
    </row>
    <row r="163" spans="12:13" ht="17.399999999999999" customHeight="1" thickBot="1" x14ac:dyDescent="0.5">
      <c r="L163" s="81" t="s">
        <v>647</v>
      </c>
      <c r="M163">
        <f>COUNTIF(Kintoneデータ抽出!$D:$D,"*"&amp;病院別実績!L163&amp;"*")</f>
        <v>0</v>
      </c>
    </row>
    <row r="164" spans="12:13" ht="17.399999999999999" customHeight="1" thickBot="1" x14ac:dyDescent="0.5">
      <c r="L164" s="80" t="s">
        <v>648</v>
      </c>
      <c r="M164">
        <f>COUNTIF(Kintoneデータ抽出!$D:$D,"*"&amp;病院別実績!L164&amp;"*")</f>
        <v>0</v>
      </c>
    </row>
    <row r="165" spans="12:13" ht="17.399999999999999" customHeight="1" thickBot="1" x14ac:dyDescent="0.5">
      <c r="L165" s="80" t="s">
        <v>649</v>
      </c>
      <c r="M165">
        <f>COUNTIF(Kintoneデータ抽出!$D:$D,"*"&amp;病院別実績!L165&amp;"*")</f>
        <v>0</v>
      </c>
    </row>
    <row r="166" spans="12:13" ht="17.399999999999999" customHeight="1" thickBot="1" x14ac:dyDescent="0.5">
      <c r="L166" s="80" t="s">
        <v>650</v>
      </c>
      <c r="M166">
        <f>COUNTIF(Kintoneデータ抽出!$D:$D,"*"&amp;病院別実績!L166&amp;"*")</f>
        <v>0</v>
      </c>
    </row>
    <row r="167" spans="12:13" ht="17.399999999999999" customHeight="1" thickBot="1" x14ac:dyDescent="0.5">
      <c r="L167" s="80" t="s">
        <v>651</v>
      </c>
      <c r="M167">
        <f>COUNTIF(Kintoneデータ抽出!$D:$D,"*"&amp;病院別実績!L167&amp;"*")</f>
        <v>0</v>
      </c>
    </row>
    <row r="168" spans="12:13" ht="17.399999999999999" customHeight="1" thickBot="1" x14ac:dyDescent="0.5">
      <c r="L168" s="81" t="s">
        <v>652</v>
      </c>
      <c r="M168">
        <f>COUNTIF(Kintoneデータ抽出!$D:$D,"*"&amp;病院別実績!L168&amp;"*")</f>
        <v>0</v>
      </c>
    </row>
    <row r="169" spans="12:13" ht="17.399999999999999" customHeight="1" thickBot="1" x14ac:dyDescent="0.5">
      <c r="L169" s="81" t="s">
        <v>653</v>
      </c>
      <c r="M169">
        <f>COUNTIF(Kintoneデータ抽出!$D:$D,"*"&amp;病院別実績!L169&amp;"*")</f>
        <v>0</v>
      </c>
    </row>
    <row r="170" spans="12:13" ht="17.399999999999999" customHeight="1" thickBot="1" x14ac:dyDescent="0.5">
      <c r="L170" s="81" t="s">
        <v>654</v>
      </c>
      <c r="M170">
        <f>COUNTIF(Kintoneデータ抽出!$D:$D,"*"&amp;病院別実績!L170&amp;"*")</f>
        <v>0</v>
      </c>
    </row>
    <row r="171" spans="12:13" ht="17.399999999999999" customHeight="1" thickBot="1" x14ac:dyDescent="0.5">
      <c r="L171" s="81" t="s">
        <v>655</v>
      </c>
      <c r="M171">
        <f>COUNTIF(Kintoneデータ抽出!$D:$D,"*"&amp;病院別実績!L171&amp;"*")</f>
        <v>0</v>
      </c>
    </row>
    <row r="172" spans="12:13" ht="17.399999999999999" customHeight="1" thickBot="1" x14ac:dyDescent="0.5">
      <c r="L172" s="81" t="s">
        <v>656</v>
      </c>
      <c r="M172">
        <f>COUNTIF(Kintoneデータ抽出!$D:$D,"*"&amp;病院別実績!L172&amp;"*")</f>
        <v>0</v>
      </c>
    </row>
    <row r="173" spans="12:13" ht="17.399999999999999" customHeight="1" thickBot="1" x14ac:dyDescent="0.5">
      <c r="L173" s="81" t="s">
        <v>657</v>
      </c>
      <c r="M173">
        <f>COUNTIF(Kintoneデータ抽出!$D:$D,"*"&amp;病院別実績!L173&amp;"*")</f>
        <v>0</v>
      </c>
    </row>
    <row r="174" spans="12:13" ht="17.399999999999999" customHeight="1" thickBot="1" x14ac:dyDescent="0.5">
      <c r="L174" s="81" t="s">
        <v>658</v>
      </c>
      <c r="M174">
        <f>COUNTIF(Kintoneデータ抽出!$D:$D,"*"&amp;病院別実績!L174&amp;"*")</f>
        <v>0</v>
      </c>
    </row>
    <row r="175" spans="12:13" ht="17.399999999999999" customHeight="1" thickBot="1" x14ac:dyDescent="0.5">
      <c r="L175" s="81" t="s">
        <v>659</v>
      </c>
      <c r="M175">
        <f>COUNTIF(Kintoneデータ抽出!$D:$D,"*"&amp;病院別実績!L175&amp;"*")</f>
        <v>0</v>
      </c>
    </row>
    <row r="176" spans="12:13" ht="17.399999999999999" customHeight="1" thickBot="1" x14ac:dyDescent="0.5">
      <c r="L176" s="81" t="s">
        <v>660</v>
      </c>
      <c r="M176">
        <f>COUNTIF(Kintoneデータ抽出!$D:$D,"*"&amp;病院別実績!L176&amp;"*")</f>
        <v>0</v>
      </c>
    </row>
    <row r="177" spans="12:13" ht="17.399999999999999" customHeight="1" thickBot="1" x14ac:dyDescent="0.5">
      <c r="L177" s="81" t="s">
        <v>661</v>
      </c>
      <c r="M177">
        <f>COUNTIF(Kintoneデータ抽出!$D:$D,"*"&amp;病院別実績!L177&amp;"*")</f>
        <v>0</v>
      </c>
    </row>
    <row r="178" spans="12:13" ht="17.399999999999999" customHeight="1" thickBot="1" x14ac:dyDescent="0.5">
      <c r="L178" s="81" t="s">
        <v>662</v>
      </c>
      <c r="M178">
        <f>COUNTIF(Kintoneデータ抽出!$D:$D,"*"&amp;病院別実績!L178&amp;"*")</f>
        <v>0</v>
      </c>
    </row>
    <row r="179" spans="12:13" ht="17.399999999999999" customHeight="1" thickBot="1" x14ac:dyDescent="0.5">
      <c r="L179" s="81" t="s">
        <v>663</v>
      </c>
      <c r="M179">
        <f>COUNTIF(Kintoneデータ抽出!$D:$D,"*"&amp;病院別実績!L179&amp;"*")</f>
        <v>0</v>
      </c>
    </row>
    <row r="180" spans="12:13" ht="17.399999999999999" customHeight="1" thickBot="1" x14ac:dyDescent="0.5">
      <c r="L180" s="81" t="s">
        <v>664</v>
      </c>
      <c r="M180">
        <f>COUNTIF(Kintoneデータ抽出!$D:$D,"*"&amp;病院別実績!L180&amp;"*")</f>
        <v>0</v>
      </c>
    </row>
    <row r="181" spans="12:13" ht="17.399999999999999" customHeight="1" thickBot="1" x14ac:dyDescent="0.5">
      <c r="L181" s="81" t="s">
        <v>665</v>
      </c>
      <c r="M181">
        <f>COUNTIF(Kintoneデータ抽出!$D:$D,"*"&amp;病院別実績!L181&amp;"*")</f>
        <v>0</v>
      </c>
    </row>
    <row r="182" spans="12:13" ht="17.399999999999999" customHeight="1" thickBot="1" x14ac:dyDescent="0.5">
      <c r="L182" s="81" t="s">
        <v>666</v>
      </c>
      <c r="M182">
        <f>COUNTIF(Kintoneデータ抽出!$D:$D,"*"&amp;病院別実績!L182&amp;"*")</f>
        <v>0</v>
      </c>
    </row>
    <row r="183" spans="12:13" ht="17.399999999999999" customHeight="1" thickBot="1" x14ac:dyDescent="0.5">
      <c r="L183" s="81" t="s">
        <v>667</v>
      </c>
      <c r="M183">
        <f>COUNTIF(Kintoneデータ抽出!$D:$D,"*"&amp;病院別実績!L183&amp;"*")</f>
        <v>0</v>
      </c>
    </row>
    <row r="184" spans="12:13" ht="17.399999999999999" customHeight="1" thickBot="1" x14ac:dyDescent="0.5">
      <c r="L184" s="81" t="s">
        <v>668</v>
      </c>
      <c r="M184">
        <f>COUNTIF(Kintoneデータ抽出!$D:$D,"*"&amp;病院別実績!L184&amp;"*")</f>
        <v>0</v>
      </c>
    </row>
    <row r="185" spans="12:13" ht="17.399999999999999" customHeight="1" thickBot="1" x14ac:dyDescent="0.5">
      <c r="L185" s="81" t="s">
        <v>669</v>
      </c>
      <c r="M185">
        <f>COUNTIF(Kintoneデータ抽出!$D:$D,"*"&amp;病院別実績!L185&amp;"*")</f>
        <v>0</v>
      </c>
    </row>
    <row r="186" spans="12:13" ht="17.399999999999999" customHeight="1" thickBot="1" x14ac:dyDescent="0.5">
      <c r="L186" s="81" t="s">
        <v>670</v>
      </c>
      <c r="M186">
        <f>COUNTIF(Kintoneデータ抽出!$D:$D,"*"&amp;病院別実績!L186&amp;"*")</f>
        <v>0</v>
      </c>
    </row>
    <row r="187" spans="12:13" ht="17.399999999999999" customHeight="1" thickBot="1" x14ac:dyDescent="0.5">
      <c r="L187" s="81" t="s">
        <v>671</v>
      </c>
      <c r="M187">
        <f>COUNTIF(Kintoneデータ抽出!$D:$D,"*"&amp;病院別実績!L187&amp;"*")</f>
        <v>0</v>
      </c>
    </row>
    <row r="188" spans="12:13" ht="17.399999999999999" customHeight="1" thickBot="1" x14ac:dyDescent="0.5">
      <c r="L188" s="81" t="s">
        <v>672</v>
      </c>
      <c r="M188">
        <f>COUNTIF(Kintoneデータ抽出!$D:$D,"*"&amp;病院別実績!L188&amp;"*")</f>
        <v>0</v>
      </c>
    </row>
    <row r="189" spans="12:13" ht="17.399999999999999" customHeight="1" thickBot="1" x14ac:dyDescent="0.5">
      <c r="L189" s="81" t="s">
        <v>673</v>
      </c>
      <c r="M189">
        <f>COUNTIF(Kintoneデータ抽出!$D:$D,"*"&amp;病院別実績!L189&amp;"*")</f>
        <v>0</v>
      </c>
    </row>
    <row r="190" spans="12:13" ht="17.399999999999999" customHeight="1" thickBot="1" x14ac:dyDescent="0.5">
      <c r="L190" s="81" t="s">
        <v>674</v>
      </c>
      <c r="M190">
        <f>COUNTIF(Kintoneデータ抽出!$D:$D,"*"&amp;病院別実績!L190&amp;"*")</f>
        <v>0</v>
      </c>
    </row>
    <row r="191" spans="12:13" ht="17.399999999999999" customHeight="1" thickBot="1" x14ac:dyDescent="0.5">
      <c r="L191" s="81" t="s">
        <v>675</v>
      </c>
      <c r="M191">
        <f>COUNTIF(Kintoneデータ抽出!$D:$D,"*"&amp;病院別実績!L191&amp;"*")</f>
        <v>0</v>
      </c>
    </row>
    <row r="192" spans="12:13" ht="17.399999999999999" customHeight="1" thickBot="1" x14ac:dyDescent="0.5">
      <c r="L192" s="81" t="s">
        <v>676</v>
      </c>
      <c r="M192">
        <f>COUNTIF(Kintoneデータ抽出!$D:$D,"*"&amp;病院別実績!L192&amp;"*")</f>
        <v>0</v>
      </c>
    </row>
    <row r="193" spans="12:13" ht="17.399999999999999" customHeight="1" thickBot="1" x14ac:dyDescent="0.5">
      <c r="L193" s="81" t="s">
        <v>677</v>
      </c>
      <c r="M193">
        <f>COUNTIF(Kintoneデータ抽出!$D:$D,"*"&amp;病院別実績!L193&amp;"*")</f>
        <v>0</v>
      </c>
    </row>
    <row r="194" spans="12:13" ht="17.399999999999999" customHeight="1" thickBot="1" x14ac:dyDescent="0.5">
      <c r="L194" s="81" t="s">
        <v>678</v>
      </c>
      <c r="M194">
        <f>COUNTIF(Kintoneデータ抽出!$D:$D,"*"&amp;病院別実績!L194&amp;"*")</f>
        <v>0</v>
      </c>
    </row>
    <row r="195" spans="12:13" ht="17.399999999999999" customHeight="1" thickBot="1" x14ac:dyDescent="0.5">
      <c r="L195" s="81" t="s">
        <v>679</v>
      </c>
      <c r="M195">
        <f>COUNTIF(Kintoneデータ抽出!$D:$D,"*"&amp;病院別実績!L195&amp;"*")</f>
        <v>0</v>
      </c>
    </row>
    <row r="196" spans="12:13" ht="17.399999999999999" customHeight="1" thickBot="1" x14ac:dyDescent="0.5">
      <c r="L196" s="81" t="s">
        <v>680</v>
      </c>
      <c r="M196">
        <f>COUNTIF(Kintoneデータ抽出!$D:$D,"*"&amp;病院別実績!L196&amp;"*")</f>
        <v>0</v>
      </c>
    </row>
    <row r="197" spans="12:13" ht="17.399999999999999" customHeight="1" thickBot="1" x14ac:dyDescent="0.5">
      <c r="L197" s="81" t="s">
        <v>681</v>
      </c>
      <c r="M197">
        <f>COUNTIF(Kintoneデータ抽出!$D:$D,"*"&amp;病院別実績!L197&amp;"*")</f>
        <v>0</v>
      </c>
    </row>
    <row r="198" spans="12:13" ht="17.399999999999999" customHeight="1" thickBot="1" x14ac:dyDescent="0.5">
      <c r="L198" s="81" t="s">
        <v>682</v>
      </c>
      <c r="M198">
        <f>COUNTIF(Kintoneデータ抽出!$D:$D,"*"&amp;病院別実績!L198&amp;"*")</f>
        <v>0</v>
      </c>
    </row>
    <row r="199" spans="12:13" ht="17.399999999999999" customHeight="1" thickBot="1" x14ac:dyDescent="0.5">
      <c r="L199" s="81" t="s">
        <v>683</v>
      </c>
      <c r="M199">
        <f>COUNTIF(Kintoneデータ抽出!$D:$D,"*"&amp;病院別実績!L199&amp;"*")</f>
        <v>0</v>
      </c>
    </row>
    <row r="200" spans="12:13" ht="17.399999999999999" customHeight="1" thickBot="1" x14ac:dyDescent="0.5">
      <c r="L200" s="81" t="s">
        <v>684</v>
      </c>
      <c r="M200">
        <f>COUNTIF(Kintoneデータ抽出!$D:$D,"*"&amp;病院別実績!L200&amp;"*")</f>
        <v>0</v>
      </c>
    </row>
    <row r="201" spans="12:13" ht="17.399999999999999" customHeight="1" thickBot="1" x14ac:dyDescent="0.5">
      <c r="L201" s="81" t="s">
        <v>685</v>
      </c>
      <c r="M201">
        <f>COUNTIF(Kintoneデータ抽出!$D:$D,"*"&amp;病院別実績!L201&amp;"*")</f>
        <v>0</v>
      </c>
    </row>
    <row r="202" spans="12:13" ht="17.399999999999999" customHeight="1" thickBot="1" x14ac:dyDescent="0.5">
      <c r="L202" s="81" t="s">
        <v>686</v>
      </c>
      <c r="M202">
        <f>COUNTIF(Kintoneデータ抽出!$D:$D,"*"&amp;病院別実績!L202&amp;"*")</f>
        <v>0</v>
      </c>
    </row>
    <row r="203" spans="12:13" ht="17.399999999999999" customHeight="1" thickBot="1" x14ac:dyDescent="0.5">
      <c r="L203" s="81" t="s">
        <v>687</v>
      </c>
      <c r="M203">
        <f>COUNTIF(Kintoneデータ抽出!$D:$D,"*"&amp;病院別実績!L203&amp;"*")</f>
        <v>0</v>
      </c>
    </row>
    <row r="204" spans="12:13" ht="17.399999999999999" customHeight="1" thickBot="1" x14ac:dyDescent="0.5">
      <c r="L204" s="81" t="s">
        <v>688</v>
      </c>
      <c r="M204">
        <f>COUNTIF(Kintoneデータ抽出!$D:$D,"*"&amp;病院別実績!L204&amp;"*")</f>
        <v>0</v>
      </c>
    </row>
    <row r="205" spans="12:13" ht="17.399999999999999" customHeight="1" thickBot="1" x14ac:dyDescent="0.5">
      <c r="L205" s="81" t="s">
        <v>689</v>
      </c>
      <c r="M205">
        <f>COUNTIF(Kintoneデータ抽出!$D:$D,"*"&amp;病院別実績!L205&amp;"*")</f>
        <v>0</v>
      </c>
    </row>
    <row r="206" spans="12:13" ht="17.399999999999999" customHeight="1" thickBot="1" x14ac:dyDescent="0.5">
      <c r="L206" s="80" t="s">
        <v>690</v>
      </c>
      <c r="M206">
        <f>COUNTIF(Kintoneデータ抽出!$D:$D,"*"&amp;病院別実績!L206&amp;"*")</f>
        <v>0</v>
      </c>
    </row>
    <row r="207" spans="12:13" ht="17.399999999999999" customHeight="1" thickBot="1" x14ac:dyDescent="0.5">
      <c r="L207" s="81" t="s">
        <v>691</v>
      </c>
      <c r="M207">
        <f>COUNTIF(Kintoneデータ抽出!$D:$D,"*"&amp;病院別実績!L207&amp;"*")</f>
        <v>0</v>
      </c>
    </row>
    <row r="208" spans="12:13" ht="17.399999999999999" customHeight="1" thickBot="1" x14ac:dyDescent="0.5">
      <c r="L208" s="80" t="s">
        <v>692</v>
      </c>
      <c r="M208">
        <f>COUNTIF(Kintoneデータ抽出!$D:$D,"*"&amp;病院別実績!L208&amp;"*")</f>
        <v>0</v>
      </c>
    </row>
    <row r="209" spans="12:13" ht="17.399999999999999" customHeight="1" thickBot="1" x14ac:dyDescent="0.5">
      <c r="L209" s="81" t="s">
        <v>693</v>
      </c>
      <c r="M209">
        <f>COUNTIF(Kintoneデータ抽出!$D:$D,"*"&amp;病院別実績!L209&amp;"*")</f>
        <v>0</v>
      </c>
    </row>
    <row r="210" spans="12:13" ht="17.399999999999999" customHeight="1" thickBot="1" x14ac:dyDescent="0.5">
      <c r="L210" s="80" t="s">
        <v>694</v>
      </c>
      <c r="M210">
        <f>COUNTIF(Kintoneデータ抽出!$D:$D,"*"&amp;病院別実績!L210&amp;"*")</f>
        <v>0</v>
      </c>
    </row>
    <row r="211" spans="12:13" ht="17.399999999999999" customHeight="1" thickBot="1" x14ac:dyDescent="0.5">
      <c r="L211" s="81" t="s">
        <v>695</v>
      </c>
      <c r="M211">
        <f>COUNTIF(Kintoneデータ抽出!$D:$D,"*"&amp;病院別実績!L211&amp;"*")</f>
        <v>0</v>
      </c>
    </row>
    <row r="212" spans="12:13" ht="17.399999999999999" customHeight="1" thickBot="1" x14ac:dyDescent="0.5">
      <c r="L212" s="81" t="s">
        <v>696</v>
      </c>
      <c r="M212">
        <f>COUNTIF(Kintoneデータ抽出!$D:$D,"*"&amp;病院別実績!L212&amp;"*")</f>
        <v>0</v>
      </c>
    </row>
    <row r="213" spans="12:13" ht="17.399999999999999" customHeight="1" thickBot="1" x14ac:dyDescent="0.5">
      <c r="L213" s="81" t="s">
        <v>697</v>
      </c>
      <c r="M213">
        <f>COUNTIF(Kintoneデータ抽出!$D:$D,"*"&amp;病院別実績!L213&amp;"*")</f>
        <v>0</v>
      </c>
    </row>
    <row r="214" spans="12:13" ht="17.399999999999999" customHeight="1" thickBot="1" x14ac:dyDescent="0.5">
      <c r="L214" s="81" t="s">
        <v>698</v>
      </c>
      <c r="M214">
        <f>COUNTIF(Kintoneデータ抽出!$D:$D,"*"&amp;病院別実績!L214&amp;"*")</f>
        <v>0</v>
      </c>
    </row>
    <row r="215" spans="12:13" ht="17.399999999999999" customHeight="1" thickBot="1" x14ac:dyDescent="0.5">
      <c r="L215" s="81" t="s">
        <v>699</v>
      </c>
      <c r="M215">
        <f>COUNTIF(Kintoneデータ抽出!$D:$D,"*"&amp;病院別実績!L215&amp;"*")</f>
        <v>0</v>
      </c>
    </row>
    <row r="216" spans="12:13" ht="17.399999999999999" customHeight="1" thickBot="1" x14ac:dyDescent="0.5">
      <c r="L216" s="81" t="s">
        <v>700</v>
      </c>
      <c r="M216">
        <f>COUNTIF(Kintoneデータ抽出!$D:$D,"*"&amp;病院別実績!L216&amp;"*")</f>
        <v>0</v>
      </c>
    </row>
    <row r="217" spans="12:13" ht="17.399999999999999" customHeight="1" thickBot="1" x14ac:dyDescent="0.5">
      <c r="L217" s="81" t="s">
        <v>701</v>
      </c>
      <c r="M217">
        <f>COUNTIF(Kintoneデータ抽出!$D:$D,"*"&amp;病院別実績!L217&amp;"*")</f>
        <v>0</v>
      </c>
    </row>
    <row r="218" spans="12:13" ht="17.399999999999999" customHeight="1" thickBot="1" x14ac:dyDescent="0.5">
      <c r="L218" s="81" t="s">
        <v>702</v>
      </c>
      <c r="M218">
        <f>COUNTIF(Kintoneデータ抽出!$D:$D,"*"&amp;病院別実績!L218&amp;"*")</f>
        <v>0</v>
      </c>
    </row>
    <row r="219" spans="12:13" ht="17.399999999999999" customHeight="1" thickBot="1" x14ac:dyDescent="0.5">
      <c r="L219" s="81" t="s">
        <v>703</v>
      </c>
      <c r="M219">
        <f>COUNTIF(Kintoneデータ抽出!$D:$D,"*"&amp;病院別実績!L219&amp;"*")</f>
        <v>0</v>
      </c>
    </row>
    <row r="220" spans="12:13" ht="17.399999999999999" customHeight="1" thickBot="1" x14ac:dyDescent="0.5">
      <c r="L220" s="81" t="s">
        <v>704</v>
      </c>
      <c r="M220">
        <f>COUNTIF(Kintoneデータ抽出!$D:$D,"*"&amp;病院別実績!L220&amp;"*")</f>
        <v>0</v>
      </c>
    </row>
    <row r="221" spans="12:13" ht="17.399999999999999" customHeight="1" thickBot="1" x14ac:dyDescent="0.5">
      <c r="L221" s="81" t="s">
        <v>705</v>
      </c>
      <c r="M221">
        <f>COUNTIF(Kintoneデータ抽出!$D:$D,"*"&amp;病院別実績!L221&amp;"*")</f>
        <v>0</v>
      </c>
    </row>
    <row r="222" spans="12:13" ht="17.399999999999999" customHeight="1" thickBot="1" x14ac:dyDescent="0.5">
      <c r="L222" s="80" t="s">
        <v>706</v>
      </c>
      <c r="M222">
        <f>COUNTIF(Kintoneデータ抽出!$D:$D,"*"&amp;病院別実績!L222&amp;"*")</f>
        <v>0</v>
      </c>
    </row>
    <row r="223" spans="12:13" ht="17.399999999999999" customHeight="1" thickBot="1" x14ac:dyDescent="0.5">
      <c r="L223" s="81" t="s">
        <v>707</v>
      </c>
      <c r="M223">
        <f>COUNTIF(Kintoneデータ抽出!$D:$D,"*"&amp;病院別実績!L223&amp;"*")</f>
        <v>0</v>
      </c>
    </row>
    <row r="224" spans="12:13" ht="17.399999999999999" customHeight="1" thickBot="1" x14ac:dyDescent="0.5">
      <c r="L224" s="80" t="s">
        <v>708</v>
      </c>
      <c r="M224">
        <f>COUNTIF(Kintoneデータ抽出!$D:$D,"*"&amp;病院別実績!L224&amp;"*")</f>
        <v>0</v>
      </c>
    </row>
    <row r="225" spans="12:13" ht="17.399999999999999" customHeight="1" thickBot="1" x14ac:dyDescent="0.5">
      <c r="L225" s="81" t="s">
        <v>709</v>
      </c>
      <c r="M225">
        <f>COUNTIF(Kintoneデータ抽出!$D:$D,"*"&amp;病院別実績!L225&amp;"*")</f>
        <v>0</v>
      </c>
    </row>
    <row r="226" spans="12:13" ht="17.399999999999999" customHeight="1" thickBot="1" x14ac:dyDescent="0.5">
      <c r="L226" s="80" t="s">
        <v>710</v>
      </c>
      <c r="M226">
        <f>COUNTIF(Kintoneデータ抽出!$D:$D,"*"&amp;病院別実績!L226&amp;"*")</f>
        <v>0</v>
      </c>
    </row>
    <row r="227" spans="12:13" ht="17.399999999999999" customHeight="1" thickBot="1" x14ac:dyDescent="0.5">
      <c r="L227" s="81" t="s">
        <v>711</v>
      </c>
      <c r="M227">
        <f>COUNTIF(Kintoneデータ抽出!$D:$D,"*"&amp;病院別実績!L227&amp;"*")</f>
        <v>0</v>
      </c>
    </row>
    <row r="228" spans="12:13" ht="17.399999999999999" customHeight="1" thickBot="1" x14ac:dyDescent="0.5">
      <c r="L228" s="81" t="s">
        <v>712</v>
      </c>
      <c r="M228">
        <f>COUNTIF(Kintoneデータ抽出!$D:$D,"*"&amp;病院別実績!L228&amp;"*")</f>
        <v>0</v>
      </c>
    </row>
    <row r="229" spans="12:13" ht="17.399999999999999" customHeight="1" thickBot="1" x14ac:dyDescent="0.5">
      <c r="L229" s="81" t="s">
        <v>713</v>
      </c>
      <c r="M229">
        <f>COUNTIF(Kintoneデータ抽出!$D:$D,"*"&amp;病院別実績!L229&amp;"*")</f>
        <v>0</v>
      </c>
    </row>
    <row r="230" spans="12:13" ht="17.399999999999999" customHeight="1" thickBot="1" x14ac:dyDescent="0.5">
      <c r="L230" s="81" t="s">
        <v>714</v>
      </c>
      <c r="M230">
        <f>COUNTIF(Kintoneデータ抽出!$D:$D,"*"&amp;病院別実績!L230&amp;"*")</f>
        <v>0</v>
      </c>
    </row>
    <row r="231" spans="12:13" ht="17.399999999999999" customHeight="1" thickBot="1" x14ac:dyDescent="0.5">
      <c r="L231" s="81" t="s">
        <v>715</v>
      </c>
      <c r="M231">
        <f>COUNTIF(Kintoneデータ抽出!$D:$D,"*"&amp;病院別実績!L231&amp;"*")</f>
        <v>0</v>
      </c>
    </row>
    <row r="232" spans="12:13" ht="17.399999999999999" customHeight="1" thickBot="1" x14ac:dyDescent="0.5">
      <c r="L232" s="81" t="s">
        <v>716</v>
      </c>
      <c r="M232">
        <f>COUNTIF(Kintoneデータ抽出!$D:$D,"*"&amp;病院別実績!L232&amp;"*")</f>
        <v>0</v>
      </c>
    </row>
    <row r="233" spans="12:13" ht="17.399999999999999" customHeight="1" thickBot="1" x14ac:dyDescent="0.5">
      <c r="L233" s="81" t="s">
        <v>717</v>
      </c>
      <c r="M233">
        <f>COUNTIF(Kintoneデータ抽出!$D:$D,"*"&amp;病院別実績!L233&amp;"*")</f>
        <v>0</v>
      </c>
    </row>
    <row r="234" spans="12:13" ht="17.399999999999999" customHeight="1" thickBot="1" x14ac:dyDescent="0.5">
      <c r="L234" s="81" t="s">
        <v>718</v>
      </c>
      <c r="M234">
        <f>COUNTIF(Kintoneデータ抽出!$D:$D,"*"&amp;病院別実績!L234&amp;"*")</f>
        <v>0</v>
      </c>
    </row>
    <row r="235" spans="12:13" ht="17.399999999999999" customHeight="1" thickBot="1" x14ac:dyDescent="0.5">
      <c r="L235" s="81" t="s">
        <v>719</v>
      </c>
      <c r="M235">
        <f>COUNTIF(Kintoneデータ抽出!$D:$D,"*"&amp;病院別実績!L235&amp;"*")</f>
        <v>0</v>
      </c>
    </row>
    <row r="236" spans="12:13" ht="17.399999999999999" customHeight="1" thickBot="1" x14ac:dyDescent="0.5">
      <c r="L236" s="81" t="s">
        <v>720</v>
      </c>
      <c r="M236">
        <f>COUNTIF(Kintoneデータ抽出!$D:$D,"*"&amp;病院別実績!L236&amp;"*")</f>
        <v>0</v>
      </c>
    </row>
    <row r="237" spans="12:13" ht="17.399999999999999" customHeight="1" thickBot="1" x14ac:dyDescent="0.5">
      <c r="L237" s="81" t="s">
        <v>721</v>
      </c>
      <c r="M237">
        <f>COUNTIF(Kintoneデータ抽出!$D:$D,"*"&amp;病院別実績!L237&amp;"*")</f>
        <v>0</v>
      </c>
    </row>
    <row r="238" spans="12:13" ht="17.399999999999999" customHeight="1" thickBot="1" x14ac:dyDescent="0.5">
      <c r="L238" s="81" t="s">
        <v>722</v>
      </c>
      <c r="M238">
        <f>COUNTIF(Kintoneデータ抽出!$D:$D,"*"&amp;病院別実績!L238&amp;"*")</f>
        <v>0</v>
      </c>
    </row>
    <row r="239" spans="12:13" ht="17.399999999999999" customHeight="1" thickBot="1" x14ac:dyDescent="0.5">
      <c r="L239" s="80" t="s">
        <v>723</v>
      </c>
      <c r="M239">
        <f>COUNTIF(Kintoneデータ抽出!$D:$D,"*"&amp;病院別実績!L239&amp;"*")</f>
        <v>0</v>
      </c>
    </row>
    <row r="240" spans="12:13" ht="17.399999999999999" customHeight="1" thickBot="1" x14ac:dyDescent="0.5">
      <c r="L240" s="81" t="s">
        <v>724</v>
      </c>
      <c r="M240">
        <f>COUNTIF(Kintoneデータ抽出!$D:$D,"*"&amp;病院別実績!L240&amp;"*")</f>
        <v>0</v>
      </c>
    </row>
    <row r="241" spans="12:13" ht="17.399999999999999" customHeight="1" thickBot="1" x14ac:dyDescent="0.5">
      <c r="L241" s="80" t="s">
        <v>725</v>
      </c>
      <c r="M241">
        <f>COUNTIF(Kintoneデータ抽出!$D:$D,"*"&amp;病院別実績!L241&amp;"*")</f>
        <v>0</v>
      </c>
    </row>
    <row r="242" spans="12:13" ht="17.399999999999999" customHeight="1" thickBot="1" x14ac:dyDescent="0.5">
      <c r="L242" s="80" t="s">
        <v>726</v>
      </c>
      <c r="M242">
        <f>COUNTIF(Kintoneデータ抽出!$D:$D,"*"&amp;病院別実績!L242&amp;"*")</f>
        <v>0</v>
      </c>
    </row>
    <row r="243" spans="12:13" ht="17.399999999999999" customHeight="1" thickBot="1" x14ac:dyDescent="0.5">
      <c r="L243" s="80" t="s">
        <v>727</v>
      </c>
      <c r="M243">
        <f>COUNTIF(Kintoneデータ抽出!$D:$D,"*"&amp;病院別実績!L243&amp;"*")</f>
        <v>0</v>
      </c>
    </row>
    <row r="244" spans="12:13" ht="17.399999999999999" customHeight="1" thickBot="1" x14ac:dyDescent="0.5">
      <c r="L244" s="80" t="s">
        <v>728</v>
      </c>
      <c r="M244">
        <f>COUNTIF(Kintoneデータ抽出!$D:$D,"*"&amp;病院別実績!L244&amp;"*")</f>
        <v>0</v>
      </c>
    </row>
    <row r="245" spans="12:13" ht="17.399999999999999" customHeight="1" thickBot="1" x14ac:dyDescent="0.5">
      <c r="L245" s="81" t="s">
        <v>729</v>
      </c>
      <c r="M245">
        <f>COUNTIF(Kintoneデータ抽出!$D:$D,"*"&amp;病院別実績!L245&amp;"*")</f>
        <v>0</v>
      </c>
    </row>
    <row r="246" spans="12:13" ht="17.399999999999999" customHeight="1" thickBot="1" x14ac:dyDescent="0.5">
      <c r="L246" s="80" t="s">
        <v>730</v>
      </c>
      <c r="M246">
        <f>COUNTIF(Kintoneデータ抽出!$D:$D,"*"&amp;病院別実績!L246&amp;"*")</f>
        <v>0</v>
      </c>
    </row>
    <row r="247" spans="12:13" ht="17.399999999999999" customHeight="1" thickBot="1" x14ac:dyDescent="0.5">
      <c r="L247" s="81" t="s">
        <v>731</v>
      </c>
      <c r="M247">
        <f>COUNTIF(Kintoneデータ抽出!$D:$D,"*"&amp;病院別実績!L247&amp;"*")</f>
        <v>0</v>
      </c>
    </row>
    <row r="248" spans="12:13" ht="17.399999999999999" customHeight="1" thickBot="1" x14ac:dyDescent="0.5">
      <c r="L248" s="81" t="s">
        <v>732</v>
      </c>
      <c r="M248">
        <f>COUNTIF(Kintoneデータ抽出!$D:$D,"*"&amp;病院別実績!L248&amp;"*")</f>
        <v>0</v>
      </c>
    </row>
    <row r="249" spans="12:13" ht="17.399999999999999" customHeight="1" thickBot="1" x14ac:dyDescent="0.5">
      <c r="L249" s="81" t="s">
        <v>733</v>
      </c>
      <c r="M249">
        <f>COUNTIF(Kintoneデータ抽出!$D:$D,"*"&amp;病院別実績!L249&amp;"*")</f>
        <v>0</v>
      </c>
    </row>
    <row r="250" spans="12:13" ht="17.399999999999999" customHeight="1" thickBot="1" x14ac:dyDescent="0.5">
      <c r="L250" s="81" t="s">
        <v>734</v>
      </c>
      <c r="M250">
        <f>COUNTIF(Kintoneデータ抽出!$D:$D,"*"&amp;病院別実績!L250&amp;"*")</f>
        <v>0</v>
      </c>
    </row>
    <row r="251" spans="12:13" ht="17.399999999999999" customHeight="1" thickBot="1" x14ac:dyDescent="0.5">
      <c r="L251" s="81" t="s">
        <v>735</v>
      </c>
      <c r="M251">
        <f>COUNTIF(Kintoneデータ抽出!$D:$D,"*"&amp;病院別実績!L251&amp;"*")</f>
        <v>0</v>
      </c>
    </row>
    <row r="252" spans="12:13" ht="17.399999999999999" customHeight="1" thickBot="1" x14ac:dyDescent="0.5">
      <c r="L252" s="81" t="s">
        <v>736</v>
      </c>
      <c r="M252">
        <f>COUNTIF(Kintoneデータ抽出!$D:$D,"*"&amp;病院別実績!L252&amp;"*")</f>
        <v>0</v>
      </c>
    </row>
    <row r="253" spans="12:13" ht="17.399999999999999" customHeight="1" thickBot="1" x14ac:dyDescent="0.5">
      <c r="L253" s="81" t="s">
        <v>737</v>
      </c>
      <c r="M253">
        <f>COUNTIF(Kintoneデータ抽出!$D:$D,"*"&amp;病院別実績!L253&amp;"*")</f>
        <v>0</v>
      </c>
    </row>
    <row r="254" spans="12:13" ht="17.399999999999999" customHeight="1" thickBot="1" x14ac:dyDescent="0.5">
      <c r="L254" s="81" t="s">
        <v>738</v>
      </c>
      <c r="M254">
        <f>COUNTIF(Kintoneデータ抽出!$D:$D,"*"&amp;病院別実績!L254&amp;"*")</f>
        <v>0</v>
      </c>
    </row>
    <row r="255" spans="12:13" ht="17.399999999999999" customHeight="1" thickBot="1" x14ac:dyDescent="0.5">
      <c r="L255" s="81" t="s">
        <v>739</v>
      </c>
      <c r="M255">
        <f>COUNTIF(Kintoneデータ抽出!$D:$D,"*"&amp;病院別実績!L255&amp;"*")</f>
        <v>0</v>
      </c>
    </row>
    <row r="256" spans="12:13" ht="17.399999999999999" customHeight="1" thickBot="1" x14ac:dyDescent="0.5">
      <c r="L256" s="81" t="s">
        <v>740</v>
      </c>
      <c r="M256">
        <f>COUNTIF(Kintoneデータ抽出!$D:$D,"*"&amp;病院別実績!L256&amp;"*")</f>
        <v>0</v>
      </c>
    </row>
    <row r="257" spans="12:13" ht="17.399999999999999" customHeight="1" thickBot="1" x14ac:dyDescent="0.5">
      <c r="L257" s="81" t="s">
        <v>741</v>
      </c>
      <c r="M257">
        <f>COUNTIF(Kintoneデータ抽出!$D:$D,"*"&amp;病院別実績!L257&amp;"*")</f>
        <v>0</v>
      </c>
    </row>
    <row r="258" spans="12:13" ht="17.399999999999999" customHeight="1" thickBot="1" x14ac:dyDescent="0.5">
      <c r="L258" s="80" t="s">
        <v>742</v>
      </c>
      <c r="M258">
        <f>COUNTIF(Kintoneデータ抽出!$D:$D,"*"&amp;病院別実績!L258&amp;"*")</f>
        <v>0</v>
      </c>
    </row>
    <row r="259" spans="12:13" ht="17.399999999999999" customHeight="1" thickBot="1" x14ac:dyDescent="0.5">
      <c r="L259" s="81" t="s">
        <v>743</v>
      </c>
      <c r="M259">
        <f>COUNTIF(Kintoneデータ抽出!$D:$D,"*"&amp;病院別実績!L259&amp;"*")</f>
        <v>0</v>
      </c>
    </row>
    <row r="260" spans="12:13" ht="17.399999999999999" customHeight="1" thickBot="1" x14ac:dyDescent="0.5">
      <c r="L260" s="81" t="s">
        <v>744</v>
      </c>
      <c r="M260">
        <f>COUNTIF(Kintoneデータ抽出!$D:$D,"*"&amp;病院別実績!L260&amp;"*")</f>
        <v>0</v>
      </c>
    </row>
    <row r="261" spans="12:13" ht="17.399999999999999" customHeight="1" thickBot="1" x14ac:dyDescent="0.5">
      <c r="L261" s="81" t="s">
        <v>745</v>
      </c>
      <c r="M261">
        <f>COUNTIF(Kintoneデータ抽出!$D:$D,"*"&amp;病院別実績!L261&amp;"*")</f>
        <v>0</v>
      </c>
    </row>
    <row r="262" spans="12:13" ht="17.399999999999999" customHeight="1" thickBot="1" x14ac:dyDescent="0.5">
      <c r="L262" s="80" t="s">
        <v>746</v>
      </c>
      <c r="M262">
        <f>COUNTIF(Kintoneデータ抽出!$D:$D,"*"&amp;病院別実績!L262&amp;"*")</f>
        <v>0</v>
      </c>
    </row>
    <row r="263" spans="12:13" ht="17.399999999999999" customHeight="1" thickBot="1" x14ac:dyDescent="0.5">
      <c r="L263" s="81" t="s">
        <v>747</v>
      </c>
      <c r="M263">
        <f>COUNTIF(Kintoneデータ抽出!$D:$D,"*"&amp;病院別実績!L263&amp;"*")</f>
        <v>0</v>
      </c>
    </row>
    <row r="264" spans="12:13" ht="17.399999999999999" customHeight="1" thickBot="1" x14ac:dyDescent="0.5">
      <c r="L264" s="81" t="s">
        <v>748</v>
      </c>
      <c r="M264">
        <f>COUNTIF(Kintoneデータ抽出!$D:$D,"*"&amp;病院別実績!L264&amp;"*")</f>
        <v>0</v>
      </c>
    </row>
    <row r="265" spans="12:13" ht="17.399999999999999" customHeight="1" thickBot="1" x14ac:dyDescent="0.5">
      <c r="L265" s="81" t="s">
        <v>749</v>
      </c>
      <c r="M265">
        <f>COUNTIF(Kintoneデータ抽出!$D:$D,"*"&amp;病院別実績!L265&amp;"*")</f>
        <v>0</v>
      </c>
    </row>
    <row r="266" spans="12:13" ht="17.399999999999999" customHeight="1" thickBot="1" x14ac:dyDescent="0.5">
      <c r="L266" s="81" t="s">
        <v>750</v>
      </c>
      <c r="M266">
        <f>COUNTIF(Kintoneデータ抽出!$D:$D,"*"&amp;病院別実績!L266&amp;"*")</f>
        <v>0</v>
      </c>
    </row>
    <row r="267" spans="12:13" ht="17.399999999999999" customHeight="1" thickBot="1" x14ac:dyDescent="0.5">
      <c r="L267" s="81" t="s">
        <v>751</v>
      </c>
      <c r="M267">
        <f>COUNTIF(Kintoneデータ抽出!$D:$D,"*"&amp;病院別実績!L267&amp;"*")</f>
        <v>0</v>
      </c>
    </row>
    <row r="268" spans="12:13" ht="17.399999999999999" customHeight="1" thickBot="1" x14ac:dyDescent="0.5">
      <c r="L268" s="81" t="s">
        <v>752</v>
      </c>
      <c r="M268">
        <f>COUNTIF(Kintoneデータ抽出!$D:$D,"*"&amp;病院別実績!L268&amp;"*")</f>
        <v>0</v>
      </c>
    </row>
    <row r="269" spans="12:13" ht="17.399999999999999" customHeight="1" thickBot="1" x14ac:dyDescent="0.5">
      <c r="L269" s="81" t="s">
        <v>753</v>
      </c>
      <c r="M269">
        <f>COUNTIF(Kintoneデータ抽出!$D:$D,"*"&amp;病院別実績!L269&amp;"*")</f>
        <v>0</v>
      </c>
    </row>
    <row r="270" spans="12:13" ht="17.399999999999999" customHeight="1" thickBot="1" x14ac:dyDescent="0.5">
      <c r="L270" s="81" t="s">
        <v>754</v>
      </c>
      <c r="M270">
        <f>COUNTIF(Kintoneデータ抽出!$D:$D,"*"&amp;病院別実績!L270&amp;"*")</f>
        <v>0</v>
      </c>
    </row>
    <row r="271" spans="12:13" ht="17.399999999999999" customHeight="1" thickBot="1" x14ac:dyDescent="0.5">
      <c r="L271" s="80" t="s">
        <v>755</v>
      </c>
      <c r="M271">
        <f>COUNTIF(Kintoneデータ抽出!$D:$D,"*"&amp;病院別実績!L271&amp;"*")</f>
        <v>0</v>
      </c>
    </row>
    <row r="272" spans="12:13" ht="17.399999999999999" customHeight="1" thickBot="1" x14ac:dyDescent="0.5">
      <c r="L272" s="81" t="s">
        <v>756</v>
      </c>
      <c r="M272">
        <f>COUNTIF(Kintoneデータ抽出!$D:$D,"*"&amp;病院別実績!L272&amp;"*")</f>
        <v>0</v>
      </c>
    </row>
    <row r="273" spans="12:13" ht="17.399999999999999" customHeight="1" thickBot="1" x14ac:dyDescent="0.5">
      <c r="L273" s="81" t="s">
        <v>757</v>
      </c>
      <c r="M273">
        <f>COUNTIF(Kintoneデータ抽出!$D:$D,"*"&amp;病院別実績!L273&amp;"*")</f>
        <v>0</v>
      </c>
    </row>
    <row r="274" spans="12:13" ht="17.399999999999999" customHeight="1" thickBot="1" x14ac:dyDescent="0.5">
      <c r="L274" s="81" t="s">
        <v>758</v>
      </c>
      <c r="M274">
        <f>COUNTIF(Kintoneデータ抽出!$D:$D,"*"&amp;病院別実績!L274&amp;"*")</f>
        <v>0</v>
      </c>
    </row>
    <row r="275" spans="12:13" ht="17.399999999999999" customHeight="1" thickBot="1" x14ac:dyDescent="0.5">
      <c r="L275" s="81" t="s">
        <v>759</v>
      </c>
      <c r="M275">
        <f>COUNTIF(Kintoneデータ抽出!$D:$D,"*"&amp;病院別実績!L275&amp;"*")</f>
        <v>0</v>
      </c>
    </row>
    <row r="276" spans="12:13" ht="17.399999999999999" customHeight="1" thickBot="1" x14ac:dyDescent="0.5">
      <c r="L276" s="81" t="s">
        <v>760</v>
      </c>
      <c r="M276">
        <f>COUNTIF(Kintoneデータ抽出!$D:$D,"*"&amp;病院別実績!L276&amp;"*")</f>
        <v>0</v>
      </c>
    </row>
    <row r="277" spans="12:13" ht="17.399999999999999" customHeight="1" thickBot="1" x14ac:dyDescent="0.5">
      <c r="L277" s="80" t="s">
        <v>761</v>
      </c>
      <c r="M277">
        <f>COUNTIF(Kintoneデータ抽出!$D:$D,"*"&amp;病院別実績!L277&amp;"*")</f>
        <v>0</v>
      </c>
    </row>
    <row r="278" spans="12:13" ht="17.399999999999999" customHeight="1" thickBot="1" x14ac:dyDescent="0.5">
      <c r="L278" s="80" t="s">
        <v>762</v>
      </c>
      <c r="M278">
        <f>COUNTIF(Kintoneデータ抽出!$D:$D,"*"&amp;病院別実績!L278&amp;"*")</f>
        <v>0</v>
      </c>
    </row>
    <row r="279" spans="12:13" ht="17.399999999999999" customHeight="1" thickBot="1" x14ac:dyDescent="0.5">
      <c r="L279" s="81" t="s">
        <v>763</v>
      </c>
      <c r="M279">
        <f>COUNTIF(Kintoneデータ抽出!$D:$D,"*"&amp;病院別実績!L279&amp;"*")</f>
        <v>0</v>
      </c>
    </row>
    <row r="280" spans="12:13" ht="17.399999999999999" customHeight="1" thickBot="1" x14ac:dyDescent="0.5">
      <c r="L280" s="80" t="s">
        <v>764</v>
      </c>
      <c r="M280">
        <f>COUNTIF(Kintoneデータ抽出!$D:$D,"*"&amp;病院別実績!L280&amp;"*")</f>
        <v>0</v>
      </c>
    </row>
    <row r="281" spans="12:13" ht="17.399999999999999" customHeight="1" thickBot="1" x14ac:dyDescent="0.5">
      <c r="L281" s="81" t="s">
        <v>765</v>
      </c>
      <c r="M281">
        <f>COUNTIF(Kintoneデータ抽出!$D:$D,"*"&amp;病院別実績!L281&amp;"*")</f>
        <v>0</v>
      </c>
    </row>
    <row r="282" spans="12:13" ht="17.399999999999999" customHeight="1" thickBot="1" x14ac:dyDescent="0.5">
      <c r="L282" s="80" t="s">
        <v>766</v>
      </c>
      <c r="M282">
        <f>COUNTIF(Kintoneデータ抽出!$D:$D,"*"&amp;病院別実績!L282&amp;"*")</f>
        <v>0</v>
      </c>
    </row>
    <row r="283" spans="12:13" ht="17.399999999999999" customHeight="1" thickBot="1" x14ac:dyDescent="0.5">
      <c r="L283" s="80" t="s">
        <v>767</v>
      </c>
      <c r="M283">
        <f>COUNTIF(Kintoneデータ抽出!$D:$D,"*"&amp;病院別実績!L283&amp;"*")</f>
        <v>0</v>
      </c>
    </row>
    <row r="284" spans="12:13" ht="17.399999999999999" customHeight="1" thickBot="1" x14ac:dyDescent="0.5">
      <c r="L284" s="80" t="s">
        <v>768</v>
      </c>
      <c r="M284">
        <f>COUNTIF(Kintoneデータ抽出!$D:$D,"*"&amp;病院別実績!L284&amp;"*")</f>
        <v>0</v>
      </c>
    </row>
    <row r="285" spans="12:13" ht="17.399999999999999" customHeight="1" thickBot="1" x14ac:dyDescent="0.5">
      <c r="L285" s="81" t="s">
        <v>769</v>
      </c>
      <c r="M285">
        <f>COUNTIF(Kintoneデータ抽出!$D:$D,"*"&amp;病院別実績!L285&amp;"*")</f>
        <v>0</v>
      </c>
    </row>
    <row r="286" spans="12:13" ht="17.399999999999999" customHeight="1" thickBot="1" x14ac:dyDescent="0.5">
      <c r="L286" s="81" t="s">
        <v>770</v>
      </c>
      <c r="M286">
        <f>COUNTIF(Kintoneデータ抽出!$D:$D,"*"&amp;病院別実績!L286&amp;"*")</f>
        <v>0</v>
      </c>
    </row>
    <row r="287" spans="12:13" ht="17.399999999999999" customHeight="1" thickBot="1" x14ac:dyDescent="0.5">
      <c r="L287" s="80" t="s">
        <v>771</v>
      </c>
      <c r="M287">
        <f>COUNTIF(Kintoneデータ抽出!$D:$D,"*"&amp;病院別実績!L287&amp;"*")</f>
        <v>0</v>
      </c>
    </row>
    <row r="288" spans="12:13" ht="17.399999999999999" customHeight="1" thickBot="1" x14ac:dyDescent="0.5">
      <c r="L288" s="81" t="s">
        <v>772</v>
      </c>
      <c r="M288">
        <f>COUNTIF(Kintoneデータ抽出!$D:$D,"*"&amp;病院別実績!L288&amp;"*")</f>
        <v>0</v>
      </c>
    </row>
    <row r="289" spans="12:13" ht="17.399999999999999" customHeight="1" thickBot="1" x14ac:dyDescent="0.5">
      <c r="L289" s="80" t="s">
        <v>773</v>
      </c>
      <c r="M289">
        <f>COUNTIF(Kintoneデータ抽出!$D:$D,"*"&amp;病院別実績!L289&amp;"*")</f>
        <v>0</v>
      </c>
    </row>
    <row r="290" spans="12:13" ht="17.399999999999999" customHeight="1" thickBot="1" x14ac:dyDescent="0.5">
      <c r="L290" s="80" t="s">
        <v>774</v>
      </c>
      <c r="M290">
        <f>COUNTIF(Kintoneデータ抽出!$D:$D,"*"&amp;病院別実績!L290&amp;"*")</f>
        <v>0</v>
      </c>
    </row>
    <row r="291" spans="12:13" ht="17.399999999999999" customHeight="1" thickBot="1" x14ac:dyDescent="0.5">
      <c r="L291" s="81" t="s">
        <v>775</v>
      </c>
      <c r="M291">
        <f>COUNTIF(Kintoneデータ抽出!$D:$D,"*"&amp;病院別実績!L291&amp;"*")</f>
        <v>0</v>
      </c>
    </row>
    <row r="292" spans="12:13" ht="17.399999999999999" customHeight="1" thickBot="1" x14ac:dyDescent="0.5">
      <c r="L292" s="81" t="s">
        <v>776</v>
      </c>
      <c r="M292">
        <f>COUNTIF(Kintoneデータ抽出!$D:$D,"*"&amp;病院別実績!L292&amp;"*")</f>
        <v>0</v>
      </c>
    </row>
    <row r="293" spans="12:13" ht="17.399999999999999" customHeight="1" thickBot="1" x14ac:dyDescent="0.5">
      <c r="L293" s="80" t="s">
        <v>777</v>
      </c>
      <c r="M293">
        <f>COUNTIF(Kintoneデータ抽出!$D:$D,"*"&amp;病院別実績!L293&amp;"*")</f>
        <v>0</v>
      </c>
    </row>
    <row r="294" spans="12:13" ht="17.399999999999999" customHeight="1" thickBot="1" x14ac:dyDescent="0.5">
      <c r="L294" s="80" t="s">
        <v>778</v>
      </c>
      <c r="M294">
        <f>COUNTIF(Kintoneデータ抽出!$D:$D,"*"&amp;病院別実績!L294&amp;"*")</f>
        <v>0</v>
      </c>
    </row>
    <row r="295" spans="12:13" ht="17.399999999999999" customHeight="1" thickBot="1" x14ac:dyDescent="0.5">
      <c r="L295" s="80" t="s">
        <v>779</v>
      </c>
      <c r="M295">
        <f>COUNTIF(Kintoneデータ抽出!$D:$D,"*"&amp;病院別実績!L295&amp;"*")</f>
        <v>0</v>
      </c>
    </row>
    <row r="296" spans="12:13" ht="17.399999999999999" customHeight="1" thickBot="1" x14ac:dyDescent="0.5">
      <c r="L296" s="80" t="s">
        <v>780</v>
      </c>
      <c r="M296">
        <f>COUNTIF(Kintoneデータ抽出!$D:$D,"*"&amp;病院別実績!L296&amp;"*")</f>
        <v>0</v>
      </c>
    </row>
    <row r="297" spans="12:13" ht="17.399999999999999" customHeight="1" thickBot="1" x14ac:dyDescent="0.5">
      <c r="L297" s="81" t="s">
        <v>781</v>
      </c>
      <c r="M297">
        <f>COUNTIF(Kintoneデータ抽出!$D:$D,"*"&amp;病院別実績!L297&amp;"*")</f>
        <v>0</v>
      </c>
    </row>
    <row r="298" spans="12:13" ht="17.399999999999999" customHeight="1" thickBot="1" x14ac:dyDescent="0.5">
      <c r="L298" s="80" t="s">
        <v>782</v>
      </c>
      <c r="M298">
        <f>COUNTIF(Kintoneデータ抽出!$D:$D,"*"&amp;病院別実績!L298&amp;"*")</f>
        <v>0</v>
      </c>
    </row>
    <row r="299" spans="12:13" ht="17.399999999999999" customHeight="1" thickBot="1" x14ac:dyDescent="0.5">
      <c r="L299" s="81" t="s">
        <v>783</v>
      </c>
      <c r="M299">
        <f>COUNTIF(Kintoneデータ抽出!$D:$D,"*"&amp;病院別実績!L299&amp;"*")</f>
        <v>0</v>
      </c>
    </row>
    <row r="300" spans="12:13" ht="17.399999999999999" customHeight="1" thickBot="1" x14ac:dyDescent="0.5">
      <c r="L300" s="80" t="s">
        <v>784</v>
      </c>
      <c r="M300">
        <f>COUNTIF(Kintoneデータ抽出!$D:$D,"*"&amp;病院別実績!L300&amp;"*")</f>
        <v>0</v>
      </c>
    </row>
    <row r="301" spans="12:13" ht="17.399999999999999" customHeight="1" thickBot="1" x14ac:dyDescent="0.5">
      <c r="L301" s="81" t="s">
        <v>785</v>
      </c>
      <c r="M301">
        <f>COUNTIF(Kintoneデータ抽出!$D:$D,"*"&amp;病院別実績!L301&amp;"*")</f>
        <v>0</v>
      </c>
    </row>
    <row r="302" spans="12:13" ht="17.399999999999999" customHeight="1" thickBot="1" x14ac:dyDescent="0.5">
      <c r="L302" s="81" t="s">
        <v>786</v>
      </c>
      <c r="M302">
        <f>COUNTIF(Kintoneデータ抽出!$D:$D,"*"&amp;病院別実績!L302&amp;"*")</f>
        <v>0</v>
      </c>
    </row>
    <row r="303" spans="12:13" ht="17.399999999999999" customHeight="1" thickBot="1" x14ac:dyDescent="0.5">
      <c r="L303" s="81" t="s">
        <v>787</v>
      </c>
      <c r="M303">
        <f>COUNTIF(Kintoneデータ抽出!$D:$D,"*"&amp;病院別実績!L303&amp;"*")</f>
        <v>0</v>
      </c>
    </row>
    <row r="304" spans="12:13" ht="17.399999999999999" customHeight="1" thickBot="1" x14ac:dyDescent="0.5">
      <c r="L304" s="80" t="s">
        <v>788</v>
      </c>
      <c r="M304">
        <f>COUNTIF(Kintoneデータ抽出!$D:$D,"*"&amp;病院別実績!L304&amp;"*")</f>
        <v>0</v>
      </c>
    </row>
    <row r="305" spans="12:13" ht="17.399999999999999" customHeight="1" thickBot="1" x14ac:dyDescent="0.5">
      <c r="L305" s="81" t="s">
        <v>789</v>
      </c>
      <c r="M305">
        <f>COUNTIF(Kintoneデータ抽出!$D:$D,"*"&amp;病院別実績!L305&amp;"*")</f>
        <v>0</v>
      </c>
    </row>
    <row r="306" spans="12:13" ht="17.399999999999999" customHeight="1" thickBot="1" x14ac:dyDescent="0.5">
      <c r="L306" s="81" t="s">
        <v>790</v>
      </c>
      <c r="M306">
        <f>COUNTIF(Kintoneデータ抽出!$D:$D,"*"&amp;病院別実績!L306&amp;"*")</f>
        <v>0</v>
      </c>
    </row>
    <row r="307" spans="12:13" ht="17.399999999999999" customHeight="1" thickBot="1" x14ac:dyDescent="0.5">
      <c r="L307" s="81" t="s">
        <v>791</v>
      </c>
      <c r="M307">
        <f>COUNTIF(Kintoneデータ抽出!$D:$D,"*"&amp;病院別実績!L307&amp;"*")</f>
        <v>0</v>
      </c>
    </row>
    <row r="308" spans="12:13" ht="17.399999999999999" customHeight="1" thickBot="1" x14ac:dyDescent="0.5">
      <c r="L308" s="81" t="s">
        <v>792</v>
      </c>
      <c r="M308">
        <f>COUNTIF(Kintoneデータ抽出!$D:$D,"*"&amp;病院別実績!L308&amp;"*")</f>
        <v>0</v>
      </c>
    </row>
    <row r="309" spans="12:13" ht="17.399999999999999" customHeight="1" thickBot="1" x14ac:dyDescent="0.5">
      <c r="L309" s="80" t="s">
        <v>793</v>
      </c>
      <c r="M309">
        <f>COUNTIF(Kintoneデータ抽出!$D:$D,"*"&amp;病院別実績!L309&amp;"*")</f>
        <v>0</v>
      </c>
    </row>
    <row r="310" spans="12:13" ht="17.399999999999999" customHeight="1" thickBot="1" x14ac:dyDescent="0.5">
      <c r="L310" s="80" t="s">
        <v>794</v>
      </c>
      <c r="M310">
        <f>COUNTIF(Kintoneデータ抽出!$D:$D,"*"&amp;病院別実績!L310&amp;"*")</f>
        <v>0</v>
      </c>
    </row>
    <row r="311" spans="12:13" ht="17.399999999999999" customHeight="1" thickBot="1" x14ac:dyDescent="0.5">
      <c r="L311" s="80" t="s">
        <v>795</v>
      </c>
      <c r="M311">
        <f>COUNTIF(Kintoneデータ抽出!$D:$D,"*"&amp;病院別実績!L311&amp;"*")</f>
        <v>0</v>
      </c>
    </row>
    <row r="312" spans="12:13" ht="17.399999999999999" customHeight="1" thickBot="1" x14ac:dyDescent="0.5">
      <c r="L312" s="81" t="s">
        <v>796</v>
      </c>
      <c r="M312">
        <f>COUNTIF(Kintoneデータ抽出!$D:$D,"*"&amp;病院別実績!L312&amp;"*")</f>
        <v>0</v>
      </c>
    </row>
    <row r="313" spans="12:13" ht="17.399999999999999" customHeight="1" thickBot="1" x14ac:dyDescent="0.5">
      <c r="L313" s="81" t="s">
        <v>797</v>
      </c>
      <c r="M313">
        <f>COUNTIF(Kintoneデータ抽出!$D:$D,"*"&amp;病院別実績!L313&amp;"*")</f>
        <v>0</v>
      </c>
    </row>
    <row r="314" spans="12:13" ht="17.399999999999999" customHeight="1" thickBot="1" x14ac:dyDescent="0.5">
      <c r="L314" s="81" t="s">
        <v>798</v>
      </c>
      <c r="M314">
        <f>COUNTIF(Kintoneデータ抽出!$D:$D,"*"&amp;病院別実績!L314&amp;"*")</f>
        <v>0</v>
      </c>
    </row>
    <row r="315" spans="12:13" ht="17.399999999999999" customHeight="1" thickBot="1" x14ac:dyDescent="0.5">
      <c r="L315" s="81" t="s">
        <v>799</v>
      </c>
      <c r="M315">
        <f>COUNTIF(Kintoneデータ抽出!$D:$D,"*"&amp;病院別実績!L315&amp;"*")</f>
        <v>0</v>
      </c>
    </row>
    <row r="316" spans="12:13" ht="17.399999999999999" customHeight="1" thickBot="1" x14ac:dyDescent="0.5">
      <c r="L316" s="81" t="s">
        <v>800</v>
      </c>
      <c r="M316">
        <f>COUNTIF(Kintoneデータ抽出!$D:$D,"*"&amp;病院別実績!L316&amp;"*")</f>
        <v>0</v>
      </c>
    </row>
    <row r="317" spans="12:13" ht="17.399999999999999" customHeight="1" thickBot="1" x14ac:dyDescent="0.5">
      <c r="L317" s="81" t="s">
        <v>801</v>
      </c>
      <c r="M317">
        <f>COUNTIF(Kintoneデータ抽出!$D:$D,"*"&amp;病院別実績!L317&amp;"*")</f>
        <v>0</v>
      </c>
    </row>
    <row r="318" spans="12:13" ht="17.399999999999999" customHeight="1" thickBot="1" x14ac:dyDescent="0.5">
      <c r="L318" s="81" t="s">
        <v>802</v>
      </c>
      <c r="M318">
        <f>COUNTIF(Kintoneデータ抽出!$D:$D,"*"&amp;病院別実績!L318&amp;"*")</f>
        <v>0</v>
      </c>
    </row>
    <row r="319" spans="12:13" ht="17.399999999999999" customHeight="1" thickBot="1" x14ac:dyDescent="0.5">
      <c r="L319" s="81" t="s">
        <v>803</v>
      </c>
      <c r="M319">
        <f>COUNTIF(Kintoneデータ抽出!$D:$D,"*"&amp;病院別実績!L319&amp;"*")</f>
        <v>0</v>
      </c>
    </row>
    <row r="320" spans="12:13" ht="17.399999999999999" customHeight="1" thickBot="1" x14ac:dyDescent="0.5">
      <c r="L320" s="81" t="s">
        <v>804</v>
      </c>
      <c r="M320">
        <f>COUNTIF(Kintoneデータ抽出!$D:$D,"*"&amp;病院別実績!L320&amp;"*")</f>
        <v>0</v>
      </c>
    </row>
    <row r="321" spans="12:13" ht="17.399999999999999" customHeight="1" thickBot="1" x14ac:dyDescent="0.5">
      <c r="L321" s="81" t="s">
        <v>805</v>
      </c>
      <c r="M321">
        <f>COUNTIF(Kintoneデータ抽出!$D:$D,"*"&amp;病院別実績!L321&amp;"*")</f>
        <v>0</v>
      </c>
    </row>
    <row r="322" spans="12:13" ht="17.399999999999999" customHeight="1" thickBot="1" x14ac:dyDescent="0.5">
      <c r="L322" s="80" t="s">
        <v>806</v>
      </c>
      <c r="M322">
        <f>COUNTIF(Kintoneデータ抽出!$D:$D,"*"&amp;病院別実績!L322&amp;"*")</f>
        <v>0</v>
      </c>
    </row>
    <row r="323" spans="12:13" ht="17.399999999999999" customHeight="1" thickBot="1" x14ac:dyDescent="0.5">
      <c r="L323" s="81" t="s">
        <v>807</v>
      </c>
      <c r="M323">
        <f>COUNTIF(Kintoneデータ抽出!$D:$D,"*"&amp;病院別実績!L323&amp;"*")</f>
        <v>0</v>
      </c>
    </row>
    <row r="324" spans="12:13" ht="17.399999999999999" customHeight="1" thickBot="1" x14ac:dyDescent="0.5">
      <c r="L324" s="81" t="s">
        <v>808</v>
      </c>
      <c r="M324">
        <f>COUNTIF(Kintoneデータ抽出!$D:$D,"*"&amp;病院別実績!L324&amp;"*")</f>
        <v>0</v>
      </c>
    </row>
    <row r="325" spans="12:13" ht="17.399999999999999" customHeight="1" thickBot="1" x14ac:dyDescent="0.5">
      <c r="L325" s="81" t="s">
        <v>809</v>
      </c>
      <c r="M325">
        <f>COUNTIF(Kintoneデータ抽出!$D:$D,"*"&amp;病院別実績!L325&amp;"*")</f>
        <v>0</v>
      </c>
    </row>
    <row r="326" spans="12:13" ht="17.399999999999999" customHeight="1" thickBot="1" x14ac:dyDescent="0.5">
      <c r="L326" s="80" t="s">
        <v>810</v>
      </c>
      <c r="M326">
        <f>COUNTIF(Kintoneデータ抽出!$D:$D,"*"&amp;病院別実績!L326&amp;"*")</f>
        <v>0</v>
      </c>
    </row>
    <row r="327" spans="12:13" ht="17.399999999999999" customHeight="1" thickBot="1" x14ac:dyDescent="0.5">
      <c r="L327" s="81" t="s">
        <v>811</v>
      </c>
      <c r="M327">
        <f>COUNTIF(Kintoneデータ抽出!$D:$D,"*"&amp;病院別実績!L327&amp;"*")</f>
        <v>0</v>
      </c>
    </row>
    <row r="328" spans="12:13" ht="17.399999999999999" customHeight="1" thickBot="1" x14ac:dyDescent="0.5">
      <c r="L328" s="81" t="s">
        <v>812</v>
      </c>
      <c r="M328">
        <f>COUNTIF(Kintoneデータ抽出!$D:$D,"*"&amp;病院別実績!L328&amp;"*")</f>
        <v>0</v>
      </c>
    </row>
    <row r="329" spans="12:13" ht="17.399999999999999" customHeight="1" thickBot="1" x14ac:dyDescent="0.5">
      <c r="L329" s="81" t="s">
        <v>813</v>
      </c>
      <c r="M329">
        <f>COUNTIF(Kintoneデータ抽出!$D:$D,"*"&amp;病院別実績!L329&amp;"*")</f>
        <v>0</v>
      </c>
    </row>
    <row r="330" spans="12:13" ht="17.399999999999999" customHeight="1" thickBot="1" x14ac:dyDescent="0.5">
      <c r="L330" s="81" t="s">
        <v>814</v>
      </c>
      <c r="M330">
        <f>COUNTIF(Kintoneデータ抽出!$D:$D,"*"&amp;病院別実績!L330&amp;"*")</f>
        <v>0</v>
      </c>
    </row>
    <row r="331" spans="12:13" ht="17.399999999999999" customHeight="1" thickBot="1" x14ac:dyDescent="0.5">
      <c r="L331" s="81" t="s">
        <v>815</v>
      </c>
      <c r="M331">
        <f>COUNTIF(Kintoneデータ抽出!$D:$D,"*"&amp;病院別実績!L331&amp;"*")</f>
        <v>0</v>
      </c>
    </row>
    <row r="332" spans="12:13" ht="17.399999999999999" customHeight="1" thickBot="1" x14ac:dyDescent="0.5">
      <c r="L332" s="81" t="s">
        <v>816</v>
      </c>
      <c r="M332">
        <f>COUNTIF(Kintoneデータ抽出!$D:$D,"*"&amp;病院別実績!L332&amp;"*")</f>
        <v>0</v>
      </c>
    </row>
    <row r="333" spans="12:13" ht="17.399999999999999" customHeight="1" thickBot="1" x14ac:dyDescent="0.5">
      <c r="L333" s="81" t="s">
        <v>817</v>
      </c>
      <c r="M333">
        <f>COUNTIF(Kintoneデータ抽出!$D:$D,"*"&amp;病院別実績!L333&amp;"*")</f>
        <v>0</v>
      </c>
    </row>
    <row r="334" spans="12:13" ht="17.399999999999999" customHeight="1" thickBot="1" x14ac:dyDescent="0.5">
      <c r="L334" s="80" t="s">
        <v>818</v>
      </c>
      <c r="M334">
        <f>COUNTIF(Kintoneデータ抽出!$D:$D,"*"&amp;病院別実績!L334&amp;"*")</f>
        <v>0</v>
      </c>
    </row>
    <row r="335" spans="12:13" ht="17.399999999999999" customHeight="1" thickBot="1" x14ac:dyDescent="0.5">
      <c r="L335" s="81" t="s">
        <v>819</v>
      </c>
      <c r="M335">
        <f>COUNTIF(Kintoneデータ抽出!$D:$D,"*"&amp;病院別実績!L335&amp;"*")</f>
        <v>0</v>
      </c>
    </row>
    <row r="336" spans="12:13" ht="17.399999999999999" customHeight="1" thickBot="1" x14ac:dyDescent="0.5">
      <c r="L336" s="81" t="s">
        <v>820</v>
      </c>
      <c r="M336">
        <f>COUNTIF(Kintoneデータ抽出!$D:$D,"*"&amp;病院別実績!L336&amp;"*")</f>
        <v>0</v>
      </c>
    </row>
    <row r="337" spans="12:13" ht="17.399999999999999" customHeight="1" thickBot="1" x14ac:dyDescent="0.5">
      <c r="L337" s="81" t="s">
        <v>821</v>
      </c>
      <c r="M337">
        <f>COUNTIF(Kintoneデータ抽出!$D:$D,"*"&amp;病院別実績!L337&amp;"*")</f>
        <v>0</v>
      </c>
    </row>
    <row r="338" spans="12:13" ht="17.399999999999999" customHeight="1" thickBot="1" x14ac:dyDescent="0.5">
      <c r="L338" s="81" t="s">
        <v>822</v>
      </c>
      <c r="M338">
        <f>COUNTIF(Kintoneデータ抽出!$D:$D,"*"&amp;病院別実績!L338&amp;"*")</f>
        <v>0</v>
      </c>
    </row>
    <row r="339" spans="12:13" ht="17.399999999999999" customHeight="1" thickBot="1" x14ac:dyDescent="0.5">
      <c r="L339" s="81" t="s">
        <v>823</v>
      </c>
      <c r="M339">
        <f>COUNTIF(Kintoneデータ抽出!$D:$D,"*"&amp;病院別実績!L339&amp;"*")</f>
        <v>0</v>
      </c>
    </row>
    <row r="340" spans="12:13" ht="17.399999999999999" customHeight="1" thickBot="1" x14ac:dyDescent="0.5">
      <c r="L340" s="81" t="s">
        <v>824</v>
      </c>
      <c r="M340">
        <f>COUNTIF(Kintoneデータ抽出!$D:$D,"*"&amp;病院別実績!L340&amp;"*")</f>
        <v>0</v>
      </c>
    </row>
    <row r="341" spans="12:13" ht="17.399999999999999" customHeight="1" thickBot="1" x14ac:dyDescent="0.5">
      <c r="L341" s="81" t="s">
        <v>825</v>
      </c>
      <c r="M341">
        <f>COUNTIF(Kintoneデータ抽出!$D:$D,"*"&amp;病院別実績!L341&amp;"*")</f>
        <v>0</v>
      </c>
    </row>
    <row r="342" spans="12:13" ht="17.399999999999999" customHeight="1" thickBot="1" x14ac:dyDescent="0.5">
      <c r="L342" s="80" t="s">
        <v>826</v>
      </c>
      <c r="M342">
        <f>COUNTIF(Kintoneデータ抽出!$D:$D,"*"&amp;病院別実績!L342&amp;"*")</f>
        <v>0</v>
      </c>
    </row>
    <row r="343" spans="12:13" ht="17.399999999999999" customHeight="1" thickBot="1" x14ac:dyDescent="0.5">
      <c r="L343" s="81" t="s">
        <v>827</v>
      </c>
      <c r="M343">
        <f>COUNTIF(Kintoneデータ抽出!$D:$D,"*"&amp;病院別実績!L343&amp;"*")</f>
        <v>0</v>
      </c>
    </row>
    <row r="344" spans="12:13" ht="17.399999999999999" customHeight="1" thickBot="1" x14ac:dyDescent="0.5">
      <c r="L344" s="81" t="s">
        <v>828</v>
      </c>
      <c r="M344">
        <f>COUNTIF(Kintoneデータ抽出!$D:$D,"*"&amp;病院別実績!L344&amp;"*")</f>
        <v>0</v>
      </c>
    </row>
    <row r="345" spans="12:13" ht="17.399999999999999" customHeight="1" thickBot="1" x14ac:dyDescent="0.5">
      <c r="L345" s="80" t="s">
        <v>829</v>
      </c>
      <c r="M345">
        <f>COUNTIF(Kintoneデータ抽出!$D:$D,"*"&amp;病院別実績!L345&amp;"*")</f>
        <v>0</v>
      </c>
    </row>
    <row r="346" spans="12:13" ht="17.399999999999999" customHeight="1" thickBot="1" x14ac:dyDescent="0.5">
      <c r="L346" s="81" t="s">
        <v>830</v>
      </c>
      <c r="M346">
        <f>COUNTIF(Kintoneデータ抽出!$D:$D,"*"&amp;病院別実績!L346&amp;"*")</f>
        <v>0</v>
      </c>
    </row>
    <row r="347" spans="12:13" ht="17.399999999999999" customHeight="1" thickBot="1" x14ac:dyDescent="0.5">
      <c r="L347" s="80" t="s">
        <v>831</v>
      </c>
      <c r="M347">
        <f>COUNTIF(Kintoneデータ抽出!$D:$D,"*"&amp;病院別実績!L347&amp;"*")</f>
        <v>0</v>
      </c>
    </row>
    <row r="348" spans="12:13" ht="17.399999999999999" customHeight="1" thickBot="1" x14ac:dyDescent="0.5">
      <c r="L348" s="81" t="s">
        <v>832</v>
      </c>
      <c r="M348">
        <f>COUNTIF(Kintoneデータ抽出!$D:$D,"*"&amp;病院別実績!L348&amp;"*")</f>
        <v>0</v>
      </c>
    </row>
    <row r="349" spans="12:13" ht="17.399999999999999" customHeight="1" thickBot="1" x14ac:dyDescent="0.5">
      <c r="L349" s="81" t="s">
        <v>833</v>
      </c>
      <c r="M349">
        <f>COUNTIF(Kintoneデータ抽出!$D:$D,"*"&amp;病院別実績!L349&amp;"*")</f>
        <v>0</v>
      </c>
    </row>
    <row r="350" spans="12:13" ht="17.399999999999999" customHeight="1" thickBot="1" x14ac:dyDescent="0.5">
      <c r="L350" s="80" t="s">
        <v>834</v>
      </c>
      <c r="M350">
        <f>COUNTIF(Kintoneデータ抽出!$D:$D,"*"&amp;病院別実績!L350&amp;"*")</f>
        <v>0</v>
      </c>
    </row>
    <row r="351" spans="12:13" ht="17.399999999999999" customHeight="1" thickBot="1" x14ac:dyDescent="0.5">
      <c r="L351" s="81" t="s">
        <v>835</v>
      </c>
      <c r="M351">
        <f>COUNTIF(Kintoneデータ抽出!$D:$D,"*"&amp;病院別実績!L351&amp;"*")</f>
        <v>0</v>
      </c>
    </row>
    <row r="352" spans="12:13" ht="17.399999999999999" customHeight="1" thickBot="1" x14ac:dyDescent="0.5">
      <c r="L352" s="81" t="s">
        <v>836</v>
      </c>
      <c r="M352">
        <f>COUNTIF(Kintoneデータ抽出!$D:$D,"*"&amp;病院別実績!L352&amp;"*")</f>
        <v>0</v>
      </c>
    </row>
    <row r="353" spans="12:13" ht="17.399999999999999" customHeight="1" thickBot="1" x14ac:dyDescent="0.5">
      <c r="L353" s="80" t="s">
        <v>837</v>
      </c>
      <c r="M353">
        <f>COUNTIF(Kintoneデータ抽出!$D:$D,"*"&amp;病院別実績!L353&amp;"*")</f>
        <v>0</v>
      </c>
    </row>
    <row r="354" spans="12:13" ht="17.399999999999999" customHeight="1" thickBot="1" x14ac:dyDescent="0.5">
      <c r="L354" s="81" t="s">
        <v>838</v>
      </c>
      <c r="M354">
        <f>COUNTIF(Kintoneデータ抽出!$D:$D,"*"&amp;病院別実績!L354&amp;"*")</f>
        <v>0</v>
      </c>
    </row>
    <row r="355" spans="12:13" ht="17.399999999999999" customHeight="1" thickBot="1" x14ac:dyDescent="0.5">
      <c r="L355" s="81" t="s">
        <v>839</v>
      </c>
      <c r="M355">
        <f>COUNTIF(Kintoneデータ抽出!$D:$D,"*"&amp;病院別実績!L355&amp;"*")</f>
        <v>0</v>
      </c>
    </row>
    <row r="356" spans="12:13" ht="17.399999999999999" customHeight="1" thickBot="1" x14ac:dyDescent="0.5">
      <c r="L356" s="81" t="s">
        <v>840</v>
      </c>
      <c r="M356">
        <f>COUNTIF(Kintoneデータ抽出!$D:$D,"*"&amp;病院別実績!L356&amp;"*")</f>
        <v>0</v>
      </c>
    </row>
    <row r="357" spans="12:13" ht="17.399999999999999" customHeight="1" thickBot="1" x14ac:dyDescent="0.5">
      <c r="L357" s="81" t="s">
        <v>841</v>
      </c>
      <c r="M357">
        <f>COUNTIF(Kintoneデータ抽出!$D:$D,"*"&amp;病院別実績!L357&amp;"*")</f>
        <v>0</v>
      </c>
    </row>
    <row r="358" spans="12:13" ht="17.399999999999999" customHeight="1" thickBot="1" x14ac:dyDescent="0.5">
      <c r="L358" s="81" t="s">
        <v>842</v>
      </c>
      <c r="M358">
        <f>COUNTIF(Kintoneデータ抽出!$D:$D,"*"&amp;病院別実績!L358&amp;"*")</f>
        <v>0</v>
      </c>
    </row>
    <row r="359" spans="12:13" ht="17.399999999999999" customHeight="1" thickBot="1" x14ac:dyDescent="0.5">
      <c r="L359" s="81" t="s">
        <v>843</v>
      </c>
      <c r="M359">
        <f>COUNTIF(Kintoneデータ抽出!$D:$D,"*"&amp;病院別実績!L359&amp;"*")</f>
        <v>0</v>
      </c>
    </row>
    <row r="360" spans="12:13" ht="17.399999999999999" customHeight="1" thickBot="1" x14ac:dyDescent="0.5">
      <c r="L360" s="81" t="s">
        <v>844</v>
      </c>
      <c r="M360">
        <f>COUNTIF(Kintoneデータ抽出!$D:$D,"*"&amp;病院別実績!L360&amp;"*")</f>
        <v>0</v>
      </c>
    </row>
    <row r="361" spans="12:13" ht="17.399999999999999" customHeight="1" thickBot="1" x14ac:dyDescent="0.5">
      <c r="L361" s="81" t="s">
        <v>845</v>
      </c>
      <c r="M361">
        <f>COUNTIF(Kintoneデータ抽出!$D:$D,"*"&amp;病院別実績!L361&amp;"*")</f>
        <v>0</v>
      </c>
    </row>
    <row r="362" spans="12:13" ht="17.399999999999999" customHeight="1" thickBot="1" x14ac:dyDescent="0.5">
      <c r="L362" s="81" t="s">
        <v>846</v>
      </c>
      <c r="M362">
        <f>COUNTIF(Kintoneデータ抽出!$D:$D,"*"&amp;病院別実績!L362&amp;"*")</f>
        <v>0</v>
      </c>
    </row>
    <row r="363" spans="12:13" ht="17.399999999999999" customHeight="1" thickBot="1" x14ac:dyDescent="0.5">
      <c r="L363" s="81" t="s">
        <v>847</v>
      </c>
      <c r="M363">
        <f>COUNTIF(Kintoneデータ抽出!$D:$D,"*"&amp;病院別実績!L363&amp;"*")</f>
        <v>0</v>
      </c>
    </row>
    <row r="364" spans="12:13" ht="17.399999999999999" customHeight="1" thickBot="1" x14ac:dyDescent="0.5">
      <c r="L364" s="81" t="s">
        <v>848</v>
      </c>
      <c r="M364">
        <f>COUNTIF(Kintoneデータ抽出!$D:$D,"*"&amp;病院別実績!L364&amp;"*")</f>
        <v>0</v>
      </c>
    </row>
    <row r="365" spans="12:13" ht="17.399999999999999" customHeight="1" thickBot="1" x14ac:dyDescent="0.5">
      <c r="L365" s="81" t="s">
        <v>849</v>
      </c>
      <c r="M365">
        <f>COUNTIF(Kintoneデータ抽出!$D:$D,"*"&amp;病院別実績!L365&amp;"*")</f>
        <v>0</v>
      </c>
    </row>
    <row r="366" spans="12:13" ht="17.399999999999999" customHeight="1" thickBot="1" x14ac:dyDescent="0.5">
      <c r="L366" s="81" t="s">
        <v>850</v>
      </c>
      <c r="M366">
        <f>COUNTIF(Kintoneデータ抽出!$D:$D,"*"&amp;病院別実績!L366&amp;"*")</f>
        <v>0</v>
      </c>
    </row>
    <row r="367" spans="12:13" ht="17.399999999999999" customHeight="1" thickBot="1" x14ac:dyDescent="0.5">
      <c r="L367" s="81" t="s">
        <v>851</v>
      </c>
      <c r="M367">
        <f>COUNTIF(Kintoneデータ抽出!$D:$D,"*"&amp;病院別実績!L367&amp;"*")</f>
        <v>0</v>
      </c>
    </row>
    <row r="368" spans="12:13" ht="17.399999999999999" customHeight="1" thickBot="1" x14ac:dyDescent="0.5">
      <c r="L368" s="81" t="s">
        <v>852</v>
      </c>
      <c r="M368">
        <f>COUNTIF(Kintoneデータ抽出!$D:$D,"*"&amp;病院別実績!L368&amp;"*")</f>
        <v>0</v>
      </c>
    </row>
    <row r="369" spans="12:13" ht="17.399999999999999" customHeight="1" thickBot="1" x14ac:dyDescent="0.5">
      <c r="L369" s="81" t="s">
        <v>853</v>
      </c>
      <c r="M369">
        <f>COUNTIF(Kintoneデータ抽出!$D:$D,"*"&amp;病院別実績!L369&amp;"*")</f>
        <v>0</v>
      </c>
    </row>
    <row r="370" spans="12:13" ht="17.399999999999999" customHeight="1" thickBot="1" x14ac:dyDescent="0.5">
      <c r="L370" s="81" t="s">
        <v>854</v>
      </c>
      <c r="M370">
        <f>COUNTIF(Kintoneデータ抽出!$D:$D,"*"&amp;病院別実績!L370&amp;"*")</f>
        <v>0</v>
      </c>
    </row>
    <row r="371" spans="12:13" ht="17.399999999999999" customHeight="1" thickBot="1" x14ac:dyDescent="0.5">
      <c r="L371" s="81" t="s">
        <v>855</v>
      </c>
      <c r="M371">
        <f>COUNTIF(Kintoneデータ抽出!$D:$D,"*"&amp;病院別実績!L371&amp;"*")</f>
        <v>0</v>
      </c>
    </row>
    <row r="372" spans="12:13" ht="17.399999999999999" customHeight="1" thickBot="1" x14ac:dyDescent="0.5">
      <c r="L372" s="81" t="s">
        <v>856</v>
      </c>
      <c r="M372">
        <f>COUNTIF(Kintoneデータ抽出!$D:$D,"*"&amp;病院別実績!L372&amp;"*")</f>
        <v>0</v>
      </c>
    </row>
    <row r="373" spans="12:13" ht="17.399999999999999" customHeight="1" thickBot="1" x14ac:dyDescent="0.5">
      <c r="L373" s="81" t="s">
        <v>857</v>
      </c>
      <c r="M373">
        <f>COUNTIF(Kintoneデータ抽出!$D:$D,"*"&amp;病院別実績!L373&amp;"*")</f>
        <v>0</v>
      </c>
    </row>
    <row r="374" spans="12:13" ht="17.399999999999999" customHeight="1" thickBot="1" x14ac:dyDescent="0.5">
      <c r="L374" s="81" t="s">
        <v>858</v>
      </c>
      <c r="M374">
        <f>COUNTIF(Kintoneデータ抽出!$D:$D,"*"&amp;病院別実績!L374&amp;"*")</f>
        <v>0</v>
      </c>
    </row>
    <row r="375" spans="12:13" ht="17.399999999999999" customHeight="1" thickBot="1" x14ac:dyDescent="0.5">
      <c r="L375" s="80" t="s">
        <v>859</v>
      </c>
      <c r="M375">
        <f>COUNTIF(Kintoneデータ抽出!$D:$D,"*"&amp;病院別実績!L375&amp;"*")</f>
        <v>0</v>
      </c>
    </row>
    <row r="376" spans="12:13" ht="17.399999999999999" customHeight="1" thickBot="1" x14ac:dyDescent="0.5">
      <c r="L376" s="81" t="s">
        <v>860</v>
      </c>
      <c r="M376">
        <f>COUNTIF(Kintoneデータ抽出!$D:$D,"*"&amp;病院別実績!L376&amp;"*")</f>
        <v>0</v>
      </c>
    </row>
    <row r="377" spans="12:13" ht="17.399999999999999" customHeight="1" thickBot="1" x14ac:dyDescent="0.5">
      <c r="L377" s="81" t="s">
        <v>861</v>
      </c>
      <c r="M377">
        <f>COUNTIF(Kintoneデータ抽出!$D:$D,"*"&amp;病院別実績!L377&amp;"*")</f>
        <v>0</v>
      </c>
    </row>
    <row r="378" spans="12:13" ht="17.399999999999999" customHeight="1" thickBot="1" x14ac:dyDescent="0.5">
      <c r="L378" s="81" t="s">
        <v>862</v>
      </c>
      <c r="M378">
        <f>COUNTIF(Kintoneデータ抽出!$D:$D,"*"&amp;病院別実績!L378&amp;"*")</f>
        <v>0</v>
      </c>
    </row>
    <row r="379" spans="12:13" ht="17.399999999999999" customHeight="1" thickBot="1" x14ac:dyDescent="0.5">
      <c r="L379" s="81" t="s">
        <v>863</v>
      </c>
      <c r="M379">
        <f>COUNTIF(Kintoneデータ抽出!$D:$D,"*"&amp;病院別実績!L379&amp;"*")</f>
        <v>0</v>
      </c>
    </row>
    <row r="380" spans="12:13" ht="17.399999999999999" customHeight="1" thickBot="1" x14ac:dyDescent="0.5">
      <c r="L380" s="81" t="s">
        <v>864</v>
      </c>
      <c r="M380">
        <f>COUNTIF(Kintoneデータ抽出!$D:$D,"*"&amp;病院別実績!L380&amp;"*")</f>
        <v>0</v>
      </c>
    </row>
    <row r="381" spans="12:13" ht="17.399999999999999" customHeight="1" thickBot="1" x14ac:dyDescent="0.5">
      <c r="L381" s="81" t="s">
        <v>865</v>
      </c>
      <c r="M381">
        <f>COUNTIF(Kintoneデータ抽出!$D:$D,"*"&amp;病院別実績!L381&amp;"*")</f>
        <v>0</v>
      </c>
    </row>
    <row r="382" spans="12:13" ht="17.399999999999999" customHeight="1" thickBot="1" x14ac:dyDescent="0.5">
      <c r="L382" s="81" t="s">
        <v>866</v>
      </c>
      <c r="M382">
        <f>COUNTIF(Kintoneデータ抽出!$D:$D,"*"&amp;病院別実績!L382&amp;"*")</f>
        <v>0</v>
      </c>
    </row>
    <row r="383" spans="12:13" ht="17.399999999999999" customHeight="1" thickBot="1" x14ac:dyDescent="0.5">
      <c r="L383" s="81" t="s">
        <v>867</v>
      </c>
      <c r="M383">
        <f>COUNTIF(Kintoneデータ抽出!$D:$D,"*"&amp;病院別実績!L383&amp;"*")</f>
        <v>0</v>
      </c>
    </row>
    <row r="384" spans="12:13" ht="17.399999999999999" customHeight="1" thickBot="1" x14ac:dyDescent="0.5">
      <c r="L384" s="81" t="s">
        <v>868</v>
      </c>
      <c r="M384">
        <f>COUNTIF(Kintoneデータ抽出!$D:$D,"*"&amp;病院別実績!L384&amp;"*")</f>
        <v>0</v>
      </c>
    </row>
    <row r="385" spans="12:13" ht="17.399999999999999" customHeight="1" thickBot="1" x14ac:dyDescent="0.5">
      <c r="L385" s="81" t="s">
        <v>869</v>
      </c>
      <c r="M385">
        <f>COUNTIF(Kintoneデータ抽出!$D:$D,"*"&amp;病院別実績!L385&amp;"*")</f>
        <v>0</v>
      </c>
    </row>
    <row r="386" spans="12:13" ht="17.399999999999999" customHeight="1" thickBot="1" x14ac:dyDescent="0.5">
      <c r="L386" s="81" t="s">
        <v>870</v>
      </c>
      <c r="M386">
        <f>COUNTIF(Kintoneデータ抽出!$D:$D,"*"&amp;病院別実績!L386&amp;"*")</f>
        <v>0</v>
      </c>
    </row>
    <row r="387" spans="12:13" ht="17.399999999999999" customHeight="1" thickBot="1" x14ac:dyDescent="0.5">
      <c r="L387" s="81" t="s">
        <v>871</v>
      </c>
      <c r="M387">
        <f>COUNTIF(Kintoneデータ抽出!$D:$D,"*"&amp;病院別実績!L387&amp;"*")</f>
        <v>0</v>
      </c>
    </row>
    <row r="388" spans="12:13" ht="17.399999999999999" customHeight="1" thickBot="1" x14ac:dyDescent="0.5">
      <c r="L388" s="81" t="s">
        <v>872</v>
      </c>
      <c r="M388">
        <f>COUNTIF(Kintoneデータ抽出!$D:$D,"*"&amp;病院別実績!L388&amp;"*")</f>
        <v>0</v>
      </c>
    </row>
    <row r="389" spans="12:13" ht="17.399999999999999" customHeight="1" thickBot="1" x14ac:dyDescent="0.5">
      <c r="L389" s="81" t="s">
        <v>873</v>
      </c>
      <c r="M389">
        <f>COUNTIF(Kintoneデータ抽出!$D:$D,"*"&amp;病院別実績!L389&amp;"*")</f>
        <v>0</v>
      </c>
    </row>
    <row r="390" spans="12:13" ht="17.399999999999999" customHeight="1" thickBot="1" x14ac:dyDescent="0.5">
      <c r="L390" s="81" t="s">
        <v>874</v>
      </c>
      <c r="M390">
        <f>COUNTIF(Kintoneデータ抽出!$D:$D,"*"&amp;病院別実績!L390&amp;"*")</f>
        <v>0</v>
      </c>
    </row>
    <row r="391" spans="12:13" ht="17.399999999999999" customHeight="1" thickBot="1" x14ac:dyDescent="0.5">
      <c r="L391" s="81" t="s">
        <v>875</v>
      </c>
      <c r="M391">
        <f>COUNTIF(Kintoneデータ抽出!$D:$D,"*"&amp;病院別実績!L391&amp;"*")</f>
        <v>0</v>
      </c>
    </row>
    <row r="392" spans="12:13" ht="17.399999999999999" customHeight="1" thickBot="1" x14ac:dyDescent="0.5">
      <c r="L392" s="81" t="s">
        <v>876</v>
      </c>
      <c r="M392">
        <f>COUNTIF(Kintoneデータ抽出!$D:$D,"*"&amp;病院別実績!L392&amp;"*")</f>
        <v>0</v>
      </c>
    </row>
    <row r="393" spans="12:13" ht="17.399999999999999" customHeight="1" thickBot="1" x14ac:dyDescent="0.5">
      <c r="L393" s="81" t="s">
        <v>877</v>
      </c>
      <c r="M393">
        <f>COUNTIF(Kintoneデータ抽出!$D:$D,"*"&amp;病院別実績!L393&amp;"*")</f>
        <v>0</v>
      </c>
    </row>
    <row r="394" spans="12:13" ht="17.399999999999999" customHeight="1" thickBot="1" x14ac:dyDescent="0.5">
      <c r="L394" s="80" t="s">
        <v>878</v>
      </c>
      <c r="M394">
        <f>COUNTIF(Kintoneデータ抽出!$D:$D,"*"&amp;病院別実績!L394&amp;"*")</f>
        <v>0</v>
      </c>
    </row>
    <row r="395" spans="12:13" ht="17.399999999999999" customHeight="1" thickBot="1" x14ac:dyDescent="0.5">
      <c r="L395" s="81" t="s">
        <v>879</v>
      </c>
      <c r="M395">
        <f>COUNTIF(Kintoneデータ抽出!$D:$D,"*"&amp;病院別実績!L395&amp;"*")</f>
        <v>0</v>
      </c>
    </row>
    <row r="396" spans="12:13" ht="17.399999999999999" customHeight="1" thickBot="1" x14ac:dyDescent="0.5">
      <c r="L396" s="81" t="s">
        <v>880</v>
      </c>
      <c r="M396">
        <f>COUNTIF(Kintoneデータ抽出!$D:$D,"*"&amp;病院別実績!L396&amp;"*")</f>
        <v>0</v>
      </c>
    </row>
    <row r="397" spans="12:13" ht="17.399999999999999" customHeight="1" thickBot="1" x14ac:dyDescent="0.5">
      <c r="L397" s="81" t="s">
        <v>881</v>
      </c>
      <c r="M397">
        <f>COUNTIF(Kintoneデータ抽出!$D:$D,"*"&amp;病院別実績!L397&amp;"*")</f>
        <v>0</v>
      </c>
    </row>
    <row r="398" spans="12:13" ht="17.399999999999999" customHeight="1" thickBot="1" x14ac:dyDescent="0.5">
      <c r="L398" s="80" t="s">
        <v>882</v>
      </c>
      <c r="M398">
        <f>COUNTIF(Kintoneデータ抽出!$D:$D,"*"&amp;病院別実績!L398&amp;"*")</f>
        <v>0</v>
      </c>
    </row>
    <row r="399" spans="12:13" ht="17.399999999999999" customHeight="1" thickBot="1" x14ac:dyDescent="0.5">
      <c r="L399" s="80" t="s">
        <v>883</v>
      </c>
      <c r="M399">
        <f>COUNTIF(Kintoneデータ抽出!$D:$D,"*"&amp;病院別実績!L399&amp;"*")</f>
        <v>0</v>
      </c>
    </row>
    <row r="400" spans="12:13" ht="17.399999999999999" customHeight="1" thickBot="1" x14ac:dyDescent="0.5">
      <c r="L400" s="80" t="s">
        <v>884</v>
      </c>
      <c r="M400">
        <f>COUNTIF(Kintoneデータ抽出!$D:$D,"*"&amp;病院別実績!L400&amp;"*")</f>
        <v>0</v>
      </c>
    </row>
    <row r="401" spans="12:13" ht="17.399999999999999" customHeight="1" thickBot="1" x14ac:dyDescent="0.5">
      <c r="L401" s="81" t="s">
        <v>885</v>
      </c>
      <c r="M401">
        <f>COUNTIF(Kintoneデータ抽出!$D:$D,"*"&amp;病院別実績!L401&amp;"*")</f>
        <v>0</v>
      </c>
    </row>
    <row r="402" spans="12:13" ht="17.399999999999999" customHeight="1" thickBot="1" x14ac:dyDescent="0.5">
      <c r="L402" s="81" t="s">
        <v>886</v>
      </c>
      <c r="M402">
        <f>COUNTIF(Kintoneデータ抽出!$D:$D,"*"&amp;病院別実績!L402&amp;"*")</f>
        <v>0</v>
      </c>
    </row>
    <row r="403" spans="12:13" ht="17.399999999999999" customHeight="1" thickBot="1" x14ac:dyDescent="0.5">
      <c r="L403" s="80" t="s">
        <v>887</v>
      </c>
      <c r="M403">
        <f>COUNTIF(Kintoneデータ抽出!$D:$D,"*"&amp;病院別実績!L403&amp;"*")</f>
        <v>0</v>
      </c>
    </row>
    <row r="404" spans="12:13" ht="17.399999999999999" customHeight="1" thickBot="1" x14ac:dyDescent="0.5">
      <c r="L404" s="81" t="s">
        <v>888</v>
      </c>
      <c r="M404">
        <f>COUNTIF(Kintoneデータ抽出!$D:$D,"*"&amp;病院別実績!L404&amp;"*")</f>
        <v>0</v>
      </c>
    </row>
    <row r="405" spans="12:13" ht="17.399999999999999" customHeight="1" thickBot="1" x14ac:dyDescent="0.5">
      <c r="L405" s="80" t="s">
        <v>889</v>
      </c>
      <c r="M405">
        <f>COUNTIF(Kintoneデータ抽出!$D:$D,"*"&amp;病院別実績!L405&amp;"*")</f>
        <v>0</v>
      </c>
    </row>
    <row r="406" spans="12:13" ht="17.399999999999999" customHeight="1" thickBot="1" x14ac:dyDescent="0.5">
      <c r="L406" s="81" t="s">
        <v>890</v>
      </c>
      <c r="M406">
        <f>COUNTIF(Kintoneデータ抽出!$D:$D,"*"&amp;病院別実績!L406&amp;"*")</f>
        <v>0</v>
      </c>
    </row>
    <row r="407" spans="12:13" ht="17.399999999999999" customHeight="1" thickBot="1" x14ac:dyDescent="0.5">
      <c r="L407" s="81" t="s">
        <v>891</v>
      </c>
      <c r="M407">
        <f>COUNTIF(Kintoneデータ抽出!$D:$D,"*"&amp;病院別実績!L407&amp;"*")</f>
        <v>0</v>
      </c>
    </row>
    <row r="408" spans="12:13" ht="17.399999999999999" customHeight="1" thickBot="1" x14ac:dyDescent="0.5">
      <c r="L408" s="81" t="s">
        <v>892</v>
      </c>
      <c r="M408">
        <f>COUNTIF(Kintoneデータ抽出!$D:$D,"*"&amp;病院別実績!L408&amp;"*")</f>
        <v>0</v>
      </c>
    </row>
    <row r="409" spans="12:13" ht="17.399999999999999" customHeight="1" thickBot="1" x14ac:dyDescent="0.5">
      <c r="L409" s="80" t="s">
        <v>893</v>
      </c>
      <c r="M409">
        <f>COUNTIF(Kintoneデータ抽出!$D:$D,"*"&amp;病院別実績!L409&amp;"*")</f>
        <v>0</v>
      </c>
    </row>
    <row r="410" spans="12:13" ht="17.399999999999999" customHeight="1" thickBot="1" x14ac:dyDescent="0.5">
      <c r="L410" s="81" t="s">
        <v>894</v>
      </c>
      <c r="M410">
        <f>COUNTIF(Kintoneデータ抽出!$D:$D,"*"&amp;病院別実績!L410&amp;"*")</f>
        <v>0</v>
      </c>
    </row>
    <row r="411" spans="12:13" ht="17.399999999999999" customHeight="1" thickBot="1" x14ac:dyDescent="0.5">
      <c r="L411" s="80" t="s">
        <v>895</v>
      </c>
      <c r="M411">
        <f>COUNTIF(Kintoneデータ抽出!$D:$D,"*"&amp;病院別実績!L411&amp;"*")</f>
        <v>0</v>
      </c>
    </row>
    <row r="412" spans="12:13" ht="17.399999999999999" customHeight="1" thickBot="1" x14ac:dyDescent="0.5">
      <c r="L412" s="81" t="s">
        <v>896</v>
      </c>
      <c r="M412">
        <f>COUNTIF(Kintoneデータ抽出!$D:$D,"*"&amp;病院別実績!L412&amp;"*")</f>
        <v>0</v>
      </c>
    </row>
    <row r="413" spans="12:13" ht="17.399999999999999" customHeight="1" thickBot="1" x14ac:dyDescent="0.5">
      <c r="L413" s="81" t="s">
        <v>897</v>
      </c>
      <c r="M413">
        <f>COUNTIF(Kintoneデータ抽出!$D:$D,"*"&amp;病院別実績!L413&amp;"*")</f>
        <v>0</v>
      </c>
    </row>
    <row r="414" spans="12:13" ht="17.399999999999999" customHeight="1" thickBot="1" x14ac:dyDescent="0.5">
      <c r="L414" s="81" t="s">
        <v>898</v>
      </c>
      <c r="M414">
        <f>COUNTIF(Kintoneデータ抽出!$D:$D,"*"&amp;病院別実績!L414&amp;"*")</f>
        <v>0</v>
      </c>
    </row>
    <row r="415" spans="12:13" ht="17.399999999999999" customHeight="1" thickBot="1" x14ac:dyDescent="0.5">
      <c r="L415" s="81" t="s">
        <v>899</v>
      </c>
      <c r="M415">
        <f>COUNTIF(Kintoneデータ抽出!$D:$D,"*"&amp;病院別実績!L415&amp;"*")</f>
        <v>0</v>
      </c>
    </row>
    <row r="416" spans="12:13" ht="17.399999999999999" customHeight="1" thickBot="1" x14ac:dyDescent="0.5">
      <c r="L416" s="81" t="s">
        <v>900</v>
      </c>
      <c r="M416">
        <f>COUNTIF(Kintoneデータ抽出!$D:$D,"*"&amp;病院別実績!L416&amp;"*")</f>
        <v>0</v>
      </c>
    </row>
    <row r="417" spans="12:13" ht="17.399999999999999" customHeight="1" thickBot="1" x14ac:dyDescent="0.5">
      <c r="L417" s="81" t="s">
        <v>901</v>
      </c>
      <c r="M417">
        <f>COUNTIF(Kintoneデータ抽出!$D:$D,"*"&amp;病院別実績!L417&amp;"*")</f>
        <v>0</v>
      </c>
    </row>
    <row r="418" spans="12:13" ht="17.399999999999999" customHeight="1" thickBot="1" x14ac:dyDescent="0.5">
      <c r="L418" s="80" t="s">
        <v>902</v>
      </c>
      <c r="M418">
        <f>COUNTIF(Kintoneデータ抽出!$D:$D,"*"&amp;病院別実績!L418&amp;"*")</f>
        <v>0</v>
      </c>
    </row>
    <row r="419" spans="12:13" ht="17.399999999999999" customHeight="1" thickBot="1" x14ac:dyDescent="0.5">
      <c r="L419" s="81" t="s">
        <v>903</v>
      </c>
      <c r="M419">
        <f>COUNTIF(Kintoneデータ抽出!$D:$D,"*"&amp;病院別実績!L419&amp;"*")</f>
        <v>0</v>
      </c>
    </row>
    <row r="420" spans="12:13" ht="17.399999999999999" customHeight="1" thickBot="1" x14ac:dyDescent="0.5">
      <c r="L420" s="81" t="s">
        <v>904</v>
      </c>
      <c r="M420">
        <f>COUNTIF(Kintoneデータ抽出!$D:$D,"*"&amp;病院別実績!L420&amp;"*")</f>
        <v>0</v>
      </c>
    </row>
    <row r="421" spans="12:13" ht="17.399999999999999" customHeight="1" thickBot="1" x14ac:dyDescent="0.5">
      <c r="L421" s="81" t="s">
        <v>905</v>
      </c>
      <c r="M421">
        <f>COUNTIF(Kintoneデータ抽出!$D:$D,"*"&amp;病院別実績!L421&amp;"*")</f>
        <v>0</v>
      </c>
    </row>
    <row r="422" spans="12:13" ht="17.399999999999999" customHeight="1" thickBot="1" x14ac:dyDescent="0.5">
      <c r="L422" s="81" t="s">
        <v>906</v>
      </c>
      <c r="M422">
        <f>COUNTIF(Kintoneデータ抽出!$D:$D,"*"&amp;病院別実績!L422&amp;"*")</f>
        <v>0</v>
      </c>
    </row>
    <row r="423" spans="12:13" ht="17.399999999999999" customHeight="1" thickBot="1" x14ac:dyDescent="0.5">
      <c r="L423" s="80" t="s">
        <v>907</v>
      </c>
      <c r="M423">
        <f>COUNTIF(Kintoneデータ抽出!$D:$D,"*"&amp;病院別実績!L423&amp;"*")</f>
        <v>0</v>
      </c>
    </row>
    <row r="424" spans="12:13" ht="17.399999999999999" customHeight="1" thickBot="1" x14ac:dyDescent="0.5">
      <c r="L424" s="81" t="s">
        <v>908</v>
      </c>
      <c r="M424">
        <f>COUNTIF(Kintoneデータ抽出!$D:$D,"*"&amp;病院別実績!L424&amp;"*")</f>
        <v>0</v>
      </c>
    </row>
    <row r="425" spans="12:13" ht="17.399999999999999" customHeight="1" thickBot="1" x14ac:dyDescent="0.5">
      <c r="L425" s="81" t="s">
        <v>909</v>
      </c>
      <c r="M425">
        <f>COUNTIF(Kintoneデータ抽出!$D:$D,"*"&amp;病院別実績!L425&amp;"*")</f>
        <v>0</v>
      </c>
    </row>
    <row r="426" spans="12:13" ht="17.399999999999999" customHeight="1" thickBot="1" x14ac:dyDescent="0.5">
      <c r="L426" s="81" t="s">
        <v>910</v>
      </c>
      <c r="M426">
        <f>COUNTIF(Kintoneデータ抽出!$D:$D,"*"&amp;病院別実績!L426&amp;"*")</f>
        <v>0</v>
      </c>
    </row>
    <row r="427" spans="12:13" ht="17.399999999999999" customHeight="1" thickBot="1" x14ac:dyDescent="0.5">
      <c r="L427" s="81" t="s">
        <v>911</v>
      </c>
      <c r="M427">
        <f>COUNTIF(Kintoneデータ抽出!$D:$D,"*"&amp;病院別実績!L427&amp;"*")</f>
        <v>0</v>
      </c>
    </row>
    <row r="428" spans="12:13" ht="17.399999999999999" customHeight="1" thickBot="1" x14ac:dyDescent="0.5">
      <c r="L428" s="80" t="s">
        <v>912</v>
      </c>
      <c r="M428">
        <f>COUNTIF(Kintoneデータ抽出!$D:$D,"*"&amp;病院別実績!L428&amp;"*")</f>
        <v>0</v>
      </c>
    </row>
    <row r="429" spans="12:13" ht="17.399999999999999" customHeight="1" thickBot="1" x14ac:dyDescent="0.5">
      <c r="L429" s="81" t="s">
        <v>913</v>
      </c>
      <c r="M429">
        <f>COUNTIF(Kintoneデータ抽出!$D:$D,"*"&amp;病院別実績!L429&amp;"*")</f>
        <v>0</v>
      </c>
    </row>
    <row r="430" spans="12:13" ht="17.399999999999999" customHeight="1" thickBot="1" x14ac:dyDescent="0.5">
      <c r="L430" s="80" t="s">
        <v>914</v>
      </c>
      <c r="M430">
        <f>COUNTIF(Kintoneデータ抽出!$D:$D,"*"&amp;病院別実績!L430&amp;"*")</f>
        <v>0</v>
      </c>
    </row>
    <row r="431" spans="12:13" ht="17.399999999999999" customHeight="1" thickBot="1" x14ac:dyDescent="0.5">
      <c r="L431" s="81" t="s">
        <v>915</v>
      </c>
      <c r="M431">
        <f>COUNTIF(Kintoneデータ抽出!$D:$D,"*"&amp;病院別実績!L431&amp;"*")</f>
        <v>0</v>
      </c>
    </row>
    <row r="432" spans="12:13" ht="17.399999999999999" customHeight="1" thickBot="1" x14ac:dyDescent="0.5">
      <c r="L432" s="81" t="s">
        <v>916</v>
      </c>
      <c r="M432">
        <f>COUNTIF(Kintoneデータ抽出!$D:$D,"*"&amp;病院別実績!L432&amp;"*")</f>
        <v>0</v>
      </c>
    </row>
    <row r="433" spans="12:13" ht="17.399999999999999" customHeight="1" thickBot="1" x14ac:dyDescent="0.5">
      <c r="L433" s="81" t="s">
        <v>917</v>
      </c>
      <c r="M433">
        <f>COUNTIF(Kintoneデータ抽出!$D:$D,"*"&amp;病院別実績!L433&amp;"*")</f>
        <v>0</v>
      </c>
    </row>
    <row r="434" spans="12:13" ht="17.399999999999999" customHeight="1" thickBot="1" x14ac:dyDescent="0.5">
      <c r="L434" s="80" t="s">
        <v>918</v>
      </c>
      <c r="M434">
        <f>COUNTIF(Kintoneデータ抽出!$D:$D,"*"&amp;病院別実績!L434&amp;"*")</f>
        <v>0</v>
      </c>
    </row>
    <row r="435" spans="12:13" ht="17.399999999999999" customHeight="1" thickBot="1" x14ac:dyDescent="0.5">
      <c r="L435" s="80" t="s">
        <v>919</v>
      </c>
      <c r="M435">
        <f>COUNTIF(Kintoneデータ抽出!$D:$D,"*"&amp;病院別実績!L435&amp;"*")</f>
        <v>0</v>
      </c>
    </row>
    <row r="436" spans="12:13" ht="17.399999999999999" customHeight="1" thickBot="1" x14ac:dyDescent="0.5">
      <c r="L436" s="81" t="s">
        <v>920</v>
      </c>
      <c r="M436">
        <f>COUNTIF(Kintoneデータ抽出!$D:$D,"*"&amp;病院別実績!L436&amp;"*")</f>
        <v>0</v>
      </c>
    </row>
    <row r="437" spans="12:13" ht="17.399999999999999" customHeight="1" thickBot="1" x14ac:dyDescent="0.5">
      <c r="L437" s="80" t="s">
        <v>921</v>
      </c>
      <c r="M437">
        <f>COUNTIF(Kintoneデータ抽出!$D:$D,"*"&amp;病院別実績!L437&amp;"*")</f>
        <v>0</v>
      </c>
    </row>
    <row r="438" spans="12:13" ht="17.399999999999999" customHeight="1" thickBot="1" x14ac:dyDescent="0.5">
      <c r="L438" s="81" t="s">
        <v>922</v>
      </c>
      <c r="M438">
        <f>COUNTIF(Kintoneデータ抽出!$D:$D,"*"&amp;病院別実績!L438&amp;"*")</f>
        <v>0</v>
      </c>
    </row>
    <row r="439" spans="12:13" ht="17.399999999999999" customHeight="1" thickBot="1" x14ac:dyDescent="0.5">
      <c r="L439" s="81" t="s">
        <v>923</v>
      </c>
      <c r="M439">
        <f>COUNTIF(Kintoneデータ抽出!$D:$D,"*"&amp;病院別実績!L439&amp;"*")</f>
        <v>0</v>
      </c>
    </row>
    <row r="440" spans="12:13" ht="17.399999999999999" customHeight="1" thickBot="1" x14ac:dyDescent="0.5">
      <c r="L440" s="81" t="s">
        <v>924</v>
      </c>
      <c r="M440">
        <f>COUNTIF(Kintoneデータ抽出!$D:$D,"*"&amp;病院別実績!L440&amp;"*")</f>
        <v>0</v>
      </c>
    </row>
    <row r="441" spans="12:13" ht="17.399999999999999" customHeight="1" thickBot="1" x14ac:dyDescent="0.5">
      <c r="L441" s="81" t="s">
        <v>925</v>
      </c>
      <c r="M441">
        <f>COUNTIF(Kintoneデータ抽出!$D:$D,"*"&amp;病院別実績!L441&amp;"*")</f>
        <v>0</v>
      </c>
    </row>
    <row r="442" spans="12:13" ht="17.399999999999999" customHeight="1" thickBot="1" x14ac:dyDescent="0.5">
      <c r="L442" s="81" t="s">
        <v>926</v>
      </c>
      <c r="M442">
        <f>COUNTIF(Kintoneデータ抽出!$D:$D,"*"&amp;病院別実績!L442&amp;"*")</f>
        <v>0</v>
      </c>
    </row>
    <row r="443" spans="12:13" ht="17.399999999999999" customHeight="1" thickBot="1" x14ac:dyDescent="0.5">
      <c r="L443" s="81" t="s">
        <v>927</v>
      </c>
      <c r="M443">
        <f>COUNTIF(Kintoneデータ抽出!$D:$D,"*"&amp;病院別実績!L443&amp;"*")</f>
        <v>0</v>
      </c>
    </row>
    <row r="444" spans="12:13" ht="17.399999999999999" customHeight="1" thickBot="1" x14ac:dyDescent="0.5">
      <c r="L444" s="81" t="s">
        <v>928</v>
      </c>
      <c r="M444">
        <f>COUNTIF(Kintoneデータ抽出!$D:$D,"*"&amp;病院別実績!L444&amp;"*")</f>
        <v>0</v>
      </c>
    </row>
    <row r="445" spans="12:13" ht="17.399999999999999" customHeight="1" thickBot="1" x14ac:dyDescent="0.5">
      <c r="L445" s="80" t="s">
        <v>929</v>
      </c>
      <c r="M445">
        <f>COUNTIF(Kintoneデータ抽出!$D:$D,"*"&amp;病院別実績!L445&amp;"*")</f>
        <v>0</v>
      </c>
    </row>
    <row r="446" spans="12:13" ht="17.399999999999999" customHeight="1" thickBot="1" x14ac:dyDescent="0.5">
      <c r="L446" s="80" t="s">
        <v>930</v>
      </c>
      <c r="M446">
        <f>COUNTIF(Kintoneデータ抽出!$D:$D,"*"&amp;病院別実績!L446&amp;"*")</f>
        <v>0</v>
      </c>
    </row>
    <row r="447" spans="12:13" ht="17.399999999999999" customHeight="1" thickBot="1" x14ac:dyDescent="0.5">
      <c r="L447" s="81" t="s">
        <v>931</v>
      </c>
      <c r="M447">
        <f>COUNTIF(Kintoneデータ抽出!$D:$D,"*"&amp;病院別実績!L447&amp;"*")</f>
        <v>0</v>
      </c>
    </row>
    <row r="448" spans="12:13" ht="17.399999999999999" customHeight="1" thickBot="1" x14ac:dyDescent="0.5">
      <c r="L448" s="81" t="s">
        <v>932</v>
      </c>
      <c r="M448">
        <f>COUNTIF(Kintoneデータ抽出!$D:$D,"*"&amp;病院別実績!L448&amp;"*")</f>
        <v>0</v>
      </c>
    </row>
    <row r="449" spans="12:13" ht="17.399999999999999" customHeight="1" thickBot="1" x14ac:dyDescent="0.5">
      <c r="L449" s="81" t="s">
        <v>933</v>
      </c>
      <c r="M449">
        <f>COUNTIF(Kintoneデータ抽出!$D:$D,"*"&amp;病院別実績!L449&amp;"*")</f>
        <v>0</v>
      </c>
    </row>
    <row r="450" spans="12:13" ht="17.399999999999999" customHeight="1" thickBot="1" x14ac:dyDescent="0.5">
      <c r="L450" s="81" t="s">
        <v>934</v>
      </c>
      <c r="M450">
        <f>COUNTIF(Kintoneデータ抽出!$D:$D,"*"&amp;病院別実績!L450&amp;"*")</f>
        <v>0</v>
      </c>
    </row>
    <row r="451" spans="12:13" ht="17.399999999999999" customHeight="1" thickBot="1" x14ac:dyDescent="0.5">
      <c r="L451" s="80" t="s">
        <v>935</v>
      </c>
      <c r="M451">
        <f>COUNTIF(Kintoneデータ抽出!$D:$D,"*"&amp;病院別実績!L451&amp;"*")</f>
        <v>0</v>
      </c>
    </row>
    <row r="452" spans="12:13" ht="17.399999999999999" customHeight="1" thickBot="1" x14ac:dyDescent="0.5">
      <c r="L452" s="81" t="s">
        <v>936</v>
      </c>
      <c r="M452">
        <f>COUNTIF(Kintoneデータ抽出!$D:$D,"*"&amp;病院別実績!L452&amp;"*")</f>
        <v>0</v>
      </c>
    </row>
    <row r="453" spans="12:13" ht="17.399999999999999" customHeight="1" thickBot="1" x14ac:dyDescent="0.5">
      <c r="L453" s="81" t="s">
        <v>937</v>
      </c>
      <c r="M453">
        <f>COUNTIF(Kintoneデータ抽出!$D:$D,"*"&amp;病院別実績!L453&amp;"*")</f>
        <v>0</v>
      </c>
    </row>
    <row r="454" spans="12:13" ht="17.399999999999999" customHeight="1" thickBot="1" x14ac:dyDescent="0.5">
      <c r="L454" s="80" t="s">
        <v>938</v>
      </c>
      <c r="M454">
        <f>COUNTIF(Kintoneデータ抽出!$D:$D,"*"&amp;病院別実績!L454&amp;"*")</f>
        <v>0</v>
      </c>
    </row>
    <row r="455" spans="12:13" ht="17.399999999999999" customHeight="1" thickBot="1" x14ac:dyDescent="0.5">
      <c r="L455" s="81" t="s">
        <v>939</v>
      </c>
      <c r="M455">
        <f>COUNTIF(Kintoneデータ抽出!$D:$D,"*"&amp;病院別実績!L455&amp;"*")</f>
        <v>0</v>
      </c>
    </row>
    <row r="456" spans="12:13" ht="17.399999999999999" customHeight="1" thickBot="1" x14ac:dyDescent="0.5">
      <c r="L456" s="81" t="s">
        <v>940</v>
      </c>
      <c r="M456">
        <f>COUNTIF(Kintoneデータ抽出!$D:$D,"*"&amp;病院別実績!L456&amp;"*")</f>
        <v>0</v>
      </c>
    </row>
    <row r="457" spans="12:13" ht="17.399999999999999" customHeight="1" thickBot="1" x14ac:dyDescent="0.5">
      <c r="L457" s="81" t="s">
        <v>941</v>
      </c>
      <c r="M457">
        <f>COUNTIF(Kintoneデータ抽出!$D:$D,"*"&amp;病院別実績!L457&amp;"*")</f>
        <v>0</v>
      </c>
    </row>
    <row r="458" spans="12:13" ht="17.399999999999999" customHeight="1" thickBot="1" x14ac:dyDescent="0.5">
      <c r="L458" s="81" t="s">
        <v>942</v>
      </c>
      <c r="M458">
        <f>COUNTIF(Kintoneデータ抽出!$D:$D,"*"&amp;病院別実績!L458&amp;"*")</f>
        <v>0</v>
      </c>
    </row>
    <row r="459" spans="12:13" ht="17.399999999999999" customHeight="1" thickBot="1" x14ac:dyDescent="0.5">
      <c r="L459" s="81" t="s">
        <v>943</v>
      </c>
      <c r="M459">
        <f>COUNTIF(Kintoneデータ抽出!$D:$D,"*"&amp;病院別実績!L459&amp;"*")</f>
        <v>0</v>
      </c>
    </row>
    <row r="460" spans="12:13" ht="17.399999999999999" customHeight="1" thickBot="1" x14ac:dyDescent="0.5">
      <c r="L460" s="81" t="s">
        <v>944</v>
      </c>
      <c r="M460">
        <f>COUNTIF(Kintoneデータ抽出!$D:$D,"*"&amp;病院別実績!L460&amp;"*")</f>
        <v>0</v>
      </c>
    </row>
    <row r="461" spans="12:13" ht="17.399999999999999" customHeight="1" thickBot="1" x14ac:dyDescent="0.5">
      <c r="L461" s="81" t="s">
        <v>945</v>
      </c>
      <c r="M461">
        <f>COUNTIF(Kintoneデータ抽出!$D:$D,"*"&amp;病院別実績!L461&amp;"*")</f>
        <v>0</v>
      </c>
    </row>
    <row r="462" spans="12:13" ht="17.399999999999999" customHeight="1" thickBot="1" x14ac:dyDescent="0.5">
      <c r="L462" s="81" t="s">
        <v>946</v>
      </c>
      <c r="M462">
        <f>COUNTIF(Kintoneデータ抽出!$D:$D,"*"&amp;病院別実績!L462&amp;"*")</f>
        <v>0</v>
      </c>
    </row>
    <row r="463" spans="12:13" ht="17.399999999999999" customHeight="1" thickBot="1" x14ac:dyDescent="0.5">
      <c r="L463" s="81" t="s">
        <v>947</v>
      </c>
      <c r="M463">
        <f>COUNTIF(Kintoneデータ抽出!$D:$D,"*"&amp;病院別実績!L463&amp;"*")</f>
        <v>0</v>
      </c>
    </row>
    <row r="464" spans="12:13" ht="17.399999999999999" customHeight="1" thickBot="1" x14ac:dyDescent="0.5">
      <c r="L464" s="81" t="s">
        <v>948</v>
      </c>
      <c r="M464">
        <f>COUNTIF(Kintoneデータ抽出!$D:$D,"*"&amp;病院別実績!L464&amp;"*")</f>
        <v>0</v>
      </c>
    </row>
    <row r="465" spans="12:13" ht="17.399999999999999" customHeight="1" thickBot="1" x14ac:dyDescent="0.5">
      <c r="L465" s="80" t="s">
        <v>949</v>
      </c>
      <c r="M465">
        <f>COUNTIF(Kintoneデータ抽出!$D:$D,"*"&amp;病院別実績!L465&amp;"*")</f>
        <v>0</v>
      </c>
    </row>
    <row r="466" spans="12:13" ht="17.399999999999999" customHeight="1" thickBot="1" x14ac:dyDescent="0.5">
      <c r="L466" s="81" t="s">
        <v>950</v>
      </c>
      <c r="M466">
        <f>COUNTIF(Kintoneデータ抽出!$D:$D,"*"&amp;病院別実績!L466&amp;"*")</f>
        <v>0</v>
      </c>
    </row>
    <row r="467" spans="12:13" ht="17.399999999999999" customHeight="1" thickBot="1" x14ac:dyDescent="0.5">
      <c r="L467" s="80" t="s">
        <v>951</v>
      </c>
      <c r="M467">
        <f>COUNTIF(Kintoneデータ抽出!$D:$D,"*"&amp;病院別実績!L467&amp;"*")</f>
        <v>0</v>
      </c>
    </row>
    <row r="468" spans="12:13" ht="17.399999999999999" customHeight="1" thickBot="1" x14ac:dyDescent="0.5">
      <c r="L468" s="81" t="s">
        <v>952</v>
      </c>
      <c r="M468">
        <f>COUNTIF(Kintoneデータ抽出!$D:$D,"*"&amp;病院別実績!L468&amp;"*")</f>
        <v>0</v>
      </c>
    </row>
    <row r="469" spans="12:13" ht="17.399999999999999" customHeight="1" thickBot="1" x14ac:dyDescent="0.5">
      <c r="L469" s="81" t="s">
        <v>953</v>
      </c>
      <c r="M469">
        <f>COUNTIF(Kintoneデータ抽出!$D:$D,"*"&amp;病院別実績!L469&amp;"*")</f>
        <v>0</v>
      </c>
    </row>
    <row r="470" spans="12:13" ht="17.399999999999999" customHeight="1" thickBot="1" x14ac:dyDescent="0.5">
      <c r="L470" s="81" t="s">
        <v>954</v>
      </c>
      <c r="M470">
        <f>COUNTIF(Kintoneデータ抽出!$D:$D,"*"&amp;病院別実績!L470&amp;"*")</f>
        <v>0</v>
      </c>
    </row>
    <row r="471" spans="12:13" ht="17.399999999999999" customHeight="1" thickBot="1" x14ac:dyDescent="0.5">
      <c r="L471" s="80" t="s">
        <v>955</v>
      </c>
      <c r="M471">
        <f>COUNTIF(Kintoneデータ抽出!$D:$D,"*"&amp;病院別実績!L471&amp;"*")</f>
        <v>0</v>
      </c>
    </row>
    <row r="472" spans="12:13" ht="17.399999999999999" customHeight="1" thickBot="1" x14ac:dyDescent="0.5">
      <c r="L472" s="81" t="s">
        <v>956</v>
      </c>
      <c r="M472">
        <f>COUNTIF(Kintoneデータ抽出!$D:$D,"*"&amp;病院別実績!L472&amp;"*")</f>
        <v>0</v>
      </c>
    </row>
    <row r="473" spans="12:13" ht="17.399999999999999" customHeight="1" thickBot="1" x14ac:dyDescent="0.5">
      <c r="L473" s="81" t="s">
        <v>957</v>
      </c>
      <c r="M473">
        <f>COUNTIF(Kintoneデータ抽出!$D:$D,"*"&amp;病院別実績!L473&amp;"*")</f>
        <v>0</v>
      </c>
    </row>
    <row r="474" spans="12:13" ht="17.399999999999999" customHeight="1" thickBot="1" x14ac:dyDescent="0.5">
      <c r="L474" s="81" t="s">
        <v>958</v>
      </c>
      <c r="M474">
        <f>COUNTIF(Kintoneデータ抽出!$D:$D,"*"&amp;病院別実績!L474&amp;"*")</f>
        <v>0</v>
      </c>
    </row>
    <row r="475" spans="12:13" ht="17.399999999999999" customHeight="1" thickBot="1" x14ac:dyDescent="0.5">
      <c r="L475" s="81" t="s">
        <v>959</v>
      </c>
      <c r="M475">
        <f>COUNTIF(Kintoneデータ抽出!$D:$D,"*"&amp;病院別実績!L475&amp;"*")</f>
        <v>0</v>
      </c>
    </row>
    <row r="476" spans="12:13" ht="17.399999999999999" customHeight="1" thickBot="1" x14ac:dyDescent="0.5">
      <c r="L476" s="81" t="s">
        <v>960</v>
      </c>
      <c r="M476">
        <f>COUNTIF(Kintoneデータ抽出!$D:$D,"*"&amp;病院別実績!L476&amp;"*")</f>
        <v>0</v>
      </c>
    </row>
    <row r="477" spans="12:13" ht="17.399999999999999" customHeight="1" thickBot="1" x14ac:dyDescent="0.5">
      <c r="L477" s="81" t="s">
        <v>961</v>
      </c>
      <c r="M477">
        <f>COUNTIF(Kintoneデータ抽出!$D:$D,"*"&amp;病院別実績!L477&amp;"*")</f>
        <v>0</v>
      </c>
    </row>
    <row r="478" spans="12:13" ht="17.399999999999999" customHeight="1" thickBot="1" x14ac:dyDescent="0.5">
      <c r="L478" s="81" t="s">
        <v>962</v>
      </c>
      <c r="M478">
        <f>COUNTIF(Kintoneデータ抽出!$D:$D,"*"&amp;病院別実績!L478&amp;"*")</f>
        <v>0</v>
      </c>
    </row>
    <row r="479" spans="12:13" ht="17.399999999999999" customHeight="1" thickBot="1" x14ac:dyDescent="0.5">
      <c r="L479" s="81" t="s">
        <v>963</v>
      </c>
      <c r="M479">
        <f>COUNTIF(Kintoneデータ抽出!$D:$D,"*"&amp;病院別実績!L479&amp;"*")</f>
        <v>0</v>
      </c>
    </row>
    <row r="480" spans="12:13" ht="17.399999999999999" customHeight="1" thickBot="1" x14ac:dyDescent="0.5">
      <c r="L480" s="81" t="s">
        <v>964</v>
      </c>
      <c r="M480">
        <f>COUNTIF(Kintoneデータ抽出!$D:$D,"*"&amp;病院別実績!L480&amp;"*")</f>
        <v>0</v>
      </c>
    </row>
    <row r="481" spans="12:13" ht="17.399999999999999" customHeight="1" thickBot="1" x14ac:dyDescent="0.5">
      <c r="L481" s="80" t="s">
        <v>965</v>
      </c>
      <c r="M481">
        <f>COUNTIF(Kintoneデータ抽出!$D:$D,"*"&amp;病院別実績!L481&amp;"*")</f>
        <v>0</v>
      </c>
    </row>
    <row r="482" spans="12:13" ht="17.399999999999999" customHeight="1" thickBot="1" x14ac:dyDescent="0.5">
      <c r="L482" s="80" t="s">
        <v>966</v>
      </c>
      <c r="M482">
        <f>COUNTIF(Kintoneデータ抽出!$D:$D,"*"&amp;病院別実績!L482&amp;"*")</f>
        <v>0</v>
      </c>
    </row>
    <row r="483" spans="12:13" ht="17.399999999999999" customHeight="1" thickBot="1" x14ac:dyDescent="0.5">
      <c r="L483" s="81" t="s">
        <v>967</v>
      </c>
      <c r="M483">
        <f>COUNTIF(Kintoneデータ抽出!$D:$D,"*"&amp;病院別実績!L483&amp;"*")</f>
        <v>0</v>
      </c>
    </row>
    <row r="484" spans="12:13" ht="17.399999999999999" customHeight="1" thickBot="1" x14ac:dyDescent="0.5">
      <c r="L484" s="80" t="s">
        <v>968</v>
      </c>
      <c r="M484">
        <f>COUNTIF(Kintoneデータ抽出!$D:$D,"*"&amp;病院別実績!L484&amp;"*")</f>
        <v>0</v>
      </c>
    </row>
    <row r="485" spans="12:13" ht="17.399999999999999" customHeight="1" thickBot="1" x14ac:dyDescent="0.5">
      <c r="L485" s="81" t="s">
        <v>969</v>
      </c>
      <c r="M485">
        <f>COUNTIF(Kintoneデータ抽出!$D:$D,"*"&amp;病院別実績!L485&amp;"*")</f>
        <v>0</v>
      </c>
    </row>
    <row r="486" spans="12:13" ht="17.399999999999999" customHeight="1" thickBot="1" x14ac:dyDescent="0.5">
      <c r="L486" s="80" t="s">
        <v>970</v>
      </c>
      <c r="M486">
        <f>COUNTIF(Kintoneデータ抽出!$D:$D,"*"&amp;病院別実績!L486&amp;"*")</f>
        <v>0</v>
      </c>
    </row>
    <row r="487" spans="12:13" ht="17.399999999999999" customHeight="1" thickBot="1" x14ac:dyDescent="0.5">
      <c r="L487" s="80" t="s">
        <v>971</v>
      </c>
      <c r="M487">
        <f>COUNTIF(Kintoneデータ抽出!$D:$D,"*"&amp;病院別実績!L487&amp;"*")</f>
        <v>0</v>
      </c>
    </row>
    <row r="488" spans="12:13" ht="17.399999999999999" customHeight="1" thickBot="1" x14ac:dyDescent="0.5">
      <c r="L488" s="81" t="s">
        <v>972</v>
      </c>
      <c r="M488">
        <f>COUNTIF(Kintoneデータ抽出!$D:$D,"*"&amp;病院別実績!L488&amp;"*")</f>
        <v>0</v>
      </c>
    </row>
    <row r="489" spans="12:13" ht="17.399999999999999" customHeight="1" thickBot="1" x14ac:dyDescent="0.5">
      <c r="L489" s="81" t="s">
        <v>973</v>
      </c>
      <c r="M489">
        <f>COUNTIF(Kintoneデータ抽出!$D:$D,"*"&amp;病院別実績!L489&amp;"*")</f>
        <v>0</v>
      </c>
    </row>
    <row r="490" spans="12:13" ht="17.399999999999999" customHeight="1" thickBot="1" x14ac:dyDescent="0.5">
      <c r="L490" s="80" t="s">
        <v>974</v>
      </c>
      <c r="M490">
        <f>COUNTIF(Kintoneデータ抽出!$D:$D,"*"&amp;病院別実績!L490&amp;"*")</f>
        <v>0</v>
      </c>
    </row>
    <row r="491" spans="12:13" ht="17.399999999999999" customHeight="1" thickBot="1" x14ac:dyDescent="0.5">
      <c r="L491" s="80" t="s">
        <v>975</v>
      </c>
      <c r="M491">
        <f>COUNTIF(Kintoneデータ抽出!$D:$D,"*"&amp;病院別実績!L491&amp;"*")</f>
        <v>0</v>
      </c>
    </row>
    <row r="492" spans="12:13" ht="17.399999999999999" customHeight="1" thickBot="1" x14ac:dyDescent="0.5">
      <c r="L492" s="81" t="s">
        <v>976</v>
      </c>
      <c r="M492">
        <f>COUNTIF(Kintoneデータ抽出!$D:$D,"*"&amp;病院別実績!L492&amp;"*")</f>
        <v>0</v>
      </c>
    </row>
    <row r="493" spans="12:13" ht="17.399999999999999" customHeight="1" thickBot="1" x14ac:dyDescent="0.5">
      <c r="L493" s="81" t="s">
        <v>977</v>
      </c>
      <c r="M493">
        <f>COUNTIF(Kintoneデータ抽出!$D:$D,"*"&amp;病院別実績!L493&amp;"*")</f>
        <v>0</v>
      </c>
    </row>
    <row r="494" spans="12:13" ht="17.399999999999999" customHeight="1" thickBot="1" x14ac:dyDescent="0.5">
      <c r="L494" s="80" t="s">
        <v>978</v>
      </c>
      <c r="M494">
        <f>COUNTIF(Kintoneデータ抽出!$D:$D,"*"&amp;病院別実績!L494&amp;"*")</f>
        <v>0</v>
      </c>
    </row>
    <row r="495" spans="12:13" ht="17.399999999999999" customHeight="1" thickBot="1" x14ac:dyDescent="0.5">
      <c r="L495" s="81" t="s">
        <v>979</v>
      </c>
      <c r="M495">
        <f>COUNTIF(Kintoneデータ抽出!$D:$D,"*"&amp;病院別実績!L495&amp;"*")</f>
        <v>0</v>
      </c>
    </row>
    <row r="496" spans="12:13" ht="17.399999999999999" customHeight="1" thickBot="1" x14ac:dyDescent="0.5">
      <c r="L496" s="81" t="s">
        <v>980</v>
      </c>
      <c r="M496">
        <f>COUNTIF(Kintoneデータ抽出!$D:$D,"*"&amp;病院別実績!L496&amp;"*")</f>
        <v>0</v>
      </c>
    </row>
    <row r="497" spans="12:13" ht="17.399999999999999" customHeight="1" thickBot="1" x14ac:dyDescent="0.5">
      <c r="L497" s="81" t="s">
        <v>981</v>
      </c>
      <c r="M497">
        <f>COUNTIF(Kintoneデータ抽出!$D:$D,"*"&amp;病院別実績!L497&amp;"*")</f>
        <v>0</v>
      </c>
    </row>
    <row r="498" spans="12:13" ht="17.399999999999999" customHeight="1" thickBot="1" x14ac:dyDescent="0.5">
      <c r="L498" s="80" t="s">
        <v>982</v>
      </c>
      <c r="M498">
        <f>COUNTIF(Kintoneデータ抽出!$D:$D,"*"&amp;病院別実績!L498&amp;"*")</f>
        <v>0</v>
      </c>
    </row>
    <row r="499" spans="12:13" ht="17.399999999999999" customHeight="1" thickBot="1" x14ac:dyDescent="0.5">
      <c r="L499" s="81" t="s">
        <v>983</v>
      </c>
      <c r="M499">
        <f>COUNTIF(Kintoneデータ抽出!$D:$D,"*"&amp;病院別実績!L499&amp;"*")</f>
        <v>0</v>
      </c>
    </row>
    <row r="500" spans="12:13" ht="17.399999999999999" customHeight="1" thickBot="1" x14ac:dyDescent="0.5">
      <c r="L500" s="81" t="s">
        <v>984</v>
      </c>
      <c r="M500">
        <f>COUNTIF(Kintoneデータ抽出!$D:$D,"*"&amp;病院別実績!L500&amp;"*")</f>
        <v>0</v>
      </c>
    </row>
    <row r="501" spans="12:13" ht="17.399999999999999" customHeight="1" thickBot="1" x14ac:dyDescent="0.5">
      <c r="L501" s="81" t="s">
        <v>985</v>
      </c>
      <c r="M501">
        <f>COUNTIF(Kintoneデータ抽出!$D:$D,"*"&amp;病院別実績!L501&amp;"*")</f>
        <v>0</v>
      </c>
    </row>
    <row r="502" spans="12:13" ht="17.399999999999999" customHeight="1" thickBot="1" x14ac:dyDescent="0.5">
      <c r="L502" s="81" t="s">
        <v>986</v>
      </c>
      <c r="M502">
        <f>COUNTIF(Kintoneデータ抽出!$D:$D,"*"&amp;病院別実績!L502&amp;"*")</f>
        <v>0</v>
      </c>
    </row>
    <row r="503" spans="12:13" ht="17.399999999999999" customHeight="1" thickBot="1" x14ac:dyDescent="0.5">
      <c r="L503" s="81" t="s">
        <v>987</v>
      </c>
      <c r="M503">
        <f>COUNTIF(Kintoneデータ抽出!$D:$D,"*"&amp;病院別実績!L503&amp;"*")</f>
        <v>0</v>
      </c>
    </row>
    <row r="504" spans="12:13" ht="17.399999999999999" customHeight="1" thickBot="1" x14ac:dyDescent="0.5">
      <c r="L504" s="81" t="s">
        <v>988</v>
      </c>
      <c r="M504">
        <f>COUNTIF(Kintoneデータ抽出!$D:$D,"*"&amp;病院別実績!L504&amp;"*")</f>
        <v>0</v>
      </c>
    </row>
    <row r="505" spans="12:13" ht="17.399999999999999" customHeight="1" thickBot="1" x14ac:dyDescent="0.5">
      <c r="L505" s="81" t="s">
        <v>989</v>
      </c>
      <c r="M505">
        <f>COUNTIF(Kintoneデータ抽出!$D:$D,"*"&amp;病院別実績!L505&amp;"*")</f>
        <v>0</v>
      </c>
    </row>
    <row r="506" spans="12:13" ht="17.399999999999999" customHeight="1" thickBot="1" x14ac:dyDescent="0.5">
      <c r="L506" s="81" t="s">
        <v>990</v>
      </c>
      <c r="M506">
        <f>COUNTIF(Kintoneデータ抽出!$D:$D,"*"&amp;病院別実績!L506&amp;"*")</f>
        <v>0</v>
      </c>
    </row>
    <row r="507" spans="12:13" ht="17.399999999999999" customHeight="1" thickBot="1" x14ac:dyDescent="0.5">
      <c r="L507" s="81" t="s">
        <v>991</v>
      </c>
      <c r="M507">
        <f>COUNTIF(Kintoneデータ抽出!$D:$D,"*"&amp;病院別実績!L507&amp;"*")</f>
        <v>0</v>
      </c>
    </row>
    <row r="508" spans="12:13" ht="17.399999999999999" customHeight="1" thickBot="1" x14ac:dyDescent="0.5">
      <c r="L508" s="81" t="s">
        <v>992</v>
      </c>
      <c r="M508">
        <f>COUNTIF(Kintoneデータ抽出!$D:$D,"*"&amp;病院別実績!L508&amp;"*")</f>
        <v>0</v>
      </c>
    </row>
    <row r="509" spans="12:13" ht="17.399999999999999" customHeight="1" thickBot="1" x14ac:dyDescent="0.5">
      <c r="L509" s="80" t="s">
        <v>993</v>
      </c>
      <c r="M509">
        <f>COUNTIF(Kintoneデータ抽出!$D:$D,"*"&amp;病院別実績!L509&amp;"*")</f>
        <v>0</v>
      </c>
    </row>
    <row r="510" spans="12:13" ht="17.399999999999999" customHeight="1" thickBot="1" x14ac:dyDescent="0.5">
      <c r="L510" s="81" t="s">
        <v>994</v>
      </c>
      <c r="M510">
        <f>COUNTIF(Kintoneデータ抽出!$D:$D,"*"&amp;病院別実績!L510&amp;"*")</f>
        <v>0</v>
      </c>
    </row>
    <row r="511" spans="12:13" ht="17.399999999999999" customHeight="1" thickBot="1" x14ac:dyDescent="0.5">
      <c r="L511" s="81" t="s">
        <v>995</v>
      </c>
      <c r="M511">
        <f>COUNTIF(Kintoneデータ抽出!$D:$D,"*"&amp;病院別実績!L511&amp;"*")</f>
        <v>0</v>
      </c>
    </row>
    <row r="512" spans="12:13" ht="17.399999999999999" customHeight="1" thickBot="1" x14ac:dyDescent="0.5">
      <c r="L512" s="81" t="s">
        <v>996</v>
      </c>
      <c r="M512">
        <f>COUNTIF(Kintoneデータ抽出!$D:$D,"*"&amp;病院別実績!L512&amp;"*")</f>
        <v>0</v>
      </c>
    </row>
    <row r="513" spans="12:13" ht="17.399999999999999" customHeight="1" thickBot="1" x14ac:dyDescent="0.5">
      <c r="L513" s="81" t="s">
        <v>997</v>
      </c>
      <c r="M513">
        <f>COUNTIF(Kintoneデータ抽出!$D:$D,"*"&amp;病院別実績!L513&amp;"*")</f>
        <v>0</v>
      </c>
    </row>
    <row r="514" spans="12:13" ht="17.399999999999999" customHeight="1" thickBot="1" x14ac:dyDescent="0.5">
      <c r="L514" s="80" t="s">
        <v>998</v>
      </c>
      <c r="M514">
        <f>COUNTIF(Kintoneデータ抽出!$D:$D,"*"&amp;病院別実績!L514&amp;"*")</f>
        <v>0</v>
      </c>
    </row>
    <row r="515" spans="12:13" ht="17.399999999999999" customHeight="1" thickBot="1" x14ac:dyDescent="0.5">
      <c r="L515" s="81" t="s">
        <v>999</v>
      </c>
      <c r="M515">
        <f>COUNTIF(Kintoneデータ抽出!$D:$D,"*"&amp;病院別実績!L515&amp;"*")</f>
        <v>0</v>
      </c>
    </row>
    <row r="516" spans="12:13" ht="17.399999999999999" customHeight="1" thickBot="1" x14ac:dyDescent="0.5">
      <c r="L516" s="81" t="s">
        <v>1000</v>
      </c>
      <c r="M516">
        <f>COUNTIF(Kintoneデータ抽出!$D:$D,"*"&amp;病院別実績!L516&amp;"*")</f>
        <v>0</v>
      </c>
    </row>
    <row r="517" spans="12:13" ht="17.399999999999999" customHeight="1" thickBot="1" x14ac:dyDescent="0.5">
      <c r="L517" s="80" t="s">
        <v>1001</v>
      </c>
      <c r="M517">
        <f>COUNTIF(Kintoneデータ抽出!$D:$D,"*"&amp;病院別実績!L517&amp;"*")</f>
        <v>0</v>
      </c>
    </row>
    <row r="518" spans="12:13" ht="17.399999999999999" customHeight="1" thickBot="1" x14ac:dyDescent="0.5">
      <c r="L518" s="80" t="s">
        <v>1002</v>
      </c>
      <c r="M518">
        <f>COUNTIF(Kintoneデータ抽出!$D:$D,"*"&amp;病院別実績!L518&amp;"*")</f>
        <v>0</v>
      </c>
    </row>
    <row r="519" spans="12:13" ht="17.399999999999999" customHeight="1" thickBot="1" x14ac:dyDescent="0.5">
      <c r="L519" s="80" t="s">
        <v>1003</v>
      </c>
      <c r="M519">
        <f>COUNTIF(Kintoneデータ抽出!$D:$D,"*"&amp;病院別実績!L519&amp;"*")</f>
        <v>0</v>
      </c>
    </row>
    <row r="520" spans="12:13" ht="17.399999999999999" customHeight="1" thickBot="1" x14ac:dyDescent="0.5">
      <c r="L520" s="81" t="s">
        <v>1004</v>
      </c>
      <c r="M520">
        <f>COUNTIF(Kintoneデータ抽出!$D:$D,"*"&amp;病院別実績!L520&amp;"*")</f>
        <v>0</v>
      </c>
    </row>
    <row r="521" spans="12:13" ht="17.399999999999999" customHeight="1" thickBot="1" x14ac:dyDescent="0.5">
      <c r="L521" s="81" t="s">
        <v>1005</v>
      </c>
      <c r="M521">
        <f>COUNTIF(Kintoneデータ抽出!$D:$D,"*"&amp;病院別実績!L521&amp;"*")</f>
        <v>0</v>
      </c>
    </row>
    <row r="522" spans="12:13" ht="17.399999999999999" customHeight="1" thickBot="1" x14ac:dyDescent="0.5">
      <c r="L522" s="81" t="s">
        <v>1006</v>
      </c>
      <c r="M522">
        <f>COUNTIF(Kintoneデータ抽出!$D:$D,"*"&amp;病院別実績!L522&amp;"*")</f>
        <v>0</v>
      </c>
    </row>
    <row r="523" spans="12:13" ht="17.399999999999999" customHeight="1" thickBot="1" x14ac:dyDescent="0.5">
      <c r="L523" s="81" t="s">
        <v>1007</v>
      </c>
      <c r="M523">
        <f>COUNTIF(Kintoneデータ抽出!$D:$D,"*"&amp;病院別実績!L523&amp;"*")</f>
        <v>0</v>
      </c>
    </row>
    <row r="524" spans="12:13" ht="17.399999999999999" customHeight="1" thickBot="1" x14ac:dyDescent="0.5">
      <c r="L524" s="81" t="s">
        <v>1008</v>
      </c>
      <c r="M524">
        <f>COUNTIF(Kintoneデータ抽出!$D:$D,"*"&amp;病院別実績!L524&amp;"*")</f>
        <v>0</v>
      </c>
    </row>
    <row r="525" spans="12:13" ht="17.399999999999999" customHeight="1" thickBot="1" x14ac:dyDescent="0.5">
      <c r="L525" s="81" t="s">
        <v>1009</v>
      </c>
      <c r="M525">
        <f>COUNTIF(Kintoneデータ抽出!$D:$D,"*"&amp;病院別実績!L525&amp;"*")</f>
        <v>0</v>
      </c>
    </row>
    <row r="526" spans="12:13" ht="17.399999999999999" customHeight="1" thickBot="1" x14ac:dyDescent="0.5">
      <c r="L526" s="81" t="s">
        <v>1010</v>
      </c>
      <c r="M526">
        <f>COUNTIF(Kintoneデータ抽出!$D:$D,"*"&amp;病院別実績!L526&amp;"*")</f>
        <v>0</v>
      </c>
    </row>
    <row r="527" spans="12:13" ht="17.399999999999999" customHeight="1" thickBot="1" x14ac:dyDescent="0.5">
      <c r="L527" s="81" t="s">
        <v>1011</v>
      </c>
      <c r="M527">
        <f>COUNTIF(Kintoneデータ抽出!$D:$D,"*"&amp;病院別実績!L527&amp;"*")</f>
        <v>0</v>
      </c>
    </row>
    <row r="528" spans="12:13" ht="17.399999999999999" customHeight="1" thickBot="1" x14ac:dyDescent="0.5">
      <c r="L528" s="80" t="s">
        <v>1012</v>
      </c>
      <c r="M528">
        <f>COUNTIF(Kintoneデータ抽出!$D:$D,"*"&amp;病院別実績!L528&amp;"*")</f>
        <v>0</v>
      </c>
    </row>
    <row r="529" spans="12:13" ht="17.399999999999999" customHeight="1" thickBot="1" x14ac:dyDescent="0.5">
      <c r="L529" s="81" t="s">
        <v>1013</v>
      </c>
      <c r="M529">
        <f>COUNTIF(Kintoneデータ抽出!$D:$D,"*"&amp;病院別実績!L529&amp;"*")</f>
        <v>0</v>
      </c>
    </row>
    <row r="530" spans="12:13" ht="17.399999999999999" customHeight="1" thickBot="1" x14ac:dyDescent="0.5">
      <c r="L530" s="81" t="s">
        <v>1014</v>
      </c>
      <c r="M530">
        <f>COUNTIF(Kintoneデータ抽出!$D:$D,"*"&amp;病院別実績!L530&amp;"*")</f>
        <v>0</v>
      </c>
    </row>
    <row r="531" spans="12:13" ht="17.399999999999999" customHeight="1" thickBot="1" x14ac:dyDescent="0.5">
      <c r="L531" s="81" t="s">
        <v>1015</v>
      </c>
      <c r="M531">
        <f>COUNTIF(Kintoneデータ抽出!$D:$D,"*"&amp;病院別実績!L531&amp;"*")</f>
        <v>0</v>
      </c>
    </row>
    <row r="532" spans="12:13" ht="17.399999999999999" customHeight="1" thickBot="1" x14ac:dyDescent="0.5">
      <c r="L532" s="81" t="s">
        <v>1016</v>
      </c>
      <c r="M532">
        <f>COUNTIF(Kintoneデータ抽出!$D:$D,"*"&amp;病院別実績!L532&amp;"*")</f>
        <v>0</v>
      </c>
    </row>
    <row r="533" spans="12:13" ht="17.399999999999999" customHeight="1" thickBot="1" x14ac:dyDescent="0.5">
      <c r="L533" s="80" t="s">
        <v>1017</v>
      </c>
      <c r="M533">
        <f>COUNTIF(Kintoneデータ抽出!$D:$D,"*"&amp;病院別実績!L533&amp;"*")</f>
        <v>0</v>
      </c>
    </row>
    <row r="534" spans="12:13" ht="17.399999999999999" customHeight="1" thickBot="1" x14ac:dyDescent="0.5">
      <c r="L534" s="80" t="s">
        <v>1018</v>
      </c>
      <c r="M534">
        <f>COUNTIF(Kintoneデータ抽出!$D:$D,"*"&amp;病院別実績!L534&amp;"*")</f>
        <v>0</v>
      </c>
    </row>
    <row r="535" spans="12:13" ht="17.399999999999999" customHeight="1" thickBot="1" x14ac:dyDescent="0.5">
      <c r="L535" s="81" t="s">
        <v>1019</v>
      </c>
      <c r="M535">
        <f>COUNTIF(Kintoneデータ抽出!$D:$D,"*"&amp;病院別実績!L535&amp;"*")</f>
        <v>0</v>
      </c>
    </row>
    <row r="536" spans="12:13" ht="17.399999999999999" customHeight="1" thickBot="1" x14ac:dyDescent="0.5">
      <c r="L536" s="81" t="s">
        <v>1020</v>
      </c>
      <c r="M536">
        <f>COUNTIF(Kintoneデータ抽出!$D:$D,"*"&amp;病院別実績!L536&amp;"*")</f>
        <v>0</v>
      </c>
    </row>
    <row r="537" spans="12:13" ht="17.399999999999999" customHeight="1" thickBot="1" x14ac:dyDescent="0.5">
      <c r="L537" s="80" t="s">
        <v>1021</v>
      </c>
      <c r="M537">
        <f>COUNTIF(Kintoneデータ抽出!$D:$D,"*"&amp;病院別実績!L537&amp;"*")</f>
        <v>0</v>
      </c>
    </row>
    <row r="538" spans="12:13" ht="17.399999999999999" customHeight="1" thickBot="1" x14ac:dyDescent="0.5">
      <c r="L538" s="81" t="s">
        <v>1022</v>
      </c>
      <c r="M538">
        <f>COUNTIF(Kintoneデータ抽出!$D:$D,"*"&amp;病院別実績!L538&amp;"*")</f>
        <v>0</v>
      </c>
    </row>
    <row r="539" spans="12:13" ht="17.399999999999999" customHeight="1" thickBot="1" x14ac:dyDescent="0.5">
      <c r="L539" s="80" t="s">
        <v>1023</v>
      </c>
      <c r="M539">
        <f>COUNTIF(Kintoneデータ抽出!$D:$D,"*"&amp;病院別実績!L539&amp;"*")</f>
        <v>0</v>
      </c>
    </row>
    <row r="540" spans="12:13" ht="17.399999999999999" customHeight="1" thickBot="1" x14ac:dyDescent="0.5">
      <c r="L540" s="81" t="s">
        <v>1024</v>
      </c>
      <c r="M540">
        <f>COUNTIF(Kintoneデータ抽出!$D:$D,"*"&amp;病院別実績!L540&amp;"*")</f>
        <v>0</v>
      </c>
    </row>
    <row r="541" spans="12:13" ht="17.399999999999999" customHeight="1" thickBot="1" x14ac:dyDescent="0.5">
      <c r="L541" s="81" t="s">
        <v>1025</v>
      </c>
      <c r="M541">
        <f>COUNTIF(Kintoneデータ抽出!$D:$D,"*"&amp;病院別実績!L541&amp;"*")</f>
        <v>0</v>
      </c>
    </row>
    <row r="542" spans="12:13" ht="17.399999999999999" customHeight="1" thickBot="1" x14ac:dyDescent="0.5">
      <c r="L542" s="81" t="s">
        <v>1026</v>
      </c>
      <c r="M542">
        <f>COUNTIF(Kintoneデータ抽出!$D:$D,"*"&amp;病院別実績!L542&amp;"*")</f>
        <v>0</v>
      </c>
    </row>
    <row r="543" spans="12:13" ht="17.399999999999999" customHeight="1" thickBot="1" x14ac:dyDescent="0.5">
      <c r="L543" s="80" t="s">
        <v>1027</v>
      </c>
      <c r="M543">
        <f>COUNTIF(Kintoneデータ抽出!$D:$D,"*"&amp;病院別実績!L543&amp;"*")</f>
        <v>0</v>
      </c>
    </row>
    <row r="544" spans="12:13" ht="17.399999999999999" customHeight="1" thickBot="1" x14ac:dyDescent="0.5">
      <c r="L544" s="81" t="s">
        <v>1028</v>
      </c>
      <c r="M544">
        <f>COUNTIF(Kintoneデータ抽出!$D:$D,"*"&amp;病院別実績!L544&amp;"*")</f>
        <v>0</v>
      </c>
    </row>
    <row r="545" spans="12:13" ht="17.399999999999999" customHeight="1" thickBot="1" x14ac:dyDescent="0.5">
      <c r="L545" s="80" t="s">
        <v>1029</v>
      </c>
      <c r="M545">
        <f>COUNTIF(Kintoneデータ抽出!$D:$D,"*"&amp;病院別実績!L545&amp;"*")</f>
        <v>0</v>
      </c>
    </row>
    <row r="546" spans="12:13" ht="17.399999999999999" customHeight="1" thickBot="1" x14ac:dyDescent="0.5">
      <c r="L546" s="81" t="s">
        <v>1030</v>
      </c>
      <c r="M546">
        <f>COUNTIF(Kintoneデータ抽出!$D:$D,"*"&amp;病院別実績!L546&amp;"*")</f>
        <v>0</v>
      </c>
    </row>
    <row r="547" spans="12:13" ht="17.399999999999999" customHeight="1" thickBot="1" x14ac:dyDescent="0.5">
      <c r="L547" s="81" t="s">
        <v>1031</v>
      </c>
      <c r="M547">
        <f>COUNTIF(Kintoneデータ抽出!$D:$D,"*"&amp;病院別実績!L547&amp;"*")</f>
        <v>0</v>
      </c>
    </row>
    <row r="548" spans="12:13" ht="17.399999999999999" customHeight="1" thickBot="1" x14ac:dyDescent="0.5">
      <c r="L548" s="81" t="s">
        <v>1032</v>
      </c>
      <c r="M548">
        <f>COUNTIF(Kintoneデータ抽出!$D:$D,"*"&amp;病院別実績!L548&amp;"*")</f>
        <v>0</v>
      </c>
    </row>
    <row r="549" spans="12:13" ht="17.399999999999999" customHeight="1" thickBot="1" x14ac:dyDescent="0.5">
      <c r="L549" s="81" t="s">
        <v>1033</v>
      </c>
      <c r="M549">
        <f>COUNTIF(Kintoneデータ抽出!$D:$D,"*"&amp;病院別実績!L549&amp;"*")</f>
        <v>0</v>
      </c>
    </row>
    <row r="550" spans="12:13" ht="17.399999999999999" customHeight="1" thickBot="1" x14ac:dyDescent="0.5">
      <c r="L550" s="81" t="s">
        <v>1034</v>
      </c>
      <c r="M550">
        <f>COUNTIF(Kintoneデータ抽出!$D:$D,"*"&amp;病院別実績!L550&amp;"*")</f>
        <v>0</v>
      </c>
    </row>
    <row r="551" spans="12:13" ht="17.399999999999999" customHeight="1" thickBot="1" x14ac:dyDescent="0.5">
      <c r="L551" s="81" t="s">
        <v>1035</v>
      </c>
      <c r="M551">
        <f>COUNTIF(Kintoneデータ抽出!$D:$D,"*"&amp;病院別実績!L551&amp;"*")</f>
        <v>0</v>
      </c>
    </row>
    <row r="552" spans="12:13" ht="17.399999999999999" customHeight="1" thickBot="1" x14ac:dyDescent="0.5">
      <c r="L552" s="81" t="s">
        <v>1036</v>
      </c>
      <c r="M552">
        <f>COUNTIF(Kintoneデータ抽出!$D:$D,"*"&amp;病院別実績!L552&amp;"*")</f>
        <v>0</v>
      </c>
    </row>
    <row r="553" spans="12:13" ht="17.399999999999999" customHeight="1" thickBot="1" x14ac:dyDescent="0.5">
      <c r="L553" s="81" t="s">
        <v>1037</v>
      </c>
      <c r="M553">
        <f>COUNTIF(Kintoneデータ抽出!$D:$D,"*"&amp;病院別実績!L553&amp;"*")</f>
        <v>0</v>
      </c>
    </row>
    <row r="554" spans="12:13" ht="17.399999999999999" customHeight="1" thickBot="1" x14ac:dyDescent="0.5">
      <c r="L554" s="81" t="s">
        <v>1038</v>
      </c>
      <c r="M554">
        <f>COUNTIF(Kintoneデータ抽出!$D:$D,"*"&amp;病院別実績!L554&amp;"*")</f>
        <v>0</v>
      </c>
    </row>
    <row r="555" spans="12:13" ht="17.399999999999999" customHeight="1" thickBot="1" x14ac:dyDescent="0.5">
      <c r="L555" s="80" t="s">
        <v>1039</v>
      </c>
      <c r="M555">
        <f>COUNTIF(Kintoneデータ抽出!$D:$D,"*"&amp;病院別実績!L555&amp;"*")</f>
        <v>0</v>
      </c>
    </row>
    <row r="556" spans="12:13" ht="17.399999999999999" customHeight="1" thickBot="1" x14ac:dyDescent="0.5">
      <c r="L556" s="81" t="s">
        <v>1040</v>
      </c>
      <c r="M556">
        <f>COUNTIF(Kintoneデータ抽出!$D:$D,"*"&amp;病院別実績!L556&amp;"*")</f>
        <v>0</v>
      </c>
    </row>
    <row r="557" spans="12:13" ht="17.399999999999999" customHeight="1" thickBot="1" x14ac:dyDescent="0.5">
      <c r="L557" s="80" t="s">
        <v>1041</v>
      </c>
      <c r="M557">
        <f>COUNTIF(Kintoneデータ抽出!$D:$D,"*"&amp;病院別実績!L557&amp;"*")</f>
        <v>0</v>
      </c>
    </row>
    <row r="558" spans="12:13" ht="17.399999999999999" customHeight="1" thickBot="1" x14ac:dyDescent="0.5">
      <c r="L558" s="80" t="s">
        <v>1042</v>
      </c>
      <c r="M558">
        <f>COUNTIF(Kintoneデータ抽出!$D:$D,"*"&amp;病院別実績!L558&amp;"*")</f>
        <v>0</v>
      </c>
    </row>
    <row r="559" spans="12:13" ht="17.399999999999999" customHeight="1" thickBot="1" x14ac:dyDescent="0.5">
      <c r="L559" s="81" t="s">
        <v>1043</v>
      </c>
      <c r="M559">
        <f>COUNTIF(Kintoneデータ抽出!$D:$D,"*"&amp;病院別実績!L559&amp;"*")</f>
        <v>0</v>
      </c>
    </row>
    <row r="560" spans="12:13" ht="17.399999999999999" customHeight="1" thickBot="1" x14ac:dyDescent="0.5">
      <c r="L560" s="81" t="s">
        <v>1044</v>
      </c>
      <c r="M560">
        <f>COUNTIF(Kintoneデータ抽出!$D:$D,"*"&amp;病院別実績!L560&amp;"*")</f>
        <v>0</v>
      </c>
    </row>
    <row r="561" spans="12:13" ht="17.399999999999999" customHeight="1" thickBot="1" x14ac:dyDescent="0.5">
      <c r="L561" s="81" t="s">
        <v>1045</v>
      </c>
      <c r="M561">
        <f>COUNTIF(Kintoneデータ抽出!$D:$D,"*"&amp;病院別実績!L561&amp;"*")</f>
        <v>0</v>
      </c>
    </row>
    <row r="562" spans="12:13" ht="17.399999999999999" customHeight="1" thickBot="1" x14ac:dyDescent="0.5">
      <c r="L562" s="80" t="s">
        <v>1046</v>
      </c>
      <c r="M562">
        <f>COUNTIF(Kintoneデータ抽出!$D:$D,"*"&amp;病院別実績!L562&amp;"*")</f>
        <v>0</v>
      </c>
    </row>
    <row r="563" spans="12:13" ht="17.399999999999999" customHeight="1" thickBot="1" x14ac:dyDescent="0.5">
      <c r="L563" s="81" t="s">
        <v>1047</v>
      </c>
      <c r="M563">
        <f>COUNTIF(Kintoneデータ抽出!$D:$D,"*"&amp;病院別実績!L563&amp;"*")</f>
        <v>0</v>
      </c>
    </row>
    <row r="564" spans="12:13" ht="17.399999999999999" customHeight="1" thickBot="1" x14ac:dyDescent="0.5">
      <c r="L564" s="81" t="s">
        <v>1048</v>
      </c>
      <c r="M564">
        <f>COUNTIF(Kintoneデータ抽出!$D:$D,"*"&amp;病院別実績!L564&amp;"*")</f>
        <v>0</v>
      </c>
    </row>
    <row r="565" spans="12:13" ht="17.399999999999999" customHeight="1" thickBot="1" x14ac:dyDescent="0.5">
      <c r="L565" s="81" t="s">
        <v>1049</v>
      </c>
      <c r="M565">
        <f>COUNTIF(Kintoneデータ抽出!$D:$D,"*"&amp;病院別実績!L565&amp;"*")</f>
        <v>0</v>
      </c>
    </row>
    <row r="566" spans="12:13" ht="17.399999999999999" customHeight="1" thickBot="1" x14ac:dyDescent="0.5">
      <c r="L566" s="81" t="s">
        <v>1050</v>
      </c>
      <c r="M566">
        <f>COUNTIF(Kintoneデータ抽出!$D:$D,"*"&amp;病院別実績!L566&amp;"*")</f>
        <v>0</v>
      </c>
    </row>
    <row r="567" spans="12:13" ht="17.399999999999999" customHeight="1" thickBot="1" x14ac:dyDescent="0.5">
      <c r="L567" s="81" t="s">
        <v>1051</v>
      </c>
      <c r="M567">
        <f>COUNTIF(Kintoneデータ抽出!$D:$D,"*"&amp;病院別実績!L567&amp;"*")</f>
        <v>0</v>
      </c>
    </row>
    <row r="568" spans="12:13" ht="17.399999999999999" customHeight="1" thickBot="1" x14ac:dyDescent="0.5">
      <c r="L568" s="81" t="s">
        <v>1052</v>
      </c>
      <c r="M568">
        <f>COUNTIF(Kintoneデータ抽出!$D:$D,"*"&amp;病院別実績!L568&amp;"*")</f>
        <v>0</v>
      </c>
    </row>
    <row r="569" spans="12:13" ht="17.399999999999999" customHeight="1" thickBot="1" x14ac:dyDescent="0.5">
      <c r="L569" s="81" t="s">
        <v>1053</v>
      </c>
      <c r="M569">
        <f>COUNTIF(Kintoneデータ抽出!$D:$D,"*"&amp;病院別実績!L569&amp;"*")</f>
        <v>0</v>
      </c>
    </row>
    <row r="570" spans="12:13" ht="17.399999999999999" customHeight="1" thickBot="1" x14ac:dyDescent="0.5">
      <c r="L570" s="80" t="s">
        <v>1054</v>
      </c>
      <c r="M570">
        <f>COUNTIF(Kintoneデータ抽出!$D:$D,"*"&amp;病院別実績!L570&amp;"*")</f>
        <v>0</v>
      </c>
    </row>
    <row r="571" spans="12:13" ht="17.399999999999999" customHeight="1" thickBot="1" x14ac:dyDescent="0.5">
      <c r="L571" s="80" t="s">
        <v>1055</v>
      </c>
      <c r="M571">
        <f>COUNTIF(Kintoneデータ抽出!$D:$D,"*"&amp;病院別実績!L571&amp;"*")</f>
        <v>0</v>
      </c>
    </row>
    <row r="572" spans="12:13" ht="17.399999999999999" customHeight="1" thickBot="1" x14ac:dyDescent="0.5">
      <c r="L572" s="81" t="s">
        <v>1056</v>
      </c>
      <c r="M572">
        <f>COUNTIF(Kintoneデータ抽出!$D:$D,"*"&amp;病院別実績!L572&amp;"*")</f>
        <v>0</v>
      </c>
    </row>
    <row r="573" spans="12:13" ht="17.399999999999999" customHeight="1" thickBot="1" x14ac:dyDescent="0.5">
      <c r="L573" s="80" t="s">
        <v>1057</v>
      </c>
      <c r="M573">
        <f>COUNTIF(Kintoneデータ抽出!$D:$D,"*"&amp;病院別実績!L573&amp;"*")</f>
        <v>0</v>
      </c>
    </row>
    <row r="574" spans="12:13" ht="17.399999999999999" customHeight="1" thickBot="1" x14ac:dyDescent="0.5">
      <c r="L574" s="81" t="s">
        <v>1058</v>
      </c>
      <c r="M574">
        <f>COUNTIF(Kintoneデータ抽出!$D:$D,"*"&amp;病院別実績!L574&amp;"*")</f>
        <v>0</v>
      </c>
    </row>
    <row r="575" spans="12:13" ht="17.399999999999999" customHeight="1" thickBot="1" x14ac:dyDescent="0.5">
      <c r="L575" s="81" t="s">
        <v>1059</v>
      </c>
      <c r="M575">
        <f>COUNTIF(Kintoneデータ抽出!$D:$D,"*"&amp;病院別実績!L575&amp;"*")</f>
        <v>0</v>
      </c>
    </row>
    <row r="576" spans="12:13" ht="17.399999999999999" customHeight="1" thickBot="1" x14ac:dyDescent="0.5">
      <c r="L576" s="81" t="s">
        <v>1060</v>
      </c>
      <c r="M576">
        <f>COUNTIF(Kintoneデータ抽出!$D:$D,"*"&amp;病院別実績!L576&amp;"*")</f>
        <v>0</v>
      </c>
    </row>
    <row r="577" spans="12:13" ht="17.399999999999999" customHeight="1" thickBot="1" x14ac:dyDescent="0.5">
      <c r="L577" s="81" t="s">
        <v>1061</v>
      </c>
      <c r="M577">
        <f>COUNTIF(Kintoneデータ抽出!$D:$D,"*"&amp;病院別実績!L577&amp;"*")</f>
        <v>0</v>
      </c>
    </row>
    <row r="578" spans="12:13" ht="17.399999999999999" customHeight="1" thickBot="1" x14ac:dyDescent="0.5">
      <c r="L578" s="81" t="s">
        <v>1062</v>
      </c>
      <c r="M578">
        <f>COUNTIF(Kintoneデータ抽出!$D:$D,"*"&amp;病院別実績!L578&amp;"*")</f>
        <v>0</v>
      </c>
    </row>
    <row r="579" spans="12:13" ht="17.399999999999999" customHeight="1" thickBot="1" x14ac:dyDescent="0.5">
      <c r="L579" s="81" t="s">
        <v>1063</v>
      </c>
      <c r="M579">
        <f>COUNTIF(Kintoneデータ抽出!$D:$D,"*"&amp;病院別実績!L579&amp;"*")</f>
        <v>0</v>
      </c>
    </row>
    <row r="580" spans="12:13" ht="17.399999999999999" customHeight="1" thickBot="1" x14ac:dyDescent="0.5">
      <c r="L580" s="81" t="s">
        <v>1064</v>
      </c>
      <c r="M580">
        <f>COUNTIF(Kintoneデータ抽出!$D:$D,"*"&amp;病院別実績!L580&amp;"*")</f>
        <v>0</v>
      </c>
    </row>
    <row r="581" spans="12:13" ht="17.399999999999999" customHeight="1" thickBot="1" x14ac:dyDescent="0.5">
      <c r="L581" s="81" t="s">
        <v>1065</v>
      </c>
      <c r="M581">
        <f>COUNTIF(Kintoneデータ抽出!$D:$D,"*"&amp;病院別実績!L581&amp;"*")</f>
        <v>0</v>
      </c>
    </row>
    <row r="582" spans="12:13" ht="17.399999999999999" customHeight="1" thickBot="1" x14ac:dyDescent="0.5">
      <c r="L582" s="81" t="s">
        <v>1066</v>
      </c>
      <c r="M582">
        <f>COUNTIF(Kintoneデータ抽出!$D:$D,"*"&amp;病院別実績!L582&amp;"*")</f>
        <v>0</v>
      </c>
    </row>
    <row r="583" spans="12:13" ht="17.399999999999999" customHeight="1" thickBot="1" x14ac:dyDescent="0.5">
      <c r="L583" s="81" t="s">
        <v>1067</v>
      </c>
      <c r="M583">
        <f>COUNTIF(Kintoneデータ抽出!$D:$D,"*"&amp;病院別実績!L583&amp;"*")</f>
        <v>0</v>
      </c>
    </row>
    <row r="584" spans="12:13" ht="17.399999999999999" customHeight="1" thickBot="1" x14ac:dyDescent="0.5">
      <c r="L584" s="81" t="s">
        <v>1068</v>
      </c>
      <c r="M584">
        <f>COUNTIF(Kintoneデータ抽出!$D:$D,"*"&amp;病院別実績!L584&amp;"*")</f>
        <v>0</v>
      </c>
    </row>
    <row r="585" spans="12:13" ht="17.399999999999999" customHeight="1" thickBot="1" x14ac:dyDescent="0.5">
      <c r="L585" s="81" t="s">
        <v>1069</v>
      </c>
      <c r="M585">
        <f>COUNTIF(Kintoneデータ抽出!$D:$D,"*"&amp;病院別実績!L585&amp;"*")</f>
        <v>0</v>
      </c>
    </row>
    <row r="586" spans="12:13" ht="17.399999999999999" customHeight="1" thickBot="1" x14ac:dyDescent="0.5">
      <c r="L586" s="81" t="s">
        <v>1070</v>
      </c>
      <c r="M586">
        <f>COUNTIF(Kintoneデータ抽出!$D:$D,"*"&amp;病院別実績!L586&amp;"*")</f>
        <v>0</v>
      </c>
    </row>
    <row r="587" spans="12:13" ht="17.399999999999999" customHeight="1" thickBot="1" x14ac:dyDescent="0.5">
      <c r="L587" s="81" t="s">
        <v>1071</v>
      </c>
      <c r="M587">
        <f>COUNTIF(Kintoneデータ抽出!$D:$D,"*"&amp;病院別実績!L587&amp;"*")</f>
        <v>0</v>
      </c>
    </row>
    <row r="588" spans="12:13" ht="17.399999999999999" customHeight="1" thickBot="1" x14ac:dyDescent="0.5">
      <c r="L588" s="81" t="s">
        <v>1072</v>
      </c>
      <c r="M588">
        <f>COUNTIF(Kintoneデータ抽出!$D:$D,"*"&amp;病院別実績!L588&amp;"*")</f>
        <v>0</v>
      </c>
    </row>
    <row r="589" spans="12:13" ht="17.399999999999999" customHeight="1" thickBot="1" x14ac:dyDescent="0.5">
      <c r="L589" s="81" t="s">
        <v>1073</v>
      </c>
      <c r="M589">
        <f>COUNTIF(Kintoneデータ抽出!$D:$D,"*"&amp;病院別実績!L589&amp;"*")</f>
        <v>0</v>
      </c>
    </row>
    <row r="590" spans="12:13" ht="17.399999999999999" customHeight="1" thickBot="1" x14ac:dyDescent="0.5">
      <c r="L590" s="81" t="s">
        <v>1074</v>
      </c>
      <c r="M590">
        <f>COUNTIF(Kintoneデータ抽出!$D:$D,"*"&amp;病院別実績!L590&amp;"*")</f>
        <v>0</v>
      </c>
    </row>
    <row r="591" spans="12:13" ht="17.399999999999999" customHeight="1" thickBot="1" x14ac:dyDescent="0.5">
      <c r="L591" s="81" t="s">
        <v>1075</v>
      </c>
      <c r="M591">
        <f>COUNTIF(Kintoneデータ抽出!$D:$D,"*"&amp;病院別実績!L591&amp;"*")</f>
        <v>0</v>
      </c>
    </row>
    <row r="592" spans="12:13" ht="17.399999999999999" customHeight="1" thickBot="1" x14ac:dyDescent="0.5">
      <c r="L592" s="81" t="s">
        <v>1076</v>
      </c>
      <c r="M592">
        <f>COUNTIF(Kintoneデータ抽出!$D:$D,"*"&amp;病院別実績!L592&amp;"*")</f>
        <v>0</v>
      </c>
    </row>
    <row r="593" spans="12:13" ht="17.399999999999999" customHeight="1" thickBot="1" x14ac:dyDescent="0.5">
      <c r="L593" s="80" t="s">
        <v>1077</v>
      </c>
      <c r="M593">
        <f>COUNTIF(Kintoneデータ抽出!$D:$D,"*"&amp;病院別実績!L593&amp;"*")</f>
        <v>0</v>
      </c>
    </row>
    <row r="594" spans="12:13" ht="17.399999999999999" customHeight="1" thickBot="1" x14ac:dyDescent="0.5">
      <c r="L594" s="80" t="s">
        <v>1078</v>
      </c>
      <c r="M594">
        <f>COUNTIF(Kintoneデータ抽出!$D:$D,"*"&amp;病院別実績!L594&amp;"*")</f>
        <v>0</v>
      </c>
    </row>
    <row r="595" spans="12:13" ht="17.399999999999999" customHeight="1" thickBot="1" x14ac:dyDescent="0.5">
      <c r="L595" s="80" t="s">
        <v>1079</v>
      </c>
      <c r="M595">
        <f>COUNTIF(Kintoneデータ抽出!$D:$D,"*"&amp;病院別実績!L595&amp;"*")</f>
        <v>0</v>
      </c>
    </row>
    <row r="596" spans="12:13" ht="17.399999999999999" customHeight="1" thickBot="1" x14ac:dyDescent="0.5">
      <c r="L596" s="81" t="s">
        <v>1080</v>
      </c>
      <c r="M596">
        <f>COUNTIF(Kintoneデータ抽出!$D:$D,"*"&amp;病院別実績!L596&amp;"*")</f>
        <v>0</v>
      </c>
    </row>
    <row r="597" spans="12:13" ht="17.399999999999999" customHeight="1" thickBot="1" x14ac:dyDescent="0.5">
      <c r="L597" s="80" t="s">
        <v>1081</v>
      </c>
      <c r="M597">
        <f>COUNTIF(Kintoneデータ抽出!$D:$D,"*"&amp;病院別実績!L597&amp;"*")</f>
        <v>0</v>
      </c>
    </row>
    <row r="598" spans="12:13" ht="17.399999999999999" customHeight="1" thickBot="1" x14ac:dyDescent="0.5">
      <c r="L598" s="81" t="s">
        <v>1082</v>
      </c>
      <c r="M598">
        <f>COUNTIF(Kintoneデータ抽出!$D:$D,"*"&amp;病院別実績!L598&amp;"*")</f>
        <v>0</v>
      </c>
    </row>
    <row r="599" spans="12:13" ht="17.399999999999999" customHeight="1" thickBot="1" x14ac:dyDescent="0.5">
      <c r="L599" s="81" t="s">
        <v>1083</v>
      </c>
      <c r="M599">
        <f>COUNTIF(Kintoneデータ抽出!$D:$D,"*"&amp;病院別実績!L599&amp;"*")</f>
        <v>0</v>
      </c>
    </row>
    <row r="600" spans="12:13" ht="17.399999999999999" customHeight="1" thickBot="1" x14ac:dyDescent="0.5">
      <c r="L600" s="80" t="s">
        <v>1084</v>
      </c>
      <c r="M600">
        <f>COUNTIF(Kintoneデータ抽出!$D:$D,"*"&amp;病院別実績!L600&amp;"*")</f>
        <v>0</v>
      </c>
    </row>
    <row r="601" spans="12:13" ht="17.399999999999999" customHeight="1" thickBot="1" x14ac:dyDescent="0.5">
      <c r="L601" s="80" t="s">
        <v>1085</v>
      </c>
      <c r="M601">
        <f>COUNTIF(Kintoneデータ抽出!$D:$D,"*"&amp;病院別実績!L601&amp;"*")</f>
        <v>0</v>
      </c>
    </row>
    <row r="602" spans="12:13" ht="17.399999999999999" customHeight="1" thickBot="1" x14ac:dyDescent="0.5">
      <c r="L602" s="81" t="s">
        <v>1086</v>
      </c>
      <c r="M602">
        <f>COUNTIF(Kintoneデータ抽出!$D:$D,"*"&amp;病院別実績!L602&amp;"*")</f>
        <v>0</v>
      </c>
    </row>
    <row r="603" spans="12:13" ht="17.399999999999999" customHeight="1" thickBot="1" x14ac:dyDescent="0.5">
      <c r="L603" s="80" t="s">
        <v>1087</v>
      </c>
      <c r="M603">
        <f>COUNTIF(Kintoneデータ抽出!$D:$D,"*"&amp;病院別実績!L603&amp;"*")</f>
        <v>0</v>
      </c>
    </row>
    <row r="604" spans="12:13" ht="17.399999999999999" customHeight="1" thickBot="1" x14ac:dyDescent="0.5">
      <c r="L604" s="81" t="s">
        <v>1088</v>
      </c>
      <c r="M604">
        <f>COUNTIF(Kintoneデータ抽出!$D:$D,"*"&amp;病院別実績!L604&amp;"*")</f>
        <v>0</v>
      </c>
    </row>
    <row r="605" spans="12:13" ht="17.399999999999999" customHeight="1" thickBot="1" x14ac:dyDescent="0.5">
      <c r="L605" s="81" t="s">
        <v>1089</v>
      </c>
      <c r="M605">
        <f>COUNTIF(Kintoneデータ抽出!$D:$D,"*"&amp;病院別実績!L605&amp;"*")</f>
        <v>0</v>
      </c>
    </row>
    <row r="606" spans="12:13" ht="17.399999999999999" customHeight="1" thickBot="1" x14ac:dyDescent="0.5">
      <c r="L606" s="81" t="s">
        <v>1090</v>
      </c>
      <c r="M606">
        <f>COUNTIF(Kintoneデータ抽出!$D:$D,"*"&amp;病院別実績!L606&amp;"*")</f>
        <v>0</v>
      </c>
    </row>
    <row r="607" spans="12:13" ht="17.399999999999999" customHeight="1" thickBot="1" x14ac:dyDescent="0.5">
      <c r="L607" s="81" t="s">
        <v>1091</v>
      </c>
      <c r="M607">
        <f>COUNTIF(Kintoneデータ抽出!$D:$D,"*"&amp;病院別実績!L607&amp;"*")</f>
        <v>0</v>
      </c>
    </row>
    <row r="608" spans="12:13" ht="17.399999999999999" customHeight="1" thickBot="1" x14ac:dyDescent="0.5">
      <c r="L608" s="81" t="s">
        <v>1092</v>
      </c>
      <c r="M608">
        <f>COUNTIF(Kintoneデータ抽出!$D:$D,"*"&amp;病院別実績!L608&amp;"*")</f>
        <v>0</v>
      </c>
    </row>
    <row r="609" spans="12:13" ht="17.399999999999999" customHeight="1" thickBot="1" x14ac:dyDescent="0.5">
      <c r="L609" s="81" t="s">
        <v>1093</v>
      </c>
      <c r="M609">
        <f>COUNTIF(Kintoneデータ抽出!$D:$D,"*"&amp;病院別実績!L609&amp;"*")</f>
        <v>0</v>
      </c>
    </row>
    <row r="610" spans="12:13" ht="17.399999999999999" customHeight="1" thickBot="1" x14ac:dyDescent="0.5">
      <c r="L610" s="81" t="s">
        <v>1094</v>
      </c>
      <c r="M610">
        <f>COUNTIF(Kintoneデータ抽出!$D:$D,"*"&amp;病院別実績!L610&amp;"*")</f>
        <v>0</v>
      </c>
    </row>
    <row r="611" spans="12:13" ht="17.399999999999999" customHeight="1" thickBot="1" x14ac:dyDescent="0.5">
      <c r="L611" s="81" t="s">
        <v>1095</v>
      </c>
      <c r="M611">
        <f>COUNTIF(Kintoneデータ抽出!$D:$D,"*"&amp;病院別実績!L611&amp;"*")</f>
        <v>0</v>
      </c>
    </row>
    <row r="612" spans="12:13" ht="17.399999999999999" customHeight="1" thickBot="1" x14ac:dyDescent="0.5">
      <c r="L612" s="80" t="s">
        <v>1096</v>
      </c>
      <c r="M612">
        <f>COUNTIF(Kintoneデータ抽出!$D:$D,"*"&amp;病院別実績!L612&amp;"*")</f>
        <v>0</v>
      </c>
    </row>
    <row r="613" spans="12:13" ht="17.399999999999999" customHeight="1" thickBot="1" x14ac:dyDescent="0.5">
      <c r="L613" s="80" t="s">
        <v>1097</v>
      </c>
      <c r="M613">
        <f>COUNTIF(Kintoneデータ抽出!$D:$D,"*"&amp;病院別実績!L613&amp;"*")</f>
        <v>0</v>
      </c>
    </row>
    <row r="614" spans="12:13" ht="17.399999999999999" customHeight="1" thickBot="1" x14ac:dyDescent="0.5">
      <c r="L614" s="81" t="s">
        <v>1098</v>
      </c>
      <c r="M614">
        <f>COUNTIF(Kintoneデータ抽出!$D:$D,"*"&amp;病院別実績!L614&amp;"*")</f>
        <v>0</v>
      </c>
    </row>
    <row r="615" spans="12:13" ht="17.399999999999999" customHeight="1" thickBot="1" x14ac:dyDescent="0.5">
      <c r="L615" s="80" t="s">
        <v>1099</v>
      </c>
      <c r="M615">
        <f>COUNTIF(Kintoneデータ抽出!$D:$D,"*"&amp;病院別実績!L615&amp;"*")</f>
        <v>0</v>
      </c>
    </row>
    <row r="616" spans="12:13" ht="17.399999999999999" customHeight="1" thickBot="1" x14ac:dyDescent="0.5">
      <c r="L616" s="81" t="s">
        <v>1100</v>
      </c>
      <c r="M616">
        <f>COUNTIF(Kintoneデータ抽出!$D:$D,"*"&amp;病院別実績!L616&amp;"*")</f>
        <v>0</v>
      </c>
    </row>
    <row r="617" spans="12:13" ht="17.399999999999999" customHeight="1" thickBot="1" x14ac:dyDescent="0.5">
      <c r="L617" s="81" t="s">
        <v>1101</v>
      </c>
      <c r="M617">
        <f>COUNTIF(Kintoneデータ抽出!$D:$D,"*"&amp;病院別実績!L617&amp;"*")</f>
        <v>0</v>
      </c>
    </row>
    <row r="618" spans="12:13" ht="17.399999999999999" customHeight="1" thickBot="1" x14ac:dyDescent="0.5">
      <c r="L618" s="80" t="s">
        <v>1102</v>
      </c>
      <c r="M618">
        <f>COUNTIF(Kintoneデータ抽出!$D:$D,"*"&amp;病院別実績!L618&amp;"*")</f>
        <v>0</v>
      </c>
    </row>
    <row r="619" spans="12:13" ht="17.399999999999999" customHeight="1" thickBot="1" x14ac:dyDescent="0.5">
      <c r="L619" s="81" t="s">
        <v>1103</v>
      </c>
      <c r="M619">
        <f>COUNTIF(Kintoneデータ抽出!$D:$D,"*"&amp;病院別実績!L619&amp;"*")</f>
        <v>0</v>
      </c>
    </row>
    <row r="620" spans="12:13" ht="17.399999999999999" customHeight="1" thickBot="1" x14ac:dyDescent="0.5">
      <c r="L620" s="80" t="s">
        <v>1104</v>
      </c>
      <c r="M620">
        <f>COUNTIF(Kintoneデータ抽出!$D:$D,"*"&amp;病院別実績!L620&amp;"*")</f>
        <v>0</v>
      </c>
    </row>
    <row r="621" spans="12:13" ht="17.399999999999999" customHeight="1" thickBot="1" x14ac:dyDescent="0.5">
      <c r="L621" s="81" t="s">
        <v>1105</v>
      </c>
      <c r="M621">
        <f>COUNTIF(Kintoneデータ抽出!$D:$D,"*"&amp;病院別実績!L621&amp;"*")</f>
        <v>0</v>
      </c>
    </row>
    <row r="622" spans="12:13" ht="17.399999999999999" customHeight="1" thickBot="1" x14ac:dyDescent="0.5">
      <c r="L622" s="80" t="s">
        <v>1106</v>
      </c>
      <c r="M622">
        <f>COUNTIF(Kintoneデータ抽出!$D:$D,"*"&amp;病院別実績!L622&amp;"*")</f>
        <v>0</v>
      </c>
    </row>
    <row r="623" spans="12:13" ht="17.399999999999999" customHeight="1" thickBot="1" x14ac:dyDescent="0.5">
      <c r="L623" s="81" t="s">
        <v>1107</v>
      </c>
      <c r="M623">
        <f>COUNTIF(Kintoneデータ抽出!$D:$D,"*"&amp;病院別実績!L623&amp;"*")</f>
        <v>0</v>
      </c>
    </row>
    <row r="624" spans="12:13" ht="17.399999999999999" customHeight="1" thickBot="1" x14ac:dyDescent="0.5">
      <c r="L624" s="81" t="s">
        <v>1108</v>
      </c>
      <c r="M624">
        <f>COUNTIF(Kintoneデータ抽出!$D:$D,"*"&amp;病院別実績!L624&amp;"*")</f>
        <v>0</v>
      </c>
    </row>
    <row r="625" spans="12:13" ht="17.399999999999999" customHeight="1" thickBot="1" x14ac:dyDescent="0.5">
      <c r="L625" s="81" t="s">
        <v>1109</v>
      </c>
      <c r="M625">
        <f>COUNTIF(Kintoneデータ抽出!$D:$D,"*"&amp;病院別実績!L625&amp;"*")</f>
        <v>0</v>
      </c>
    </row>
    <row r="626" spans="12:13" ht="17.399999999999999" customHeight="1" thickBot="1" x14ac:dyDescent="0.5">
      <c r="L626" s="81" t="s">
        <v>1110</v>
      </c>
      <c r="M626">
        <f>COUNTIF(Kintoneデータ抽出!$D:$D,"*"&amp;病院別実績!L626&amp;"*")</f>
        <v>0</v>
      </c>
    </row>
    <row r="627" spans="12:13" ht="17.399999999999999" customHeight="1" thickBot="1" x14ac:dyDescent="0.5">
      <c r="L627" s="80" t="s">
        <v>1111</v>
      </c>
      <c r="M627">
        <f>COUNTIF(Kintoneデータ抽出!$D:$D,"*"&amp;病院別実績!L627&amp;"*")</f>
        <v>0</v>
      </c>
    </row>
    <row r="628" spans="12:13" ht="17.399999999999999" customHeight="1" thickBot="1" x14ac:dyDescent="0.5">
      <c r="L628" s="81" t="s">
        <v>1112</v>
      </c>
      <c r="M628">
        <f>COUNTIF(Kintoneデータ抽出!$D:$D,"*"&amp;病院別実績!L628&amp;"*")</f>
        <v>0</v>
      </c>
    </row>
    <row r="629" spans="12:13" ht="17.399999999999999" customHeight="1" thickBot="1" x14ac:dyDescent="0.5">
      <c r="L629" s="81" t="s">
        <v>1113</v>
      </c>
      <c r="M629">
        <f>COUNTIF(Kintoneデータ抽出!$D:$D,"*"&amp;病院別実績!L629&amp;"*")</f>
        <v>0</v>
      </c>
    </row>
    <row r="630" spans="12:13" ht="17.399999999999999" customHeight="1" thickBot="1" x14ac:dyDescent="0.5">
      <c r="L630" s="80" t="s">
        <v>1114</v>
      </c>
      <c r="M630">
        <f>COUNTIF(Kintoneデータ抽出!$D:$D,"*"&amp;病院別実績!L630&amp;"*")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1115</v>
      </c>
    </row>
    <row r="2" spans="1:2" x14ac:dyDescent="0.45">
      <c r="A2" t="s">
        <v>7</v>
      </c>
      <c r="B2" t="s">
        <v>1116</v>
      </c>
    </row>
    <row r="3" spans="1:2" x14ac:dyDescent="0.45">
      <c r="A3" t="s">
        <v>6</v>
      </c>
      <c r="B3" t="s">
        <v>1117</v>
      </c>
    </row>
    <row r="4" spans="1:2" x14ac:dyDescent="0.45">
      <c r="A4" t="s">
        <v>5</v>
      </c>
      <c r="B4" t="s">
        <v>1118</v>
      </c>
    </row>
    <row r="5" spans="1:2" x14ac:dyDescent="0.45">
      <c r="A5" t="s">
        <v>8</v>
      </c>
      <c r="B5" t="s">
        <v>1119</v>
      </c>
    </row>
    <row r="6" spans="1:2" x14ac:dyDescent="0.45">
      <c r="A6" t="s">
        <v>4</v>
      </c>
      <c r="B6" t="s">
        <v>1120</v>
      </c>
    </row>
    <row r="7" spans="1:2" x14ac:dyDescent="0.45">
      <c r="A7" t="s">
        <v>1121</v>
      </c>
      <c r="B7" t="s">
        <v>1122</v>
      </c>
    </row>
    <row r="8" spans="1:2" x14ac:dyDescent="0.45">
      <c r="A8" t="s">
        <v>9</v>
      </c>
      <c r="B8" t="s">
        <v>1123</v>
      </c>
    </row>
    <row r="9" spans="1:2" x14ac:dyDescent="0.45">
      <c r="A9" t="s">
        <v>29</v>
      </c>
      <c r="B9" t="s">
        <v>1124</v>
      </c>
    </row>
    <row r="10" spans="1:2" x14ac:dyDescent="0.45">
      <c r="A10" t="s">
        <v>17</v>
      </c>
      <c r="B10" t="s">
        <v>1125</v>
      </c>
    </row>
    <row r="11" spans="1:2" x14ac:dyDescent="0.45">
      <c r="A11" t="s">
        <v>16</v>
      </c>
      <c r="B11" t="s">
        <v>1126</v>
      </c>
    </row>
    <row r="12" spans="1:2" x14ac:dyDescent="0.45">
      <c r="A12" t="s">
        <v>13</v>
      </c>
      <c r="B12" t="s">
        <v>1127</v>
      </c>
    </row>
    <row r="13" spans="1:2" x14ac:dyDescent="0.45">
      <c r="A13" t="s">
        <v>12</v>
      </c>
      <c r="B13" t="s">
        <v>1128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2026-02-03T14:48:27Z</dcterms:modified>
</cp:coreProperties>
</file>