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DDCE91-8B36-42E0-B31D-E28F1B9CD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intoneデータ抽出" sheetId="1" r:id="rId1"/>
    <sheet name="クライアント名あり（縦）" sheetId="2" r:id="rId2"/>
    <sheet name="地図版 " sheetId="3" r:id="rId3"/>
    <sheet name="病院別実績" sheetId="4" r:id="rId4"/>
    <sheet name="基本開園日の表記" sheetId="8" r:id="rId5"/>
  </sheets>
  <definedNames>
    <definedName name="_xlnm.Print_Area" localSheetId="1">'クライアント名あり（縦）'!$A$1:$Q$372</definedName>
    <definedName name="_xlnm.Print_Area" localSheetId="2">'地図版 '!$A$1:$AK$42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 a="1"/>
  <c r="F12" i="2" s="1"/>
  <c r="G12" i="2" a="1"/>
  <c r="G12" i="2" s="1"/>
  <c r="H12" i="2" a="1"/>
  <c r="H12" i="2" s="1"/>
  <c r="D12" i="2" s="1"/>
  <c r="I12" i="2" a="1"/>
  <c r="I12" i="2" s="1"/>
  <c r="J12" i="2" a="1"/>
  <c r="J12" i="2" s="1"/>
  <c r="N6" i="3"/>
  <c r="K4" i="2" s="1"/>
  <c r="N5" i="3"/>
  <c r="K6" i="2" s="1"/>
  <c r="N4" i="3"/>
  <c r="K5" i="2" s="1"/>
  <c r="N8" i="3"/>
  <c r="K8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12" i="2" a="1"/>
  <c r="O12" i="2" s="1"/>
  <c r="O38" i="2" a="1"/>
  <c r="O3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 s="1"/>
  <c r="O330" i="2" a="1"/>
  <c r="O330" i="2" s="1"/>
  <c r="O331" i="2" a="1"/>
  <c r="O331" i="2" s="1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 s="1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 s="1"/>
  <c r="O369" i="2" a="1"/>
  <c r="O369" i="2" s="1"/>
  <c r="O370" i="2" a="1"/>
  <c r="O370" i="2" s="1"/>
  <c r="O371" i="2" a="1"/>
  <c r="O371" i="2" s="1"/>
  <c r="O372" i="2" a="1"/>
  <c r="O372" i="2" s="1"/>
  <c r="O308" i="2" a="1"/>
  <c r="O308" i="2" s="1"/>
  <c r="O279" i="2" a="1"/>
  <c r="O279" i="2" s="1"/>
  <c r="O280" i="2" a="1"/>
  <c r="O280" i="2" s="1"/>
  <c r="O281" i="2" a="1"/>
  <c r="O281" i="2" s="1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 s="1"/>
  <c r="O294" i="2" a="1"/>
  <c r="O294" i="2" s="1"/>
  <c r="O295" i="2" a="1"/>
  <c r="O295" i="2" s="1"/>
  <c r="O296" i="2" a="1"/>
  <c r="O296" i="2" s="1"/>
  <c r="O297" i="2" a="1"/>
  <c r="O297" i="2" s="1"/>
  <c r="O298" i="2" a="1"/>
  <c r="O298" i="2" s="1"/>
  <c r="O299" i="2" a="1"/>
  <c r="O299" i="2" s="1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277" i="2" a="1"/>
  <c r="O277" i="2" s="1"/>
  <c r="O276" i="2" a="1"/>
  <c r="O276" i="2" s="1"/>
  <c r="O275" i="2" a="1"/>
  <c r="O275" i="2" s="1"/>
  <c r="O274" i="2" a="1"/>
  <c r="O274" i="2" s="1"/>
  <c r="O273" i="2" a="1"/>
  <c r="O273" i="2" s="1"/>
  <c r="O272" i="2" a="1"/>
  <c r="O272" i="2" s="1"/>
  <c r="O271" i="2" a="1"/>
  <c r="O271" i="2" s="1"/>
  <c r="O270" i="2" a="1"/>
  <c r="O270" i="2" s="1"/>
  <c r="O269" i="2" a="1"/>
  <c r="O269" i="2" s="1"/>
  <c r="O268" i="2" a="1"/>
  <c r="O268" i="2" s="1"/>
  <c r="O267" i="2" a="1"/>
  <c r="O267" i="2" s="1"/>
  <c r="O266" i="2" a="1"/>
  <c r="O266" i="2" s="1"/>
  <c r="O265" i="2" a="1"/>
  <c r="O265" i="2" s="1"/>
  <c r="O264" i="2" a="1"/>
  <c r="O264" i="2" s="1"/>
  <c r="O263" i="2" a="1"/>
  <c r="O263" i="2" s="1"/>
  <c r="O262" i="2" a="1"/>
  <c r="O262" i="2" s="1"/>
  <c r="O261" i="2" a="1"/>
  <c r="O261" i="2" s="1"/>
  <c r="O260" i="2" a="1"/>
  <c r="O260" i="2" s="1"/>
  <c r="O259" i="2" a="1"/>
  <c r="O259" i="2" s="1"/>
  <c r="O258" i="2" a="1"/>
  <c r="O258" i="2" s="1"/>
  <c r="O257" i="2" a="1"/>
  <c r="O257" i="2" s="1"/>
  <c r="O256" i="2" a="1"/>
  <c r="O256" i="2" s="1"/>
  <c r="O255" i="2" a="1"/>
  <c r="O255" i="2" s="1"/>
  <c r="O254" i="2" a="1"/>
  <c r="O254" i="2" s="1"/>
  <c r="O253" i="2" a="1"/>
  <c r="O253" i="2" s="1"/>
  <c r="O252" i="2" a="1"/>
  <c r="O252" i="2" s="1"/>
  <c r="O251" i="2" a="1"/>
  <c r="O251" i="2" s="1"/>
  <c r="O250" i="2" a="1"/>
  <c r="O250" i="2" s="1"/>
  <c r="O249" i="2" a="1"/>
  <c r="O249" i="2" s="1"/>
  <c r="O248" i="2" a="1"/>
  <c r="O248" i="2" s="1"/>
  <c r="O247" i="2" a="1"/>
  <c r="O247" i="2" s="1"/>
  <c r="O246" i="2" a="1"/>
  <c r="O246" i="2" s="1"/>
  <c r="O245" i="2" a="1"/>
  <c r="O245" i="2" s="1"/>
  <c r="O244" i="2" a="1"/>
  <c r="O244" i="2" s="1"/>
  <c r="O243" i="2" a="1"/>
  <c r="O243" i="2" s="1"/>
  <c r="O242" i="2" a="1"/>
  <c r="O242" i="2" s="1"/>
  <c r="O241" i="2" a="1"/>
  <c r="O241" i="2" s="1"/>
  <c r="O240" i="2" a="1"/>
  <c r="O240" i="2" s="1"/>
  <c r="O239" i="2" a="1"/>
  <c r="O239" i="2" s="1"/>
  <c r="O238" i="2" a="1"/>
  <c r="O238" i="2" s="1"/>
  <c r="O237" i="2" a="1"/>
  <c r="O237" i="2" s="1"/>
  <c r="O236" i="2" a="1"/>
  <c r="O236" i="2" s="1"/>
  <c r="O235" i="2" a="1"/>
  <c r="O235" i="2" s="1"/>
  <c r="O234" i="2" a="1"/>
  <c r="O234" i="2" s="1"/>
  <c r="O233" i="2" a="1"/>
  <c r="O233" i="2" s="1"/>
  <c r="O232" i="2" a="1"/>
  <c r="O232" i="2" s="1"/>
  <c r="O231" i="2" a="1"/>
  <c r="O231" i="2" s="1"/>
  <c r="O230" i="2" a="1"/>
  <c r="O230" i="2" s="1"/>
  <c r="O229" i="2" a="1"/>
  <c r="O229" i="2" s="1"/>
  <c r="O228" i="2" a="1"/>
  <c r="O228" i="2" s="1"/>
  <c r="O227" i="2" a="1"/>
  <c r="O227" i="2" s="1"/>
  <c r="O226" i="2" a="1"/>
  <c r="O226" i="2" s="1"/>
  <c r="O225" i="2" a="1"/>
  <c r="O225" i="2" s="1"/>
  <c r="O224" i="2" a="1"/>
  <c r="O224" i="2" s="1"/>
  <c r="O223" i="2" a="1"/>
  <c r="O223" i="2" s="1"/>
  <c r="O222" i="2" a="1"/>
  <c r="O222" i="2" s="1"/>
  <c r="O221" i="2" a="1"/>
  <c r="O221" i="2" s="1"/>
  <c r="O220" i="2" a="1"/>
  <c r="O220" i="2" s="1"/>
  <c r="O219" i="2" a="1"/>
  <c r="O219" i="2" s="1"/>
  <c r="O218" i="2" a="1"/>
  <c r="O218" i="2" s="1"/>
  <c r="O217" i="2" a="1"/>
  <c r="O217" i="2" s="1"/>
  <c r="O216" i="2" a="1"/>
  <c r="O216" i="2" s="1"/>
  <c r="O215" i="2" a="1"/>
  <c r="O215" i="2" s="1"/>
  <c r="O214" i="2" a="1"/>
  <c r="O214" i="2" s="1"/>
  <c r="O213" i="2" a="1"/>
  <c r="O213" i="2" s="1"/>
  <c r="O212" i="2" a="1"/>
  <c r="O212" i="2" s="1"/>
  <c r="O211" i="2" a="1"/>
  <c r="O211" i="2" s="1"/>
  <c r="O210" i="2" a="1"/>
  <c r="O210" i="2" s="1"/>
  <c r="O209" i="2" a="1"/>
  <c r="O209" i="2" s="1"/>
  <c r="O208" i="2" a="1"/>
  <c r="O208" i="2" s="1"/>
  <c r="O207" i="2" a="1"/>
  <c r="O207" i="2" s="1"/>
  <c r="O206" i="2" a="1"/>
  <c r="O206" i="2" s="1"/>
  <c r="O205" i="2" a="1"/>
  <c r="O205" i="2" s="1"/>
  <c r="O204" i="2" a="1"/>
  <c r="O204" i="2" s="1"/>
  <c r="O203" i="2" a="1"/>
  <c r="O203" i="2" s="1"/>
  <c r="O202" i="2" a="1"/>
  <c r="O202" i="2" s="1"/>
  <c r="O201" i="2" a="1"/>
  <c r="O201" i="2" s="1"/>
  <c r="O200" i="2" a="1"/>
  <c r="O200" i="2" s="1"/>
  <c r="O199" i="2" a="1"/>
  <c r="O199" i="2" s="1"/>
  <c r="O198" i="2" a="1"/>
  <c r="O198" i="2" s="1"/>
  <c r="O197" i="2" a="1"/>
  <c r="O197" i="2" s="1"/>
  <c r="O196" i="2" a="1"/>
  <c r="O196" i="2" s="1"/>
  <c r="O195" i="2" a="1"/>
  <c r="O195" i="2" s="1"/>
  <c r="O194" i="2" a="1"/>
  <c r="O194" i="2" s="1"/>
  <c r="O193" i="2" a="1"/>
  <c r="O193" i="2" s="1"/>
  <c r="O192" i="2" a="1"/>
  <c r="O192" i="2" s="1"/>
  <c r="O191" i="2" a="1"/>
  <c r="O191" i="2" s="1"/>
  <c r="O190" i="2" a="1"/>
  <c r="O190" i="2" s="1"/>
  <c r="O189" i="2" a="1"/>
  <c r="O189" i="2" s="1"/>
  <c r="O188" i="2" a="1"/>
  <c r="O188" i="2" s="1"/>
  <c r="O187" i="2" a="1"/>
  <c r="O187" i="2" s="1"/>
  <c r="O186" i="2" a="1"/>
  <c r="O186" i="2" s="1"/>
  <c r="O185" i="2" a="1"/>
  <c r="O185" i="2" s="1"/>
  <c r="O184" i="2" a="1"/>
  <c r="O184" i="2" s="1"/>
  <c r="O183" i="2" a="1"/>
  <c r="O183" i="2" s="1"/>
  <c r="O182" i="2" a="1"/>
  <c r="O182" i="2" s="1"/>
  <c r="O181" i="2" a="1"/>
  <c r="O181" i="2" s="1"/>
  <c r="O180" i="2" a="1"/>
  <c r="O180" i="2" s="1"/>
  <c r="O179" i="2" a="1"/>
  <c r="O179" i="2" s="1"/>
  <c r="O178" i="2" a="1"/>
  <c r="O178" i="2" s="1"/>
  <c r="O177" i="2" a="1"/>
  <c r="O177" i="2" s="1"/>
  <c r="O176" i="2" a="1"/>
  <c r="O176" i="2" s="1"/>
  <c r="O175" i="2" a="1"/>
  <c r="O175" i="2" s="1"/>
  <c r="O174" i="2" a="1"/>
  <c r="O174" i="2" s="1"/>
  <c r="O173" i="2" a="1"/>
  <c r="O173" i="2" s="1"/>
  <c r="O172" i="2" a="1"/>
  <c r="O172" i="2" s="1"/>
  <c r="O171" i="2" a="1"/>
  <c r="O171" i="2" s="1"/>
  <c r="O170" i="2" a="1"/>
  <c r="O170" i="2" s="1"/>
  <c r="O169" i="2" a="1"/>
  <c r="O169" i="2" s="1"/>
  <c r="O168" i="2" a="1"/>
  <c r="O168" i="2" s="1"/>
  <c r="O167" i="2" a="1"/>
  <c r="O167" i="2" s="1"/>
  <c r="O166" i="2" a="1"/>
  <c r="O166" i="2" s="1"/>
  <c r="O165" i="2" a="1"/>
  <c r="O165" i="2" s="1"/>
  <c r="O164" i="2" a="1"/>
  <c r="O164" i="2" s="1"/>
  <c r="O163" i="2" a="1"/>
  <c r="O163" i="2" s="1"/>
  <c r="O162" i="2" a="1"/>
  <c r="O162" i="2" s="1"/>
  <c r="O161" i="2" a="1"/>
  <c r="O161" i="2" s="1"/>
  <c r="O160" i="2" a="1"/>
  <c r="O160" i="2" s="1"/>
  <c r="O159" i="2" a="1"/>
  <c r="O159" i="2" s="1"/>
  <c r="O158" i="2" a="1"/>
  <c r="O158" i="2" s="1"/>
  <c r="O157" i="2" a="1"/>
  <c r="O157" i="2" s="1"/>
  <c r="O156" i="2" a="1"/>
  <c r="O156" i="2" s="1"/>
  <c r="O155" i="2" a="1"/>
  <c r="O155" i="2" s="1"/>
  <c r="O154" i="2" a="1"/>
  <c r="O154" i="2" s="1"/>
  <c r="O153" i="2" a="1"/>
  <c r="O153" i="2" s="1"/>
  <c r="O152" i="2" a="1"/>
  <c r="O152" i="2" s="1"/>
  <c r="O151" i="2" a="1"/>
  <c r="O151" i="2" s="1"/>
  <c r="O150" i="2" a="1"/>
  <c r="O150" i="2" s="1"/>
  <c r="O149" i="2" a="1"/>
  <c r="O149" i="2" s="1"/>
  <c r="O148" i="2" a="1"/>
  <c r="O148" i="2" s="1"/>
  <c r="O147" i="2" a="1"/>
  <c r="O147" i="2" s="1"/>
  <c r="O146" i="2" a="1"/>
  <c r="O146" i="2" s="1"/>
  <c r="O145" i="2" a="1"/>
  <c r="O145" i="2" s="1"/>
  <c r="O144" i="2" a="1"/>
  <c r="O144" i="2" s="1"/>
  <c r="O143" i="2" a="1"/>
  <c r="O143" i="2" s="1"/>
  <c r="O142" i="2" a="1"/>
  <c r="O142" i="2" s="1"/>
  <c r="O141" i="2" a="1"/>
  <c r="O141" i="2" s="1"/>
  <c r="O140" i="2" a="1"/>
  <c r="O140" i="2" s="1"/>
  <c r="O139" i="2" a="1"/>
  <c r="O139" i="2" s="1"/>
  <c r="O138" i="2" a="1"/>
  <c r="O138" i="2" s="1"/>
  <c r="O137" i="2" a="1"/>
  <c r="O137" i="2" s="1"/>
  <c r="O136" i="2" a="1"/>
  <c r="O136" i="2" s="1"/>
  <c r="O135" i="2" a="1"/>
  <c r="O135" i="2" s="1"/>
  <c r="O134" i="2" a="1"/>
  <c r="O134" i="2" s="1"/>
  <c r="O133" i="2" a="1"/>
  <c r="O133" i="2" s="1"/>
  <c r="O132" i="2" a="1"/>
  <c r="O132" i="2" s="1"/>
  <c r="O131" i="2" a="1"/>
  <c r="O131" i="2" s="1"/>
  <c r="O130" i="2" a="1"/>
  <c r="O130" i="2" s="1"/>
  <c r="O129" i="2" a="1"/>
  <c r="O129" i="2" s="1"/>
  <c r="O128" i="2" a="1"/>
  <c r="O128" i="2" s="1"/>
  <c r="O127" i="2" a="1"/>
  <c r="O127" i="2" s="1"/>
  <c r="O126" i="2" a="1"/>
  <c r="O126" i="2" s="1"/>
  <c r="O125" i="2" a="1"/>
  <c r="O125" i="2" s="1"/>
  <c r="O124" i="2" a="1"/>
  <c r="O124" i="2" s="1"/>
  <c r="O123" i="2" a="1"/>
  <c r="O123" i="2" s="1"/>
  <c r="O122" i="2" a="1"/>
  <c r="O122" i="2" s="1"/>
  <c r="O121" i="2" a="1"/>
  <c r="O121" i="2" s="1"/>
  <c r="O120" i="2" a="1"/>
  <c r="O120" i="2" s="1"/>
  <c r="O119" i="2" a="1"/>
  <c r="O119" i="2" s="1"/>
  <c r="O118" i="2" a="1"/>
  <c r="O118" i="2" s="1"/>
  <c r="O117" i="2" a="1"/>
  <c r="O117" i="2" s="1"/>
  <c r="O116" i="2" a="1"/>
  <c r="O116" i="2" s="1"/>
  <c r="O115" i="2" a="1"/>
  <c r="O115" i="2" s="1"/>
  <c r="O114" i="2" a="1"/>
  <c r="O114" i="2" s="1"/>
  <c r="O113" i="2" a="1"/>
  <c r="O113" i="2" s="1"/>
  <c r="O112" i="2" a="1"/>
  <c r="O112" i="2" s="1"/>
  <c r="O111" i="2" a="1"/>
  <c r="O111" i="2" s="1"/>
  <c r="O110" i="2" a="1"/>
  <c r="O110" i="2" s="1"/>
  <c r="O109" i="2" a="1"/>
  <c r="O109" i="2" s="1"/>
  <c r="O108" i="2" a="1"/>
  <c r="O108" i="2" s="1"/>
  <c r="O107" i="2" a="1"/>
  <c r="O107" i="2" s="1"/>
  <c r="O106" i="2" a="1"/>
  <c r="O106" i="2" s="1"/>
  <c r="O105" i="2" a="1"/>
  <c r="O105" i="2" s="1"/>
  <c r="O104" i="2" a="1"/>
  <c r="O104" i="2" s="1"/>
  <c r="O103" i="2" a="1"/>
  <c r="O103" i="2" s="1"/>
  <c r="O102" i="2" a="1"/>
  <c r="O102" i="2" s="1"/>
  <c r="O101" i="2" a="1"/>
  <c r="O101" i="2" s="1"/>
  <c r="O100" i="2" a="1"/>
  <c r="O100" i="2" s="1"/>
  <c r="O99" i="2" a="1"/>
  <c r="O99" i="2" s="1"/>
  <c r="O98" i="2" a="1"/>
  <c r="O98" i="2" s="1"/>
  <c r="O97" i="2" a="1"/>
  <c r="O97" i="2" s="1"/>
  <c r="O96" i="2" a="1"/>
  <c r="O96" i="2" s="1"/>
  <c r="O95" i="2" a="1"/>
  <c r="O95" i="2" s="1"/>
  <c r="O94" i="2" a="1"/>
  <c r="O94" i="2" s="1"/>
  <c r="O93" i="2" a="1"/>
  <c r="O93" i="2" s="1"/>
  <c r="O92" i="2" a="1"/>
  <c r="O92" i="2" s="1"/>
  <c r="O91" i="2" a="1"/>
  <c r="O91" i="2" s="1"/>
  <c r="O90" i="2" a="1"/>
  <c r="O90" i="2" s="1"/>
  <c r="O89" i="2" a="1"/>
  <c r="O89" i="2" s="1"/>
  <c r="O88" i="2" a="1"/>
  <c r="O88" i="2" s="1"/>
  <c r="O87" i="2" a="1"/>
  <c r="O87" i="2" s="1"/>
  <c r="O86" i="2" a="1"/>
  <c r="O86" i="2" s="1"/>
  <c r="O85" i="2" a="1"/>
  <c r="O85" i="2" s="1"/>
  <c r="O84" i="2" a="1"/>
  <c r="O84" i="2" s="1"/>
  <c r="O83" i="2" a="1"/>
  <c r="O83" i="2" s="1"/>
  <c r="O82" i="2" a="1"/>
  <c r="O82" i="2" s="1"/>
  <c r="O81" i="2" a="1"/>
  <c r="O81" i="2" s="1"/>
  <c r="O80" i="2" a="1"/>
  <c r="O80" i="2" s="1"/>
  <c r="O79" i="2" a="1"/>
  <c r="O79" i="2" s="1"/>
  <c r="O78" i="2" a="1"/>
  <c r="O78" i="2" s="1"/>
  <c r="O77" i="2" a="1"/>
  <c r="O77" i="2" s="1"/>
  <c r="O76" i="2" a="1"/>
  <c r="O76" i="2" s="1"/>
  <c r="O75" i="2" a="1"/>
  <c r="O75" i="2" s="1"/>
  <c r="O74" i="2" a="1"/>
  <c r="O74" i="2" s="1"/>
  <c r="O73" i="2" a="1"/>
  <c r="O73" i="2" s="1"/>
  <c r="O72" i="2" a="1"/>
  <c r="O72" i="2" s="1"/>
  <c r="O71" i="2" a="1"/>
  <c r="O71" i="2"/>
  <c r="O70" i="2" a="1"/>
  <c r="O70" i="2" s="1"/>
  <c r="O69" i="2" a="1"/>
  <c r="O69" i="2" s="1"/>
  <c r="O68" i="2" a="1"/>
  <c r="O68" i="2" s="1"/>
  <c r="O67" i="2" a="1"/>
  <c r="O67" i="2" s="1"/>
  <c r="O66" i="2" a="1"/>
  <c r="O66" i="2" s="1"/>
  <c r="O65" i="2" a="1"/>
  <c r="O65" i="2" s="1"/>
  <c r="O64" i="2" a="1"/>
  <c r="O64" i="2" s="1"/>
  <c r="O63" i="2" a="1"/>
  <c r="O63" i="2" s="1"/>
  <c r="O62" i="2" a="1"/>
  <c r="O62" i="2" s="1"/>
  <c r="O61" i="2" a="1"/>
  <c r="O61" i="2" s="1"/>
  <c r="O60" i="2" a="1"/>
  <c r="O60" i="2" s="1"/>
  <c r="O59" i="2" a="1"/>
  <c r="O59" i="2" s="1"/>
  <c r="O58" i="2" a="1"/>
  <c r="O58" i="2" s="1"/>
  <c r="O57" i="2" a="1"/>
  <c r="O57" i="2" s="1"/>
  <c r="O56" i="2" a="1"/>
  <c r="O56" i="2" s="1"/>
  <c r="O55" i="2" a="1"/>
  <c r="O55" i="2" s="1"/>
  <c r="O54" i="2" a="1"/>
  <c r="O54" i="2" s="1"/>
  <c r="O53" i="2" a="1"/>
  <c r="O53" i="2" s="1"/>
  <c r="O52" i="2" a="1"/>
  <c r="O52" i="2" s="1"/>
  <c r="O51" i="2" a="1"/>
  <c r="O51" i="2" s="1"/>
  <c r="O50" i="2" a="1"/>
  <c r="O50" i="2" s="1"/>
  <c r="O49" i="2" a="1"/>
  <c r="O49" i="2" s="1"/>
  <c r="O48" i="2" a="1"/>
  <c r="O48" i="2" s="1"/>
  <c r="O47" i="2" a="1"/>
  <c r="O47" i="2" s="1"/>
  <c r="O46" i="2" a="1"/>
  <c r="O46" i="2" s="1"/>
  <c r="O45" i="2" a="1"/>
  <c r="O45" i="2" s="1"/>
  <c r="O44" i="2" a="1"/>
  <c r="O44" i="2" s="1"/>
  <c r="O43" i="2" a="1"/>
  <c r="O43" i="2" s="1"/>
  <c r="O42" i="2" a="1"/>
  <c r="O42" i="2" s="1"/>
  <c r="O41" i="2" a="1"/>
  <c r="O41" i="2" s="1"/>
  <c r="O40" i="2" a="1"/>
  <c r="O40" i="2" s="1"/>
  <c r="O39" i="2" a="1"/>
  <c r="O39" i="2" s="1"/>
  <c r="O278" i="2" a="1"/>
  <c r="O278" i="2" s="1"/>
  <c r="N41" i="3"/>
  <c r="AJ33" i="3"/>
  <c r="AK33" i="3" s="1"/>
  <c r="AG33" i="3"/>
  <c r="AJ32" i="3"/>
  <c r="AK32" i="3" s="1"/>
  <c r="AG32" i="3"/>
  <c r="AJ31" i="3"/>
  <c r="AK31" i="3" s="1"/>
  <c r="AG31" i="3"/>
  <c r="AJ30" i="3"/>
  <c r="AH30" i="3" s="1"/>
  <c r="AG30" i="3"/>
  <c r="AJ29" i="3"/>
  <c r="AK29" i="3" s="1"/>
  <c r="AG29" i="3"/>
  <c r="AJ28" i="3"/>
  <c r="AK28" i="3" s="1"/>
  <c r="AG28" i="3"/>
  <c r="AJ27" i="3"/>
  <c r="AK27" i="3" s="1"/>
  <c r="AG27" i="3"/>
  <c r="AJ26" i="3"/>
  <c r="AK26" i="3" s="1"/>
  <c r="AG26" i="3"/>
  <c r="AJ13" i="3"/>
  <c r="AK13" i="3" s="1"/>
  <c r="AG13" i="3"/>
  <c r="AJ12" i="3"/>
  <c r="AK12" i="3" s="1"/>
  <c r="AG12" i="3"/>
  <c r="AC12" i="3" s="1"/>
  <c r="AG9" i="3"/>
  <c r="AJ10" i="3"/>
  <c r="AK10" i="3" s="1"/>
  <c r="AG10" i="3"/>
  <c r="AC10" i="3" s="1"/>
  <c r="AJ9" i="3"/>
  <c r="AK9" i="3" s="1"/>
  <c r="AJ8" i="3"/>
  <c r="AK8" i="3" s="1"/>
  <c r="AG8" i="3"/>
  <c r="AJ7" i="3"/>
  <c r="AK7" i="3" s="1"/>
  <c r="AG7" i="3"/>
  <c r="AC7" i="3" s="1"/>
  <c r="AG11" i="3"/>
  <c r="AG23" i="3"/>
  <c r="AJ22" i="3"/>
  <c r="AK22" i="3" s="1"/>
  <c r="AG22" i="3"/>
  <c r="AC22" i="3" s="1"/>
  <c r="AJ21" i="3"/>
  <c r="AK21" i="3" s="1"/>
  <c r="AG21" i="3"/>
  <c r="AJ20" i="3"/>
  <c r="AK20" i="3" s="1"/>
  <c r="AG20" i="3"/>
  <c r="AC20" i="3" s="1"/>
  <c r="AJ19" i="3"/>
  <c r="AK19" i="3" s="1"/>
  <c r="AG19" i="3"/>
  <c r="AJ18" i="3"/>
  <c r="AK18" i="3" s="1"/>
  <c r="AG18" i="3"/>
  <c r="AC18" i="3" s="1"/>
  <c r="AJ17" i="3"/>
  <c r="AH17" i="3" s="1"/>
  <c r="AG17" i="3"/>
  <c r="AJ16" i="3"/>
  <c r="AK16" i="3" s="1"/>
  <c r="AG16" i="3"/>
  <c r="AC16" i="3" s="1"/>
  <c r="K41" i="3"/>
  <c r="I41" i="3" s="1"/>
  <c r="H41" i="3"/>
  <c r="H36" i="3"/>
  <c r="D36" i="3" s="1"/>
  <c r="K36" i="3"/>
  <c r="I36" i="3" s="1"/>
  <c r="H37" i="3"/>
  <c r="K37" i="3"/>
  <c r="I37" i="3" s="1"/>
  <c r="H38" i="3"/>
  <c r="K38" i="3"/>
  <c r="I38" i="3" s="1"/>
  <c r="K35" i="3"/>
  <c r="L35" i="3" s="1"/>
  <c r="H35" i="3"/>
  <c r="K32" i="3"/>
  <c r="L32" i="3" s="1"/>
  <c r="H32" i="3"/>
  <c r="K31" i="3"/>
  <c r="L31" i="3" s="1"/>
  <c r="H31" i="3"/>
  <c r="K30" i="3"/>
  <c r="L30" i="3" s="1"/>
  <c r="H30" i="3"/>
  <c r="D30" i="3" s="1"/>
  <c r="K25" i="3"/>
  <c r="L25" i="3" s="1"/>
  <c r="H25" i="3"/>
  <c r="D25" i="3" s="1"/>
  <c r="K24" i="3"/>
  <c r="L24" i="3" s="1"/>
  <c r="H24" i="3"/>
  <c r="K23" i="3"/>
  <c r="L23" i="3" s="1"/>
  <c r="H23" i="3"/>
  <c r="D23" i="3" s="1"/>
  <c r="K22" i="3"/>
  <c r="I22" i="3" s="1"/>
  <c r="H22" i="3"/>
  <c r="D22" i="3" s="1"/>
  <c r="H12" i="3"/>
  <c r="K12" i="3"/>
  <c r="I12" i="3" s="1"/>
  <c r="H13" i="3"/>
  <c r="K13" i="3"/>
  <c r="I13" i="3" s="1"/>
  <c r="H14" i="3"/>
  <c r="K14" i="3"/>
  <c r="I14" i="3" s="1"/>
  <c r="H15" i="3"/>
  <c r="K15" i="3"/>
  <c r="I15" i="3" s="1"/>
  <c r="D18" i="3"/>
  <c r="K16" i="3"/>
  <c r="L16" i="3" s="1"/>
  <c r="K18" i="3"/>
  <c r="L18" i="3" s="1"/>
  <c r="K17" i="3"/>
  <c r="L17" i="3" s="1"/>
  <c r="H18" i="3"/>
  <c r="H17" i="3"/>
  <c r="H16" i="3"/>
  <c r="C9" i="4"/>
  <c r="C8" i="4"/>
  <c r="C7" i="4"/>
  <c r="C6" i="4"/>
  <c r="C5" i="4"/>
  <c r="C4" i="4"/>
  <c r="C3" i="4"/>
  <c r="G44" i="2" a="1"/>
  <c r="G44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08" i="2" a="1"/>
  <c r="K308" i="2" s="1"/>
  <c r="K304" i="2" a="1"/>
  <c r="K304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8" i="2" a="1"/>
  <c r="K38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12" i="2" a="1"/>
  <c r="K12" i="2" s="1"/>
  <c r="C12" i="4"/>
  <c r="C11" i="4"/>
  <c r="C10" i="4"/>
  <c r="N3" i="3"/>
  <c r="K7" i="2" s="1"/>
  <c r="P372" i="2" a="1"/>
  <c r="P372" i="2" s="1"/>
  <c r="N372" i="2" a="1"/>
  <c r="N372" i="2" s="1"/>
  <c r="M372" i="2" a="1"/>
  <c r="M372" i="2" s="1"/>
  <c r="L372" i="2" a="1"/>
  <c r="L372" i="2" s="1"/>
  <c r="J372" i="2" a="1"/>
  <c r="J372" i="2" s="1"/>
  <c r="I372" i="2" a="1"/>
  <c r="I372" i="2" s="1"/>
  <c r="H372" i="2" a="1"/>
  <c r="H372" i="2" s="1"/>
  <c r="G372" i="2" a="1"/>
  <c r="G372" i="2"/>
  <c r="F372" i="2" a="1"/>
  <c r="F372" i="2" s="1"/>
  <c r="P371" i="2" a="1"/>
  <c r="P371" i="2" s="1"/>
  <c r="N371" i="2" a="1"/>
  <c r="N371" i="2" s="1"/>
  <c r="M371" i="2" a="1"/>
  <c r="M371" i="2" s="1"/>
  <c r="L371" i="2" a="1"/>
  <c r="L371" i="2" s="1"/>
  <c r="J371" i="2" a="1"/>
  <c r="J371" i="2" s="1"/>
  <c r="I371" i="2" a="1"/>
  <c r="I371" i="2" s="1"/>
  <c r="H371" i="2" a="1"/>
  <c r="H371" i="2" s="1"/>
  <c r="G371" i="2" a="1"/>
  <c r="G371" i="2" s="1"/>
  <c r="F371" i="2" a="1"/>
  <c r="F371" i="2" s="1"/>
  <c r="P370" i="2" a="1"/>
  <c r="P370" i="2" s="1"/>
  <c r="N370" i="2" a="1"/>
  <c r="N370" i="2" s="1"/>
  <c r="M370" i="2" a="1"/>
  <c r="M370" i="2" s="1"/>
  <c r="L370" i="2" a="1"/>
  <c r="L370" i="2" s="1"/>
  <c r="J370" i="2" a="1"/>
  <c r="J370" i="2" s="1"/>
  <c r="I370" i="2" a="1"/>
  <c r="I370" i="2" s="1"/>
  <c r="H370" i="2" a="1"/>
  <c r="H370" i="2" s="1"/>
  <c r="G370" i="2" a="1"/>
  <c r="G370" i="2" s="1"/>
  <c r="F370" i="2" a="1"/>
  <c r="F370" i="2" s="1"/>
  <c r="P369" i="2" a="1"/>
  <c r="P369" i="2" s="1"/>
  <c r="N369" i="2" a="1"/>
  <c r="N369" i="2" s="1"/>
  <c r="M369" i="2" a="1"/>
  <c r="M369" i="2" s="1"/>
  <c r="L369" i="2" a="1"/>
  <c r="L369" i="2" s="1"/>
  <c r="J369" i="2" a="1"/>
  <c r="J369" i="2" s="1"/>
  <c r="I369" i="2" a="1"/>
  <c r="I369" i="2" s="1"/>
  <c r="H369" i="2" a="1"/>
  <c r="H369" i="2" s="1"/>
  <c r="G369" i="2" a="1"/>
  <c r="G369" i="2" s="1"/>
  <c r="F369" i="2" a="1"/>
  <c r="F369" i="2" s="1"/>
  <c r="P368" i="2" a="1"/>
  <c r="P368" i="2" s="1"/>
  <c r="N368" i="2" a="1"/>
  <c r="N368" i="2" s="1"/>
  <c r="M368" i="2" a="1"/>
  <c r="M368" i="2" s="1"/>
  <c r="L368" i="2" a="1"/>
  <c r="L368" i="2" s="1"/>
  <c r="J368" i="2" a="1"/>
  <c r="J368" i="2" s="1"/>
  <c r="I368" i="2" a="1"/>
  <c r="I368" i="2" s="1"/>
  <c r="H368" i="2" a="1"/>
  <c r="H368" i="2" s="1"/>
  <c r="G368" i="2" a="1"/>
  <c r="G368" i="2" s="1"/>
  <c r="F368" i="2" a="1"/>
  <c r="F368" i="2" s="1"/>
  <c r="P367" i="2" a="1"/>
  <c r="P367" i="2" s="1"/>
  <c r="N367" i="2" a="1"/>
  <c r="N367" i="2" s="1"/>
  <c r="M367" i="2" a="1"/>
  <c r="M367" i="2" s="1"/>
  <c r="L367" i="2" a="1"/>
  <c r="L367" i="2" s="1"/>
  <c r="J367" i="2" a="1"/>
  <c r="J367" i="2" s="1"/>
  <c r="I367" i="2" a="1"/>
  <c r="I367" i="2" s="1"/>
  <c r="H367" i="2" a="1"/>
  <c r="H367" i="2" s="1"/>
  <c r="G367" i="2" a="1"/>
  <c r="G367" i="2" s="1"/>
  <c r="F367" i="2" a="1"/>
  <c r="F367" i="2" s="1"/>
  <c r="P366" i="2" a="1"/>
  <c r="P366" i="2" s="1"/>
  <c r="N366" i="2" a="1"/>
  <c r="N366" i="2" s="1"/>
  <c r="M366" i="2" a="1"/>
  <c r="M366" i="2" s="1"/>
  <c r="L366" i="2" a="1"/>
  <c r="L366" i="2" s="1"/>
  <c r="J366" i="2" a="1"/>
  <c r="J366" i="2" s="1"/>
  <c r="I366" i="2" a="1"/>
  <c r="I366" i="2" s="1"/>
  <c r="H366" i="2" a="1"/>
  <c r="H366" i="2" s="1"/>
  <c r="G366" i="2" a="1"/>
  <c r="G366" i="2" s="1"/>
  <c r="F366" i="2" a="1"/>
  <c r="F366" i="2" s="1"/>
  <c r="P365" i="2" a="1"/>
  <c r="P365" i="2" s="1"/>
  <c r="N365" i="2" a="1"/>
  <c r="N365" i="2" s="1"/>
  <c r="M365" i="2" a="1"/>
  <c r="M365" i="2" s="1"/>
  <c r="L365" i="2" a="1"/>
  <c r="L365" i="2" s="1"/>
  <c r="J365" i="2" a="1"/>
  <c r="J365" i="2" s="1"/>
  <c r="I365" i="2" a="1"/>
  <c r="I365" i="2" s="1"/>
  <c r="H365" i="2" a="1"/>
  <c r="H365" i="2" s="1"/>
  <c r="G365" i="2" a="1"/>
  <c r="G365" i="2" s="1"/>
  <c r="F365" i="2" a="1"/>
  <c r="F365" i="2"/>
  <c r="P364" i="2" a="1"/>
  <c r="P364" i="2" s="1"/>
  <c r="N364" i="2" a="1"/>
  <c r="N364" i="2" s="1"/>
  <c r="M364" i="2" a="1"/>
  <c r="M364" i="2" s="1"/>
  <c r="L364" i="2" a="1"/>
  <c r="L364" i="2" s="1"/>
  <c r="J364" i="2" a="1"/>
  <c r="J364" i="2" s="1"/>
  <c r="I364" i="2" a="1"/>
  <c r="I364" i="2" s="1"/>
  <c r="H364" i="2" a="1"/>
  <c r="H364" i="2" s="1"/>
  <c r="G364" i="2" a="1"/>
  <c r="G364" i="2" s="1"/>
  <c r="F364" i="2" a="1"/>
  <c r="F364" i="2" s="1"/>
  <c r="P363" i="2" a="1"/>
  <c r="P363" i="2" s="1"/>
  <c r="N363" i="2" a="1"/>
  <c r="N363" i="2" s="1"/>
  <c r="M363" i="2" a="1"/>
  <c r="M363" i="2" s="1"/>
  <c r="L363" i="2" a="1"/>
  <c r="L363" i="2" s="1"/>
  <c r="J363" i="2" a="1"/>
  <c r="J363" i="2" s="1"/>
  <c r="I363" i="2" a="1"/>
  <c r="I363" i="2" s="1"/>
  <c r="H363" i="2" a="1"/>
  <c r="H363" i="2" s="1"/>
  <c r="G363" i="2" a="1"/>
  <c r="G363" i="2" s="1"/>
  <c r="F363" i="2" a="1"/>
  <c r="F363" i="2" s="1"/>
  <c r="P362" i="2" a="1"/>
  <c r="P362" i="2" s="1"/>
  <c r="N362" i="2" a="1"/>
  <c r="N362" i="2" s="1"/>
  <c r="M362" i="2" a="1"/>
  <c r="M362" i="2" s="1"/>
  <c r="L362" i="2" a="1"/>
  <c r="L362" i="2" s="1"/>
  <c r="J362" i="2" a="1"/>
  <c r="J362" i="2" s="1"/>
  <c r="I362" i="2" a="1"/>
  <c r="I362" i="2" s="1"/>
  <c r="H362" i="2" a="1"/>
  <c r="H362" i="2" s="1"/>
  <c r="G362" i="2" a="1"/>
  <c r="G362" i="2" s="1"/>
  <c r="F362" i="2" a="1"/>
  <c r="F362" i="2" s="1"/>
  <c r="P361" i="2" a="1"/>
  <c r="P361" i="2" s="1"/>
  <c r="N361" i="2" a="1"/>
  <c r="N361" i="2" s="1"/>
  <c r="M361" i="2" a="1"/>
  <c r="M361" i="2" s="1"/>
  <c r="L361" i="2" a="1"/>
  <c r="L361" i="2" s="1"/>
  <c r="J361" i="2" a="1"/>
  <c r="J361" i="2"/>
  <c r="I361" i="2" a="1"/>
  <c r="I361" i="2" s="1"/>
  <c r="H361" i="2" a="1"/>
  <c r="H361" i="2" s="1"/>
  <c r="G361" i="2" a="1"/>
  <c r="G361" i="2" s="1"/>
  <c r="F361" i="2" a="1"/>
  <c r="F361" i="2" s="1"/>
  <c r="P360" i="2" a="1"/>
  <c r="P360" i="2" s="1"/>
  <c r="N360" i="2" a="1"/>
  <c r="N360" i="2" s="1"/>
  <c r="M360" i="2" a="1"/>
  <c r="M360" i="2" s="1"/>
  <c r="L360" i="2" a="1"/>
  <c r="L360" i="2" s="1"/>
  <c r="J360" i="2" a="1"/>
  <c r="J360" i="2" s="1"/>
  <c r="I360" i="2" a="1"/>
  <c r="I360" i="2" s="1"/>
  <c r="H360" i="2" a="1"/>
  <c r="H360" i="2" s="1"/>
  <c r="G360" i="2" a="1"/>
  <c r="G360" i="2" s="1"/>
  <c r="F360" i="2" a="1"/>
  <c r="F360" i="2" s="1"/>
  <c r="P359" i="2" a="1"/>
  <c r="P359" i="2" s="1"/>
  <c r="N359" i="2" a="1"/>
  <c r="N359" i="2" s="1"/>
  <c r="M359" i="2" a="1"/>
  <c r="M359" i="2" s="1"/>
  <c r="L359" i="2" a="1"/>
  <c r="L359" i="2" s="1"/>
  <c r="J359" i="2" a="1"/>
  <c r="J359" i="2" s="1"/>
  <c r="I359" i="2" a="1"/>
  <c r="I359" i="2" s="1"/>
  <c r="H359" i="2" a="1"/>
  <c r="H359" i="2" s="1"/>
  <c r="G359" i="2" a="1"/>
  <c r="G359" i="2" s="1"/>
  <c r="F359" i="2" a="1"/>
  <c r="F359" i="2" s="1"/>
  <c r="P358" i="2" a="1"/>
  <c r="P358" i="2" s="1"/>
  <c r="N358" i="2" a="1"/>
  <c r="N358" i="2" s="1"/>
  <c r="M358" i="2" a="1"/>
  <c r="M358" i="2" s="1"/>
  <c r="L358" i="2" a="1"/>
  <c r="L358" i="2" s="1"/>
  <c r="J358" i="2" a="1"/>
  <c r="J358" i="2" s="1"/>
  <c r="I358" i="2" a="1"/>
  <c r="I358" i="2" s="1"/>
  <c r="H358" i="2" a="1"/>
  <c r="H358" i="2" s="1"/>
  <c r="G358" i="2" a="1"/>
  <c r="G358" i="2" s="1"/>
  <c r="F358" i="2" a="1"/>
  <c r="F358" i="2" s="1"/>
  <c r="P357" i="2" a="1"/>
  <c r="P357" i="2" s="1"/>
  <c r="N357" i="2" a="1"/>
  <c r="N357" i="2" s="1"/>
  <c r="M357" i="2" a="1"/>
  <c r="M357" i="2" s="1"/>
  <c r="L357" i="2" a="1"/>
  <c r="L357" i="2" s="1"/>
  <c r="J357" i="2" a="1"/>
  <c r="J357" i="2" s="1"/>
  <c r="I357" i="2" a="1"/>
  <c r="I357" i="2" s="1"/>
  <c r="H357" i="2" a="1"/>
  <c r="H357" i="2" s="1"/>
  <c r="G357" i="2" a="1"/>
  <c r="G357" i="2" s="1"/>
  <c r="F357" i="2" a="1"/>
  <c r="F357" i="2" s="1"/>
  <c r="P356" i="2" a="1"/>
  <c r="P356" i="2" s="1"/>
  <c r="N356" i="2" a="1"/>
  <c r="N356" i="2" s="1"/>
  <c r="M356" i="2" a="1"/>
  <c r="M356" i="2" s="1"/>
  <c r="L356" i="2" a="1"/>
  <c r="L356" i="2" s="1"/>
  <c r="J356" i="2" a="1"/>
  <c r="J356" i="2" s="1"/>
  <c r="I356" i="2" a="1"/>
  <c r="I356" i="2" s="1"/>
  <c r="H356" i="2" a="1"/>
  <c r="H356" i="2" s="1"/>
  <c r="G356" i="2" a="1"/>
  <c r="G356" i="2" s="1"/>
  <c r="F356" i="2" a="1"/>
  <c r="F356" i="2" s="1"/>
  <c r="P355" i="2" a="1"/>
  <c r="P355" i="2" s="1"/>
  <c r="N355" i="2" a="1"/>
  <c r="N355" i="2" s="1"/>
  <c r="M355" i="2" a="1"/>
  <c r="M355" i="2" s="1"/>
  <c r="L355" i="2" a="1"/>
  <c r="L355" i="2" s="1"/>
  <c r="J355" i="2" a="1"/>
  <c r="J355" i="2" s="1"/>
  <c r="I355" i="2" a="1"/>
  <c r="I355" i="2" s="1"/>
  <c r="H355" i="2" a="1"/>
  <c r="H355" i="2" s="1"/>
  <c r="G355" i="2" a="1"/>
  <c r="G355" i="2" s="1"/>
  <c r="F355" i="2" a="1"/>
  <c r="F355" i="2" s="1"/>
  <c r="P354" i="2" a="1"/>
  <c r="P354" i="2" s="1"/>
  <c r="N354" i="2" a="1"/>
  <c r="N354" i="2" s="1"/>
  <c r="M354" i="2" a="1"/>
  <c r="M354" i="2" s="1"/>
  <c r="L354" i="2" a="1"/>
  <c r="L354" i="2" s="1"/>
  <c r="J354" i="2" a="1"/>
  <c r="J354" i="2" s="1"/>
  <c r="I354" i="2" a="1"/>
  <c r="I354" i="2"/>
  <c r="H354" i="2" a="1"/>
  <c r="H354" i="2" s="1"/>
  <c r="G354" i="2" a="1"/>
  <c r="G354" i="2" s="1"/>
  <c r="F354" i="2" a="1"/>
  <c r="F354" i="2" s="1"/>
  <c r="P353" i="2" a="1"/>
  <c r="P353" i="2" s="1"/>
  <c r="N353" i="2" a="1"/>
  <c r="N353" i="2" s="1"/>
  <c r="M353" i="2" a="1"/>
  <c r="M353" i="2" s="1"/>
  <c r="L353" i="2" a="1"/>
  <c r="L353" i="2" s="1"/>
  <c r="J353" i="2" a="1"/>
  <c r="J353" i="2" s="1"/>
  <c r="I353" i="2" a="1"/>
  <c r="I353" i="2" s="1"/>
  <c r="H353" i="2" a="1"/>
  <c r="H353" i="2" s="1"/>
  <c r="G353" i="2" a="1"/>
  <c r="G353" i="2" s="1"/>
  <c r="F353" i="2" a="1"/>
  <c r="F353" i="2" s="1"/>
  <c r="P352" i="2" a="1"/>
  <c r="P352" i="2" s="1"/>
  <c r="N352" i="2" a="1"/>
  <c r="N352" i="2" s="1"/>
  <c r="M352" i="2" a="1"/>
  <c r="M352" i="2" s="1"/>
  <c r="L352" i="2" a="1"/>
  <c r="L352" i="2" s="1"/>
  <c r="J352" i="2" a="1"/>
  <c r="J352" i="2" s="1"/>
  <c r="I352" i="2" a="1"/>
  <c r="I352" i="2" s="1"/>
  <c r="H352" i="2" a="1"/>
  <c r="H352" i="2" s="1"/>
  <c r="G352" i="2" a="1"/>
  <c r="G352" i="2" s="1"/>
  <c r="F352" i="2" a="1"/>
  <c r="F352" i="2" s="1"/>
  <c r="P351" i="2" a="1"/>
  <c r="P351" i="2" s="1"/>
  <c r="N351" i="2" a="1"/>
  <c r="N351" i="2" s="1"/>
  <c r="M351" i="2" a="1"/>
  <c r="M351" i="2" s="1"/>
  <c r="L351" i="2" a="1"/>
  <c r="L351" i="2" s="1"/>
  <c r="J351" i="2" a="1"/>
  <c r="J351" i="2" s="1"/>
  <c r="I351" i="2" a="1"/>
  <c r="I351" i="2" s="1"/>
  <c r="H351" i="2" a="1"/>
  <c r="H351" i="2" s="1"/>
  <c r="G351" i="2" a="1"/>
  <c r="G351" i="2" s="1"/>
  <c r="F351" i="2" a="1"/>
  <c r="F351" i="2" s="1"/>
  <c r="P350" i="2" a="1"/>
  <c r="P350" i="2" s="1"/>
  <c r="N350" i="2" a="1"/>
  <c r="N350" i="2"/>
  <c r="M350" i="2" a="1"/>
  <c r="M350" i="2" s="1"/>
  <c r="L350" i="2" a="1"/>
  <c r="L350" i="2" s="1"/>
  <c r="J350" i="2" a="1"/>
  <c r="J350" i="2" s="1"/>
  <c r="I350" i="2" a="1"/>
  <c r="I350" i="2" s="1"/>
  <c r="H350" i="2" a="1"/>
  <c r="H350" i="2" s="1"/>
  <c r="G350" i="2" a="1"/>
  <c r="G350" i="2" s="1"/>
  <c r="F350" i="2" a="1"/>
  <c r="F350" i="2" s="1"/>
  <c r="P349" i="2" a="1"/>
  <c r="P349" i="2" s="1"/>
  <c r="N349" i="2" a="1"/>
  <c r="N349" i="2" s="1"/>
  <c r="M349" i="2" a="1"/>
  <c r="M349" i="2" s="1"/>
  <c r="L349" i="2" a="1"/>
  <c r="L349" i="2" s="1"/>
  <c r="J349" i="2" a="1"/>
  <c r="J349" i="2" s="1"/>
  <c r="I349" i="2" a="1"/>
  <c r="I349" i="2" s="1"/>
  <c r="H349" i="2" a="1"/>
  <c r="H349" i="2" s="1"/>
  <c r="G349" i="2" a="1"/>
  <c r="G349" i="2" s="1"/>
  <c r="F349" i="2" a="1"/>
  <c r="F349" i="2" s="1"/>
  <c r="P348" i="2" a="1"/>
  <c r="P348" i="2" s="1"/>
  <c r="N348" i="2" a="1"/>
  <c r="N348" i="2" s="1"/>
  <c r="M348" i="2" a="1"/>
  <c r="M348" i="2" s="1"/>
  <c r="L348" i="2" a="1"/>
  <c r="L348" i="2" s="1"/>
  <c r="J348" i="2" a="1"/>
  <c r="J348" i="2" s="1"/>
  <c r="I348" i="2" a="1"/>
  <c r="I348" i="2" s="1"/>
  <c r="H348" i="2" a="1"/>
  <c r="H348" i="2" s="1"/>
  <c r="G348" i="2" a="1"/>
  <c r="G348" i="2" s="1"/>
  <c r="F348" i="2" a="1"/>
  <c r="F348" i="2" s="1"/>
  <c r="P347" i="2" a="1"/>
  <c r="P347" i="2" s="1"/>
  <c r="N347" i="2" a="1"/>
  <c r="N347" i="2" s="1"/>
  <c r="M347" i="2" a="1"/>
  <c r="M347" i="2" s="1"/>
  <c r="L347" i="2" a="1"/>
  <c r="L347" i="2" s="1"/>
  <c r="J347" i="2" a="1"/>
  <c r="J347" i="2" s="1"/>
  <c r="I347" i="2" a="1"/>
  <c r="I347" i="2" s="1"/>
  <c r="H347" i="2" a="1"/>
  <c r="H347" i="2" s="1"/>
  <c r="G347" i="2" a="1"/>
  <c r="G347" i="2" s="1"/>
  <c r="F347" i="2" a="1"/>
  <c r="F347" i="2" s="1"/>
  <c r="P346" i="2" a="1"/>
  <c r="P346" i="2" s="1"/>
  <c r="N346" i="2" a="1"/>
  <c r="N346" i="2" s="1"/>
  <c r="M346" i="2" a="1"/>
  <c r="M346" i="2" s="1"/>
  <c r="L346" i="2" a="1"/>
  <c r="L346" i="2" s="1"/>
  <c r="J346" i="2" a="1"/>
  <c r="J346" i="2" s="1"/>
  <c r="I346" i="2" a="1"/>
  <c r="I346" i="2" s="1"/>
  <c r="H346" i="2" a="1"/>
  <c r="H346" i="2" s="1"/>
  <c r="G346" i="2" a="1"/>
  <c r="G346" i="2" s="1"/>
  <c r="F346" i="2" a="1"/>
  <c r="F346" i="2" s="1"/>
  <c r="P345" i="2" a="1"/>
  <c r="P345" i="2" s="1"/>
  <c r="N345" i="2" a="1"/>
  <c r="N345" i="2" s="1"/>
  <c r="M345" i="2" a="1"/>
  <c r="M345" i="2" s="1"/>
  <c r="L345" i="2" a="1"/>
  <c r="L345" i="2" s="1"/>
  <c r="J345" i="2" a="1"/>
  <c r="J345" i="2" s="1"/>
  <c r="I345" i="2" a="1"/>
  <c r="I345" i="2" s="1"/>
  <c r="H345" i="2" a="1"/>
  <c r="H345" i="2" s="1"/>
  <c r="G345" i="2" a="1"/>
  <c r="G345" i="2" s="1"/>
  <c r="F345" i="2" a="1"/>
  <c r="F345" i="2" s="1"/>
  <c r="P344" i="2" a="1"/>
  <c r="P344" i="2" s="1"/>
  <c r="N344" i="2" a="1"/>
  <c r="N344" i="2" s="1"/>
  <c r="M344" i="2" a="1"/>
  <c r="M344" i="2" s="1"/>
  <c r="L344" i="2" a="1"/>
  <c r="L344" i="2" s="1"/>
  <c r="J344" i="2" a="1"/>
  <c r="J344" i="2" s="1"/>
  <c r="I344" i="2" a="1"/>
  <c r="I344" i="2" s="1"/>
  <c r="H344" i="2" a="1"/>
  <c r="H344" i="2" s="1"/>
  <c r="G344" i="2" a="1"/>
  <c r="G344" i="2" s="1"/>
  <c r="F344" i="2" a="1"/>
  <c r="F344" i="2" s="1"/>
  <c r="P343" i="2" a="1"/>
  <c r="P343" i="2" s="1"/>
  <c r="N343" i="2" a="1"/>
  <c r="N343" i="2" s="1"/>
  <c r="M343" i="2" a="1"/>
  <c r="M343" i="2" s="1"/>
  <c r="L343" i="2" a="1"/>
  <c r="L343" i="2" s="1"/>
  <c r="J343" i="2" a="1"/>
  <c r="J343" i="2" s="1"/>
  <c r="I343" i="2" a="1"/>
  <c r="I343" i="2" s="1"/>
  <c r="H343" i="2" a="1"/>
  <c r="H343" i="2" s="1"/>
  <c r="G343" i="2" a="1"/>
  <c r="G343" i="2" s="1"/>
  <c r="F343" i="2" a="1"/>
  <c r="F343" i="2" s="1"/>
  <c r="P342" i="2" a="1"/>
  <c r="P342" i="2" s="1"/>
  <c r="N342" i="2" a="1"/>
  <c r="N342" i="2" s="1"/>
  <c r="M342" i="2" a="1"/>
  <c r="M342" i="2" s="1"/>
  <c r="L342" i="2" a="1"/>
  <c r="L342" i="2" s="1"/>
  <c r="J342" i="2" a="1"/>
  <c r="J342" i="2" s="1"/>
  <c r="I342" i="2" a="1"/>
  <c r="I342" i="2" s="1"/>
  <c r="H342" i="2" a="1"/>
  <c r="H342" i="2" s="1"/>
  <c r="G342" i="2" a="1"/>
  <c r="G342" i="2" s="1"/>
  <c r="F342" i="2" a="1"/>
  <c r="F342" i="2" s="1"/>
  <c r="P341" i="2" a="1"/>
  <c r="P341" i="2" s="1"/>
  <c r="N341" i="2" a="1"/>
  <c r="N341" i="2" s="1"/>
  <c r="M341" i="2" a="1"/>
  <c r="M341" i="2" s="1"/>
  <c r="L341" i="2" a="1"/>
  <c r="L341" i="2" s="1"/>
  <c r="J341" i="2" a="1"/>
  <c r="J341" i="2" s="1"/>
  <c r="I341" i="2" a="1"/>
  <c r="I341" i="2" s="1"/>
  <c r="H341" i="2" a="1"/>
  <c r="H341" i="2" s="1"/>
  <c r="G341" i="2" a="1"/>
  <c r="G341" i="2" s="1"/>
  <c r="F341" i="2" a="1"/>
  <c r="F341" i="2" s="1"/>
  <c r="P340" i="2" a="1"/>
  <c r="P340" i="2" s="1"/>
  <c r="N340" i="2" a="1"/>
  <c r="N340" i="2" s="1"/>
  <c r="M340" i="2" a="1"/>
  <c r="M340" i="2" s="1"/>
  <c r="L340" i="2" a="1"/>
  <c r="L340" i="2" s="1"/>
  <c r="J340" i="2" a="1"/>
  <c r="J340" i="2" s="1"/>
  <c r="I340" i="2" a="1"/>
  <c r="I340" i="2" s="1"/>
  <c r="H340" i="2" a="1"/>
  <c r="H340" i="2" s="1"/>
  <c r="G340" i="2" a="1"/>
  <c r="G340" i="2" s="1"/>
  <c r="F340" i="2" a="1"/>
  <c r="F340" i="2" s="1"/>
  <c r="P339" i="2" a="1"/>
  <c r="P339" i="2" s="1"/>
  <c r="N339" i="2" a="1"/>
  <c r="N339" i="2" s="1"/>
  <c r="M339" i="2" a="1"/>
  <c r="M339" i="2" s="1"/>
  <c r="L339" i="2" a="1"/>
  <c r="L339" i="2" s="1"/>
  <c r="J339" i="2" a="1"/>
  <c r="J339" i="2" s="1"/>
  <c r="I339" i="2" a="1"/>
  <c r="I339" i="2" s="1"/>
  <c r="H339" i="2" a="1"/>
  <c r="H339" i="2" s="1"/>
  <c r="G339" i="2" a="1"/>
  <c r="G339" i="2" s="1"/>
  <c r="F339" i="2" a="1"/>
  <c r="F339" i="2"/>
  <c r="P338" i="2" a="1"/>
  <c r="P338" i="2" s="1"/>
  <c r="N338" i="2" a="1"/>
  <c r="N338" i="2"/>
  <c r="M338" i="2" a="1"/>
  <c r="M338" i="2" s="1"/>
  <c r="L338" i="2" a="1"/>
  <c r="L338" i="2"/>
  <c r="J338" i="2" a="1"/>
  <c r="J338" i="2" s="1"/>
  <c r="I338" i="2" a="1"/>
  <c r="I338" i="2" s="1"/>
  <c r="H338" i="2" a="1"/>
  <c r="H338" i="2" s="1"/>
  <c r="G338" i="2" a="1"/>
  <c r="G338" i="2" s="1"/>
  <c r="F338" i="2" a="1"/>
  <c r="F338" i="2" s="1"/>
  <c r="P337" i="2" a="1"/>
  <c r="P337" i="2" s="1"/>
  <c r="N337" i="2" a="1"/>
  <c r="N337" i="2" s="1"/>
  <c r="M337" i="2" a="1"/>
  <c r="M337" i="2" s="1"/>
  <c r="L337" i="2" a="1"/>
  <c r="L337" i="2" s="1"/>
  <c r="J337" i="2" a="1"/>
  <c r="J337" i="2" s="1"/>
  <c r="I337" i="2" a="1"/>
  <c r="I337" i="2" s="1"/>
  <c r="H337" i="2" a="1"/>
  <c r="H337" i="2" s="1"/>
  <c r="G337" i="2" a="1"/>
  <c r="G337" i="2" s="1"/>
  <c r="F337" i="2" a="1"/>
  <c r="F337" i="2" s="1"/>
  <c r="P336" i="2" a="1"/>
  <c r="P336" i="2" s="1"/>
  <c r="N336" i="2" a="1"/>
  <c r="N336" i="2" s="1"/>
  <c r="M336" i="2" a="1"/>
  <c r="M336" i="2" s="1"/>
  <c r="L336" i="2" a="1"/>
  <c r="L336" i="2" s="1"/>
  <c r="J336" i="2" a="1"/>
  <c r="J336" i="2"/>
  <c r="I336" i="2" a="1"/>
  <c r="I336" i="2" s="1"/>
  <c r="H336" i="2" a="1"/>
  <c r="H336" i="2" s="1"/>
  <c r="G336" i="2" a="1"/>
  <c r="G336" i="2" s="1"/>
  <c r="F336" i="2" a="1"/>
  <c r="F336" i="2" s="1"/>
  <c r="P335" i="2" a="1"/>
  <c r="P335" i="2" s="1"/>
  <c r="N335" i="2" a="1"/>
  <c r="N335" i="2" s="1"/>
  <c r="M335" i="2" a="1"/>
  <c r="M335" i="2" s="1"/>
  <c r="L335" i="2" a="1"/>
  <c r="L335" i="2" s="1"/>
  <c r="J335" i="2" a="1"/>
  <c r="J335" i="2" s="1"/>
  <c r="I335" i="2" a="1"/>
  <c r="I335" i="2" s="1"/>
  <c r="H335" i="2" a="1"/>
  <c r="H335" i="2" s="1"/>
  <c r="G335" i="2" a="1"/>
  <c r="G335" i="2" s="1"/>
  <c r="F335" i="2" a="1"/>
  <c r="F335" i="2" s="1"/>
  <c r="P334" i="2" a="1"/>
  <c r="P334" i="2" s="1"/>
  <c r="N334" i="2" a="1"/>
  <c r="N334" i="2" s="1"/>
  <c r="M334" i="2" a="1"/>
  <c r="M334" i="2" s="1"/>
  <c r="L334" i="2" a="1"/>
  <c r="L334" i="2" s="1"/>
  <c r="J334" i="2" a="1"/>
  <c r="J334" i="2" s="1"/>
  <c r="I334" i="2" a="1"/>
  <c r="I334" i="2" s="1"/>
  <c r="H334" i="2" a="1"/>
  <c r="H334" i="2" s="1"/>
  <c r="G334" i="2" a="1"/>
  <c r="G334" i="2" s="1"/>
  <c r="F334" i="2" a="1"/>
  <c r="F334" i="2" s="1"/>
  <c r="P333" i="2" a="1"/>
  <c r="P333" i="2" s="1"/>
  <c r="N333" i="2" a="1"/>
  <c r="N333" i="2" s="1"/>
  <c r="M333" i="2" a="1"/>
  <c r="M333" i="2" s="1"/>
  <c r="L333" i="2" a="1"/>
  <c r="L333" i="2" s="1"/>
  <c r="J333" i="2" a="1"/>
  <c r="J333" i="2" s="1"/>
  <c r="I333" i="2" a="1"/>
  <c r="I333" i="2" s="1"/>
  <c r="H333" i="2" a="1"/>
  <c r="H333" i="2" s="1"/>
  <c r="G333" i="2" a="1"/>
  <c r="G333" i="2" s="1"/>
  <c r="F333" i="2" a="1"/>
  <c r="F333" i="2" s="1"/>
  <c r="P332" i="2" a="1"/>
  <c r="P332" i="2" s="1"/>
  <c r="N332" i="2" a="1"/>
  <c r="N332" i="2" s="1"/>
  <c r="M332" i="2" a="1"/>
  <c r="M332" i="2"/>
  <c r="L332" i="2" a="1"/>
  <c r="L332" i="2" s="1"/>
  <c r="J332" i="2" a="1"/>
  <c r="J332" i="2" s="1"/>
  <c r="I332" i="2" a="1"/>
  <c r="I332" i="2" s="1"/>
  <c r="H332" i="2" a="1"/>
  <c r="H332" i="2" s="1"/>
  <c r="G332" i="2" a="1"/>
  <c r="G332" i="2" s="1"/>
  <c r="F332" i="2" a="1"/>
  <c r="F332" i="2" s="1"/>
  <c r="P331" i="2" a="1"/>
  <c r="P331" i="2" s="1"/>
  <c r="N331" i="2" a="1"/>
  <c r="N331" i="2" s="1"/>
  <c r="M331" i="2" a="1"/>
  <c r="M331" i="2" s="1"/>
  <c r="L331" i="2" a="1"/>
  <c r="L331" i="2" s="1"/>
  <c r="J331" i="2" a="1"/>
  <c r="J331" i="2" s="1"/>
  <c r="I331" i="2" a="1"/>
  <c r="I331" i="2" s="1"/>
  <c r="H331" i="2" a="1"/>
  <c r="H331" i="2" s="1"/>
  <c r="G331" i="2" a="1"/>
  <c r="G331" i="2" s="1"/>
  <c r="F331" i="2" a="1"/>
  <c r="F331" i="2" s="1"/>
  <c r="P330" i="2" a="1"/>
  <c r="P330" i="2" s="1"/>
  <c r="N330" i="2" a="1"/>
  <c r="N330" i="2" s="1"/>
  <c r="M330" i="2" a="1"/>
  <c r="M330" i="2" s="1"/>
  <c r="L330" i="2" a="1"/>
  <c r="L330" i="2" s="1"/>
  <c r="J330" i="2" a="1"/>
  <c r="J330" i="2" s="1"/>
  <c r="I330" i="2" a="1"/>
  <c r="I330" i="2" s="1"/>
  <c r="H330" i="2" a="1"/>
  <c r="H330" i="2" s="1"/>
  <c r="G330" i="2" a="1"/>
  <c r="G330" i="2" s="1"/>
  <c r="F330" i="2" a="1"/>
  <c r="F330" i="2" s="1"/>
  <c r="P329" i="2" a="1"/>
  <c r="P329" i="2"/>
  <c r="N329" i="2" a="1"/>
  <c r="N329" i="2" s="1"/>
  <c r="M329" i="2" a="1"/>
  <c r="M329" i="2" s="1"/>
  <c r="L329" i="2" a="1"/>
  <c r="L329" i="2" s="1"/>
  <c r="J329" i="2" a="1"/>
  <c r="J329" i="2"/>
  <c r="I329" i="2" a="1"/>
  <c r="I329" i="2"/>
  <c r="H329" i="2" a="1"/>
  <c r="H329" i="2" s="1"/>
  <c r="G329" i="2" a="1"/>
  <c r="G329" i="2"/>
  <c r="F329" i="2" a="1"/>
  <c r="F329" i="2" s="1"/>
  <c r="P328" i="2" a="1"/>
  <c r="P328" i="2" s="1"/>
  <c r="N328" i="2" a="1"/>
  <c r="N328" i="2"/>
  <c r="M328" i="2" a="1"/>
  <c r="M328" i="2" s="1"/>
  <c r="L328" i="2" a="1"/>
  <c r="L328" i="2" s="1"/>
  <c r="J328" i="2" a="1"/>
  <c r="J328" i="2" s="1"/>
  <c r="I328" i="2" a="1"/>
  <c r="I328" i="2" s="1"/>
  <c r="H328" i="2" a="1"/>
  <c r="H328" i="2"/>
  <c r="G328" i="2" a="1"/>
  <c r="G328" i="2"/>
  <c r="F328" i="2" a="1"/>
  <c r="F328" i="2" s="1"/>
  <c r="P327" i="2" a="1"/>
  <c r="P327" i="2" s="1"/>
  <c r="N327" i="2" a="1"/>
  <c r="N327" i="2" s="1"/>
  <c r="M327" i="2" a="1"/>
  <c r="M327" i="2" s="1"/>
  <c r="L327" i="2" a="1"/>
  <c r="L327" i="2"/>
  <c r="J327" i="2" a="1"/>
  <c r="J327" i="2" s="1"/>
  <c r="I327" i="2" a="1"/>
  <c r="I327" i="2" s="1"/>
  <c r="H327" i="2" a="1"/>
  <c r="H327" i="2" s="1"/>
  <c r="G327" i="2" a="1"/>
  <c r="G327" i="2" s="1"/>
  <c r="F327" i="2" a="1"/>
  <c r="F327" i="2" s="1"/>
  <c r="P326" i="2" a="1"/>
  <c r="P326" i="2" s="1"/>
  <c r="N326" i="2" a="1"/>
  <c r="N326" i="2"/>
  <c r="M326" i="2" a="1"/>
  <c r="M326" i="2" s="1"/>
  <c r="L326" i="2" a="1"/>
  <c r="L326" i="2" s="1"/>
  <c r="J326" i="2" a="1"/>
  <c r="J326" i="2" s="1"/>
  <c r="I326" i="2" a="1"/>
  <c r="I326" i="2" s="1"/>
  <c r="H326" i="2" a="1"/>
  <c r="H326" i="2" s="1"/>
  <c r="G326" i="2" a="1"/>
  <c r="G326" i="2" s="1"/>
  <c r="F326" i="2" a="1"/>
  <c r="F326" i="2" s="1"/>
  <c r="P325" i="2" a="1"/>
  <c r="P325" i="2" s="1"/>
  <c r="N325" i="2" a="1"/>
  <c r="N325" i="2" s="1"/>
  <c r="M325" i="2" a="1"/>
  <c r="M325" i="2" s="1"/>
  <c r="L325" i="2" a="1"/>
  <c r="L325" i="2" s="1"/>
  <c r="J325" i="2" a="1"/>
  <c r="J325" i="2" s="1"/>
  <c r="I325" i="2" a="1"/>
  <c r="I325" i="2" s="1"/>
  <c r="H325" i="2" a="1"/>
  <c r="H325" i="2" s="1"/>
  <c r="G325" i="2" a="1"/>
  <c r="G325" i="2" s="1"/>
  <c r="F325" i="2" a="1"/>
  <c r="F325" i="2" s="1"/>
  <c r="P324" i="2" a="1"/>
  <c r="P324" i="2" s="1"/>
  <c r="N324" i="2" a="1"/>
  <c r="N324" i="2" s="1"/>
  <c r="M324" i="2" a="1"/>
  <c r="M324" i="2"/>
  <c r="L324" i="2" a="1"/>
  <c r="L324" i="2" s="1"/>
  <c r="J324" i="2" a="1"/>
  <c r="J324" i="2" s="1"/>
  <c r="I324" i="2" a="1"/>
  <c r="I324" i="2" s="1"/>
  <c r="H324" i="2" a="1"/>
  <c r="H324" i="2" s="1"/>
  <c r="G324" i="2" a="1"/>
  <c r="G324" i="2" s="1"/>
  <c r="F324" i="2" a="1"/>
  <c r="F324" i="2" s="1"/>
  <c r="P323" i="2" a="1"/>
  <c r="P323" i="2" s="1"/>
  <c r="N323" i="2" a="1"/>
  <c r="N323" i="2"/>
  <c r="M323" i="2" a="1"/>
  <c r="M323" i="2" s="1"/>
  <c r="L323" i="2" a="1"/>
  <c r="L323" i="2" s="1"/>
  <c r="J323" i="2" a="1"/>
  <c r="J323" i="2" s="1"/>
  <c r="I323" i="2" a="1"/>
  <c r="I323" i="2" s="1"/>
  <c r="H323" i="2" a="1"/>
  <c r="H323" i="2" s="1"/>
  <c r="G323" i="2" a="1"/>
  <c r="G323" i="2" s="1"/>
  <c r="F323" i="2" a="1"/>
  <c r="F323" i="2"/>
  <c r="P322" i="2" a="1"/>
  <c r="P322" i="2" s="1"/>
  <c r="N322" i="2" a="1"/>
  <c r="N322" i="2" s="1"/>
  <c r="M322" i="2" a="1"/>
  <c r="M322" i="2" s="1"/>
  <c r="L322" i="2" a="1"/>
  <c r="L322" i="2" s="1"/>
  <c r="J322" i="2" a="1"/>
  <c r="J322" i="2" s="1"/>
  <c r="I322" i="2" a="1"/>
  <c r="I322" i="2" s="1"/>
  <c r="H322" i="2" a="1"/>
  <c r="H322" i="2" s="1"/>
  <c r="G322" i="2" a="1"/>
  <c r="G322" i="2" s="1"/>
  <c r="F322" i="2" a="1"/>
  <c r="F322" i="2" s="1"/>
  <c r="P321" i="2" a="1"/>
  <c r="P321" i="2" s="1"/>
  <c r="N321" i="2" a="1"/>
  <c r="N321" i="2" s="1"/>
  <c r="M321" i="2" a="1"/>
  <c r="M321" i="2" s="1"/>
  <c r="L321" i="2" a="1"/>
  <c r="L321" i="2" s="1"/>
  <c r="J321" i="2" a="1"/>
  <c r="J321" i="2" s="1"/>
  <c r="I321" i="2" a="1"/>
  <c r="I321" i="2" s="1"/>
  <c r="H321" i="2" a="1"/>
  <c r="H321" i="2" s="1"/>
  <c r="G321" i="2" a="1"/>
  <c r="G321" i="2" s="1"/>
  <c r="F321" i="2" a="1"/>
  <c r="F321" i="2" s="1"/>
  <c r="P320" i="2" a="1"/>
  <c r="P320" i="2" s="1"/>
  <c r="N320" i="2" a="1"/>
  <c r="N320" i="2" s="1"/>
  <c r="M320" i="2" a="1"/>
  <c r="M320" i="2" s="1"/>
  <c r="L320" i="2" a="1"/>
  <c r="L320" i="2" s="1"/>
  <c r="J320" i="2" a="1"/>
  <c r="J320" i="2" s="1"/>
  <c r="I320" i="2" a="1"/>
  <c r="I320" i="2" s="1"/>
  <c r="H320" i="2" a="1"/>
  <c r="H320" i="2" s="1"/>
  <c r="G320" i="2" a="1"/>
  <c r="G320" i="2" s="1"/>
  <c r="F320" i="2" a="1"/>
  <c r="F320" i="2" s="1"/>
  <c r="P319" i="2" a="1"/>
  <c r="P319" i="2" s="1"/>
  <c r="N319" i="2" a="1"/>
  <c r="N319" i="2" s="1"/>
  <c r="M319" i="2" a="1"/>
  <c r="M319" i="2" s="1"/>
  <c r="L319" i="2" a="1"/>
  <c r="L319" i="2" s="1"/>
  <c r="J319" i="2" a="1"/>
  <c r="J319" i="2"/>
  <c r="I319" i="2" a="1"/>
  <c r="I319" i="2" s="1"/>
  <c r="H319" i="2" a="1"/>
  <c r="H319" i="2" s="1"/>
  <c r="G319" i="2" a="1"/>
  <c r="G319" i="2" s="1"/>
  <c r="F319" i="2" a="1"/>
  <c r="F319" i="2" s="1"/>
  <c r="P318" i="2" a="1"/>
  <c r="P318" i="2" s="1"/>
  <c r="N318" i="2" a="1"/>
  <c r="N318" i="2" s="1"/>
  <c r="M318" i="2" a="1"/>
  <c r="M318" i="2" s="1"/>
  <c r="L318" i="2" a="1"/>
  <c r="L318" i="2" s="1"/>
  <c r="J318" i="2" a="1"/>
  <c r="J318" i="2" s="1"/>
  <c r="I318" i="2" a="1"/>
  <c r="I318" i="2" s="1"/>
  <c r="H318" i="2" a="1"/>
  <c r="H318" i="2" s="1"/>
  <c r="G318" i="2" a="1"/>
  <c r="G318" i="2" s="1"/>
  <c r="F318" i="2" a="1"/>
  <c r="F318" i="2" s="1"/>
  <c r="P317" i="2" a="1"/>
  <c r="P317" i="2"/>
  <c r="N317" i="2" a="1"/>
  <c r="N317" i="2" s="1"/>
  <c r="M317" i="2" a="1"/>
  <c r="M317" i="2" s="1"/>
  <c r="L317" i="2" a="1"/>
  <c r="L317" i="2" s="1"/>
  <c r="J317" i="2" a="1"/>
  <c r="J317" i="2"/>
  <c r="I317" i="2" a="1"/>
  <c r="I317" i="2" s="1"/>
  <c r="H317" i="2" a="1"/>
  <c r="H317" i="2" s="1"/>
  <c r="G317" i="2" a="1"/>
  <c r="G317" i="2" s="1"/>
  <c r="F317" i="2" a="1"/>
  <c r="F317" i="2" s="1"/>
  <c r="P316" i="2" a="1"/>
  <c r="P316" i="2" s="1"/>
  <c r="N316" i="2" a="1"/>
  <c r="N316" i="2" s="1"/>
  <c r="M316" i="2" a="1"/>
  <c r="M316" i="2" s="1"/>
  <c r="L316" i="2" a="1"/>
  <c r="L316" i="2" s="1"/>
  <c r="J316" i="2" a="1"/>
  <c r="J316" i="2" s="1"/>
  <c r="I316" i="2" a="1"/>
  <c r="I316" i="2" s="1"/>
  <c r="H316" i="2" a="1"/>
  <c r="H316" i="2" s="1"/>
  <c r="G316" i="2" a="1"/>
  <c r="G316" i="2" s="1"/>
  <c r="F316" i="2" a="1"/>
  <c r="F316" i="2" s="1"/>
  <c r="P315" i="2" a="1"/>
  <c r="P315" i="2"/>
  <c r="N315" i="2" a="1"/>
  <c r="N315" i="2" s="1"/>
  <c r="M315" i="2" a="1"/>
  <c r="M315" i="2" s="1"/>
  <c r="L315" i="2" a="1"/>
  <c r="L315" i="2" s="1"/>
  <c r="J315" i="2" a="1"/>
  <c r="J315" i="2" s="1"/>
  <c r="I315" i="2" a="1"/>
  <c r="I315" i="2" s="1"/>
  <c r="H315" i="2" a="1"/>
  <c r="H315" i="2" s="1"/>
  <c r="G315" i="2" a="1"/>
  <c r="G315" i="2" s="1"/>
  <c r="F315" i="2" a="1"/>
  <c r="F315" i="2"/>
  <c r="P314" i="2" a="1"/>
  <c r="P314" i="2"/>
  <c r="N314" i="2" a="1"/>
  <c r="N314" i="2" s="1"/>
  <c r="M314" i="2" a="1"/>
  <c r="M314" i="2" s="1"/>
  <c r="L314" i="2" a="1"/>
  <c r="L314" i="2" s="1"/>
  <c r="J314" i="2" a="1"/>
  <c r="J314" i="2" s="1"/>
  <c r="I314" i="2" a="1"/>
  <c r="I314" i="2" s="1"/>
  <c r="H314" i="2" a="1"/>
  <c r="H314" i="2" s="1"/>
  <c r="G314" i="2" a="1"/>
  <c r="G314" i="2" s="1"/>
  <c r="F314" i="2" a="1"/>
  <c r="F314" i="2" s="1"/>
  <c r="P313" i="2" a="1"/>
  <c r="P313" i="2" s="1"/>
  <c r="N313" i="2" a="1"/>
  <c r="N313" i="2" s="1"/>
  <c r="M313" i="2" a="1"/>
  <c r="M313" i="2" s="1"/>
  <c r="L313" i="2" a="1"/>
  <c r="L313" i="2" s="1"/>
  <c r="J313" i="2" a="1"/>
  <c r="J313" i="2" s="1"/>
  <c r="I313" i="2" a="1"/>
  <c r="I313" i="2" s="1"/>
  <c r="H313" i="2" a="1"/>
  <c r="H313" i="2" s="1"/>
  <c r="G313" i="2" a="1"/>
  <c r="G313" i="2" s="1"/>
  <c r="F313" i="2" a="1"/>
  <c r="F313" i="2" s="1"/>
  <c r="P312" i="2" a="1"/>
  <c r="P312" i="2" s="1"/>
  <c r="N312" i="2" a="1"/>
  <c r="N312" i="2" s="1"/>
  <c r="M312" i="2" a="1"/>
  <c r="M312" i="2" s="1"/>
  <c r="L312" i="2" a="1"/>
  <c r="L312" i="2" s="1"/>
  <c r="J312" i="2" a="1"/>
  <c r="J312" i="2" s="1"/>
  <c r="I312" i="2" a="1"/>
  <c r="I312" i="2" s="1"/>
  <c r="H312" i="2" a="1"/>
  <c r="H312" i="2" s="1"/>
  <c r="G312" i="2" a="1"/>
  <c r="G312" i="2" s="1"/>
  <c r="F312" i="2" a="1"/>
  <c r="F312" i="2" s="1"/>
  <c r="P311" i="2" a="1"/>
  <c r="P311" i="2" s="1"/>
  <c r="N311" i="2" a="1"/>
  <c r="N311" i="2" s="1"/>
  <c r="M311" i="2" a="1"/>
  <c r="M311" i="2" s="1"/>
  <c r="L311" i="2" a="1"/>
  <c r="L311" i="2" s="1"/>
  <c r="J311" i="2" a="1"/>
  <c r="J311" i="2" s="1"/>
  <c r="I311" i="2" a="1"/>
  <c r="I311" i="2"/>
  <c r="H311" i="2" a="1"/>
  <c r="H311" i="2"/>
  <c r="G311" i="2" a="1"/>
  <c r="G311" i="2" s="1"/>
  <c r="F311" i="2" a="1"/>
  <c r="F311" i="2" s="1"/>
  <c r="P310" i="2" a="1"/>
  <c r="P310" i="2" s="1"/>
  <c r="N310" i="2" a="1"/>
  <c r="N310" i="2" s="1"/>
  <c r="M310" i="2" a="1"/>
  <c r="M310" i="2" s="1"/>
  <c r="L310" i="2" a="1"/>
  <c r="L310" i="2" s="1"/>
  <c r="J310" i="2" a="1"/>
  <c r="J310" i="2" s="1"/>
  <c r="I310" i="2" a="1"/>
  <c r="I310" i="2" s="1"/>
  <c r="H310" i="2" a="1"/>
  <c r="H310" i="2" s="1"/>
  <c r="G310" i="2" a="1"/>
  <c r="G310" i="2" s="1"/>
  <c r="F310" i="2" a="1"/>
  <c r="F310" i="2" s="1"/>
  <c r="P309" i="2" a="1"/>
  <c r="P309" i="2" s="1"/>
  <c r="N309" i="2" a="1"/>
  <c r="N309" i="2" s="1"/>
  <c r="M309" i="2" a="1"/>
  <c r="M309" i="2" s="1"/>
  <c r="L309" i="2" a="1"/>
  <c r="L309" i="2" s="1"/>
  <c r="J309" i="2" a="1"/>
  <c r="J309" i="2" s="1"/>
  <c r="I309" i="2" a="1"/>
  <c r="I309" i="2" s="1"/>
  <c r="H309" i="2" a="1"/>
  <c r="H309" i="2"/>
  <c r="G309" i="2" a="1"/>
  <c r="G309" i="2" s="1"/>
  <c r="F309" i="2" a="1"/>
  <c r="F309" i="2" s="1"/>
  <c r="P308" i="2" a="1"/>
  <c r="P308" i="2" s="1"/>
  <c r="N308" i="2" a="1"/>
  <c r="N308" i="2" s="1"/>
  <c r="M308" i="2" a="1"/>
  <c r="M308" i="2" s="1"/>
  <c r="L308" i="2" a="1"/>
  <c r="L308" i="2" s="1"/>
  <c r="J308" i="2" a="1"/>
  <c r="J308" i="2" s="1"/>
  <c r="I308" i="2" a="1"/>
  <c r="I308" i="2"/>
  <c r="H308" i="2" a="1"/>
  <c r="H308" i="2" s="1"/>
  <c r="G308" i="2" a="1"/>
  <c r="G308" i="2" s="1"/>
  <c r="F308" i="2" a="1"/>
  <c r="F308" i="2" s="1"/>
  <c r="P304" i="2" a="1"/>
  <c r="P304" i="2" s="1"/>
  <c r="N304" i="2" a="1"/>
  <c r="N304" i="2" s="1"/>
  <c r="M304" i="2" a="1"/>
  <c r="M304" i="2" s="1"/>
  <c r="L304" i="2" a="1"/>
  <c r="L304" i="2" s="1"/>
  <c r="J304" i="2" a="1"/>
  <c r="J304" i="2" s="1"/>
  <c r="I304" i="2" a="1"/>
  <c r="I304" i="2" s="1"/>
  <c r="H304" i="2" a="1"/>
  <c r="H304" i="2" s="1"/>
  <c r="G304" i="2" a="1"/>
  <c r="G304" i="2" s="1"/>
  <c r="F304" i="2" a="1"/>
  <c r="F304" i="2" s="1"/>
  <c r="P303" i="2" a="1"/>
  <c r="P303" i="2"/>
  <c r="N303" i="2" a="1"/>
  <c r="N303" i="2" s="1"/>
  <c r="M303" i="2" a="1"/>
  <c r="M303" i="2" s="1"/>
  <c r="L303" i="2" a="1"/>
  <c r="L303" i="2" s="1"/>
  <c r="J303" i="2" a="1"/>
  <c r="J303" i="2" s="1"/>
  <c r="I303" i="2" a="1"/>
  <c r="I303" i="2" s="1"/>
  <c r="H303" i="2" a="1"/>
  <c r="H303" i="2" s="1"/>
  <c r="G303" i="2" a="1"/>
  <c r="G303" i="2" s="1"/>
  <c r="F303" i="2" a="1"/>
  <c r="F303" i="2" s="1"/>
  <c r="P302" i="2" a="1"/>
  <c r="P302" i="2" s="1"/>
  <c r="N302" i="2" a="1"/>
  <c r="N302" i="2" s="1"/>
  <c r="M302" i="2" a="1"/>
  <c r="M302" i="2" s="1"/>
  <c r="L302" i="2" a="1"/>
  <c r="L302" i="2" s="1"/>
  <c r="J302" i="2" a="1"/>
  <c r="J302" i="2" s="1"/>
  <c r="I302" i="2" a="1"/>
  <c r="I302" i="2" s="1"/>
  <c r="H302" i="2" a="1"/>
  <c r="H302" i="2" s="1"/>
  <c r="G302" i="2" a="1"/>
  <c r="G302" i="2" s="1"/>
  <c r="F302" i="2" a="1"/>
  <c r="F302" i="2" s="1"/>
  <c r="P301" i="2" a="1"/>
  <c r="P301" i="2" s="1"/>
  <c r="N301" i="2" a="1"/>
  <c r="N301" i="2" s="1"/>
  <c r="M301" i="2" a="1"/>
  <c r="M301" i="2" s="1"/>
  <c r="L301" i="2" a="1"/>
  <c r="L301" i="2" s="1"/>
  <c r="J301" i="2" a="1"/>
  <c r="J301" i="2" s="1"/>
  <c r="I301" i="2" a="1"/>
  <c r="I301" i="2" s="1"/>
  <c r="H301" i="2" a="1"/>
  <c r="H301" i="2" s="1"/>
  <c r="G301" i="2" a="1"/>
  <c r="G301" i="2" s="1"/>
  <c r="F301" i="2" a="1"/>
  <c r="F301" i="2" s="1"/>
  <c r="P300" i="2" a="1"/>
  <c r="P300" i="2" s="1"/>
  <c r="N300" i="2" a="1"/>
  <c r="N300" i="2" s="1"/>
  <c r="M300" i="2" a="1"/>
  <c r="M300" i="2" s="1"/>
  <c r="L300" i="2" a="1"/>
  <c r="L300" i="2" s="1"/>
  <c r="J300" i="2" a="1"/>
  <c r="J300" i="2" s="1"/>
  <c r="I300" i="2" a="1"/>
  <c r="I300" i="2" s="1"/>
  <c r="H300" i="2" a="1"/>
  <c r="H300" i="2" s="1"/>
  <c r="G300" i="2" a="1"/>
  <c r="G300" i="2" s="1"/>
  <c r="F300" i="2" a="1"/>
  <c r="F300" i="2" s="1"/>
  <c r="P299" i="2" a="1"/>
  <c r="P299" i="2" s="1"/>
  <c r="N299" i="2" a="1"/>
  <c r="N299" i="2" s="1"/>
  <c r="M299" i="2" a="1"/>
  <c r="M299" i="2" s="1"/>
  <c r="L299" i="2" a="1"/>
  <c r="L299" i="2" s="1"/>
  <c r="J299" i="2" a="1"/>
  <c r="J299" i="2" s="1"/>
  <c r="I299" i="2" a="1"/>
  <c r="I299" i="2" s="1"/>
  <c r="H299" i="2" a="1"/>
  <c r="H299" i="2" s="1"/>
  <c r="G299" i="2" a="1"/>
  <c r="G299" i="2" s="1"/>
  <c r="F299" i="2" a="1"/>
  <c r="F299" i="2" s="1"/>
  <c r="P298" i="2" a="1"/>
  <c r="P298" i="2" s="1"/>
  <c r="N298" i="2" a="1"/>
  <c r="N298" i="2" s="1"/>
  <c r="M298" i="2" a="1"/>
  <c r="M298" i="2" s="1"/>
  <c r="L298" i="2" a="1"/>
  <c r="L298" i="2" s="1"/>
  <c r="J298" i="2" a="1"/>
  <c r="J298" i="2" s="1"/>
  <c r="I298" i="2" a="1"/>
  <c r="I298" i="2" s="1"/>
  <c r="H298" i="2" a="1"/>
  <c r="H298" i="2" s="1"/>
  <c r="G298" i="2" a="1"/>
  <c r="G298" i="2" s="1"/>
  <c r="F298" i="2" a="1"/>
  <c r="F298" i="2" s="1"/>
  <c r="P297" i="2" a="1"/>
  <c r="P297" i="2" s="1"/>
  <c r="N297" i="2" a="1"/>
  <c r="N297" i="2" s="1"/>
  <c r="M297" i="2" a="1"/>
  <c r="M297" i="2" s="1"/>
  <c r="L297" i="2" a="1"/>
  <c r="L297" i="2" s="1"/>
  <c r="J297" i="2" a="1"/>
  <c r="J297" i="2" s="1"/>
  <c r="I297" i="2" a="1"/>
  <c r="I297" i="2"/>
  <c r="H297" i="2" a="1"/>
  <c r="H297" i="2"/>
  <c r="G297" i="2" a="1"/>
  <c r="G297" i="2" s="1"/>
  <c r="F297" i="2" a="1"/>
  <c r="F297" i="2" s="1"/>
  <c r="P296" i="2" a="1"/>
  <c r="P296" i="2" s="1"/>
  <c r="N296" i="2" a="1"/>
  <c r="N296" i="2" s="1"/>
  <c r="M296" i="2" a="1"/>
  <c r="M296" i="2" s="1"/>
  <c r="L296" i="2" a="1"/>
  <c r="L296" i="2" s="1"/>
  <c r="J296" i="2" a="1"/>
  <c r="J296" i="2" s="1"/>
  <c r="I296" i="2" a="1"/>
  <c r="I296" i="2" s="1"/>
  <c r="H296" i="2" a="1"/>
  <c r="H296" i="2" s="1"/>
  <c r="G296" i="2" a="1"/>
  <c r="G296" i="2" s="1"/>
  <c r="F296" i="2" a="1"/>
  <c r="F296" i="2" s="1"/>
  <c r="P295" i="2" a="1"/>
  <c r="P295" i="2" s="1"/>
  <c r="N295" i="2" a="1"/>
  <c r="N295" i="2" s="1"/>
  <c r="M295" i="2" a="1"/>
  <c r="M295" i="2" s="1"/>
  <c r="L295" i="2" a="1"/>
  <c r="L295" i="2" s="1"/>
  <c r="J295" i="2" a="1"/>
  <c r="J295" i="2" s="1"/>
  <c r="I295" i="2" a="1"/>
  <c r="I295" i="2" s="1"/>
  <c r="H295" i="2" a="1"/>
  <c r="H295" i="2" s="1"/>
  <c r="G295" i="2" a="1"/>
  <c r="G295" i="2" s="1"/>
  <c r="F295" i="2" a="1"/>
  <c r="F295" i="2" s="1"/>
  <c r="P294" i="2" a="1"/>
  <c r="P294" i="2" s="1"/>
  <c r="N294" i="2" a="1"/>
  <c r="N294" i="2" s="1"/>
  <c r="M294" i="2" a="1"/>
  <c r="M294" i="2" s="1"/>
  <c r="L294" i="2" a="1"/>
  <c r="L294" i="2" s="1"/>
  <c r="J294" i="2" a="1"/>
  <c r="J294" i="2" s="1"/>
  <c r="I294" i="2" a="1"/>
  <c r="I294" i="2" s="1"/>
  <c r="H294" i="2" a="1"/>
  <c r="H294" i="2" s="1"/>
  <c r="G294" i="2" a="1"/>
  <c r="G294" i="2" s="1"/>
  <c r="F294" i="2" a="1"/>
  <c r="F294" i="2" s="1"/>
  <c r="P293" i="2" a="1"/>
  <c r="P293" i="2" s="1"/>
  <c r="N293" i="2" a="1"/>
  <c r="N293" i="2" s="1"/>
  <c r="M293" i="2" a="1"/>
  <c r="M293" i="2" s="1"/>
  <c r="L293" i="2" a="1"/>
  <c r="L293" i="2" s="1"/>
  <c r="J293" i="2" a="1"/>
  <c r="J293" i="2" s="1"/>
  <c r="I293" i="2" a="1"/>
  <c r="I293" i="2" s="1"/>
  <c r="H293" i="2" a="1"/>
  <c r="H293" i="2" s="1"/>
  <c r="G293" i="2" a="1"/>
  <c r="G293" i="2" s="1"/>
  <c r="F293" i="2" a="1"/>
  <c r="F293" i="2" s="1"/>
  <c r="P292" i="2" a="1"/>
  <c r="P292" i="2" s="1"/>
  <c r="N292" i="2" a="1"/>
  <c r="N292" i="2" s="1"/>
  <c r="M292" i="2" a="1"/>
  <c r="M292" i="2"/>
  <c r="L292" i="2" a="1"/>
  <c r="L292" i="2" s="1"/>
  <c r="J292" i="2" a="1"/>
  <c r="J292" i="2" s="1"/>
  <c r="I292" i="2" a="1"/>
  <c r="I292" i="2" s="1"/>
  <c r="H292" i="2" a="1"/>
  <c r="H292" i="2" s="1"/>
  <c r="G292" i="2" a="1"/>
  <c r="G292" i="2"/>
  <c r="F292" i="2" a="1"/>
  <c r="F292" i="2" s="1"/>
  <c r="P291" i="2" a="1"/>
  <c r="P291" i="2" s="1"/>
  <c r="N291" i="2" a="1"/>
  <c r="N291" i="2"/>
  <c r="M291" i="2" a="1"/>
  <c r="M291" i="2" s="1"/>
  <c r="L291" i="2" a="1"/>
  <c r="L291" i="2" s="1"/>
  <c r="J291" i="2" a="1"/>
  <c r="J291" i="2" s="1"/>
  <c r="I291" i="2" a="1"/>
  <c r="I291" i="2" s="1"/>
  <c r="H291" i="2" a="1"/>
  <c r="H291" i="2" s="1"/>
  <c r="G291" i="2" a="1"/>
  <c r="G291" i="2" s="1"/>
  <c r="F291" i="2" a="1"/>
  <c r="F291" i="2" s="1"/>
  <c r="P290" i="2" a="1"/>
  <c r="P290" i="2" s="1"/>
  <c r="N290" i="2" a="1"/>
  <c r="N290" i="2" s="1"/>
  <c r="M290" i="2" a="1"/>
  <c r="M290" i="2" s="1"/>
  <c r="L290" i="2" a="1"/>
  <c r="L290" i="2" s="1"/>
  <c r="J290" i="2" a="1"/>
  <c r="J290" i="2" s="1"/>
  <c r="I290" i="2" a="1"/>
  <c r="I290" i="2" s="1"/>
  <c r="H290" i="2" a="1"/>
  <c r="H290" i="2" s="1"/>
  <c r="G290" i="2" a="1"/>
  <c r="G290" i="2" s="1"/>
  <c r="F290" i="2" a="1"/>
  <c r="F290" i="2" s="1"/>
  <c r="P289" i="2" a="1"/>
  <c r="P289" i="2" s="1"/>
  <c r="N289" i="2" a="1"/>
  <c r="N289" i="2" s="1"/>
  <c r="M289" i="2" a="1"/>
  <c r="M289" i="2" s="1"/>
  <c r="L289" i="2" a="1"/>
  <c r="L289" i="2" s="1"/>
  <c r="J289" i="2" a="1"/>
  <c r="J289" i="2" s="1"/>
  <c r="I289" i="2" a="1"/>
  <c r="I289" i="2" s="1"/>
  <c r="H289" i="2" a="1"/>
  <c r="H289" i="2" s="1"/>
  <c r="G289" i="2" a="1"/>
  <c r="G289" i="2" s="1"/>
  <c r="F289" i="2" a="1"/>
  <c r="F289" i="2"/>
  <c r="P288" i="2" a="1"/>
  <c r="P288" i="2" s="1"/>
  <c r="N288" i="2" a="1"/>
  <c r="N288" i="2" s="1"/>
  <c r="M288" i="2" a="1"/>
  <c r="M288" i="2" s="1"/>
  <c r="L288" i="2" a="1"/>
  <c r="L288" i="2" s="1"/>
  <c r="J288" i="2" a="1"/>
  <c r="J288" i="2" s="1"/>
  <c r="I288" i="2" a="1"/>
  <c r="I288" i="2" s="1"/>
  <c r="H288" i="2" a="1"/>
  <c r="H288" i="2" s="1"/>
  <c r="G288" i="2" a="1"/>
  <c r="G288" i="2" s="1"/>
  <c r="F288" i="2" a="1"/>
  <c r="F288" i="2" s="1"/>
  <c r="P287" i="2" a="1"/>
  <c r="P287" i="2" s="1"/>
  <c r="N287" i="2" a="1"/>
  <c r="N287" i="2" s="1"/>
  <c r="M287" i="2" a="1"/>
  <c r="M287" i="2" s="1"/>
  <c r="L287" i="2" a="1"/>
  <c r="L287" i="2" s="1"/>
  <c r="J287" i="2" a="1"/>
  <c r="J287" i="2" s="1"/>
  <c r="I287" i="2" a="1"/>
  <c r="I287" i="2" s="1"/>
  <c r="H287" i="2" a="1"/>
  <c r="H287" i="2" s="1"/>
  <c r="G287" i="2" a="1"/>
  <c r="G287" i="2" s="1"/>
  <c r="F287" i="2" a="1"/>
  <c r="F287" i="2" s="1"/>
  <c r="P286" i="2" a="1"/>
  <c r="P286" i="2" s="1"/>
  <c r="N286" i="2" a="1"/>
  <c r="N286" i="2" s="1"/>
  <c r="M286" i="2" a="1"/>
  <c r="M286" i="2" s="1"/>
  <c r="L286" i="2" a="1"/>
  <c r="L286" i="2" s="1"/>
  <c r="J286" i="2" a="1"/>
  <c r="J286" i="2" s="1"/>
  <c r="I286" i="2" a="1"/>
  <c r="I286" i="2" s="1"/>
  <c r="H286" i="2" a="1"/>
  <c r="H286" i="2" s="1"/>
  <c r="G286" i="2" a="1"/>
  <c r="G286" i="2" s="1"/>
  <c r="F286" i="2" a="1"/>
  <c r="F286" i="2"/>
  <c r="P285" i="2" a="1"/>
  <c r="P285" i="2" s="1"/>
  <c r="N285" i="2" a="1"/>
  <c r="N285" i="2" s="1"/>
  <c r="M285" i="2" a="1"/>
  <c r="M285" i="2" s="1"/>
  <c r="L285" i="2" a="1"/>
  <c r="L285" i="2" s="1"/>
  <c r="J285" i="2" a="1"/>
  <c r="J285" i="2" s="1"/>
  <c r="I285" i="2" a="1"/>
  <c r="I285" i="2" s="1"/>
  <c r="H285" i="2" a="1"/>
  <c r="H285" i="2" s="1"/>
  <c r="G285" i="2" a="1"/>
  <c r="G285" i="2" s="1"/>
  <c r="F285" i="2" a="1"/>
  <c r="F285" i="2" s="1"/>
  <c r="P284" i="2" a="1"/>
  <c r="P284" i="2" s="1"/>
  <c r="N284" i="2" a="1"/>
  <c r="N284" i="2" s="1"/>
  <c r="M284" i="2" a="1"/>
  <c r="M284" i="2" s="1"/>
  <c r="L284" i="2" a="1"/>
  <c r="L284" i="2" s="1"/>
  <c r="J284" i="2" a="1"/>
  <c r="J284" i="2" s="1"/>
  <c r="I284" i="2" a="1"/>
  <c r="I284" i="2" s="1"/>
  <c r="H284" i="2" a="1"/>
  <c r="H284" i="2" s="1"/>
  <c r="G284" i="2" a="1"/>
  <c r="G284" i="2" s="1"/>
  <c r="F284" i="2" a="1"/>
  <c r="F284" i="2" s="1"/>
  <c r="P283" i="2" a="1"/>
  <c r="P283" i="2" s="1"/>
  <c r="N283" i="2" a="1"/>
  <c r="N283" i="2"/>
  <c r="M283" i="2" a="1"/>
  <c r="M283" i="2" s="1"/>
  <c r="L283" i="2" a="1"/>
  <c r="L283" i="2" s="1"/>
  <c r="J283" i="2" a="1"/>
  <c r="J283" i="2" s="1"/>
  <c r="I283" i="2" a="1"/>
  <c r="I283" i="2" s="1"/>
  <c r="H283" i="2" a="1"/>
  <c r="H283" i="2" s="1"/>
  <c r="G283" i="2" a="1"/>
  <c r="G283" i="2" s="1"/>
  <c r="F283" i="2" a="1"/>
  <c r="F283" i="2" s="1"/>
  <c r="P282" i="2" a="1"/>
  <c r="P282" i="2" s="1"/>
  <c r="N282" i="2" a="1"/>
  <c r="N282" i="2" s="1"/>
  <c r="M282" i="2" a="1"/>
  <c r="M282" i="2" s="1"/>
  <c r="L282" i="2" a="1"/>
  <c r="L282" i="2" s="1"/>
  <c r="J282" i="2" a="1"/>
  <c r="J282" i="2" s="1"/>
  <c r="I282" i="2" a="1"/>
  <c r="I282" i="2" s="1"/>
  <c r="H282" i="2" a="1"/>
  <c r="H282" i="2" s="1"/>
  <c r="G282" i="2" a="1"/>
  <c r="G282" i="2" s="1"/>
  <c r="F282" i="2" a="1"/>
  <c r="F282" i="2" s="1"/>
  <c r="P281" i="2" a="1"/>
  <c r="P281" i="2" s="1"/>
  <c r="N281" i="2" a="1"/>
  <c r="N281" i="2" s="1"/>
  <c r="M281" i="2" a="1"/>
  <c r="M281" i="2" s="1"/>
  <c r="L281" i="2" a="1"/>
  <c r="L281" i="2" s="1"/>
  <c r="J281" i="2" a="1"/>
  <c r="J281" i="2" s="1"/>
  <c r="I281" i="2" a="1"/>
  <c r="I281" i="2" s="1"/>
  <c r="H281" i="2" a="1"/>
  <c r="H281" i="2" s="1"/>
  <c r="G281" i="2" a="1"/>
  <c r="G281" i="2" s="1"/>
  <c r="F281" i="2" a="1"/>
  <c r="F281" i="2" s="1"/>
  <c r="P280" i="2" a="1"/>
  <c r="P280" i="2" s="1"/>
  <c r="N280" i="2" a="1"/>
  <c r="N280" i="2" s="1"/>
  <c r="M280" i="2" a="1"/>
  <c r="M280" i="2" s="1"/>
  <c r="L280" i="2" a="1"/>
  <c r="L280" i="2" s="1"/>
  <c r="J280" i="2" a="1"/>
  <c r="J280" i="2" s="1"/>
  <c r="I280" i="2" a="1"/>
  <c r="I280" i="2" s="1"/>
  <c r="H280" i="2" a="1"/>
  <c r="H280" i="2" s="1"/>
  <c r="G280" i="2" a="1"/>
  <c r="G280" i="2" s="1"/>
  <c r="F280" i="2" a="1"/>
  <c r="F280" i="2" s="1"/>
  <c r="P279" i="2" a="1"/>
  <c r="P279" i="2" s="1"/>
  <c r="N279" i="2" a="1"/>
  <c r="N279" i="2" s="1"/>
  <c r="M279" i="2" a="1"/>
  <c r="M279" i="2" s="1"/>
  <c r="L279" i="2" a="1"/>
  <c r="L279" i="2" s="1"/>
  <c r="J279" i="2" a="1"/>
  <c r="J279" i="2" s="1"/>
  <c r="I279" i="2" a="1"/>
  <c r="I279" i="2" s="1"/>
  <c r="H279" i="2" a="1"/>
  <c r="H279" i="2"/>
  <c r="G279" i="2" a="1"/>
  <c r="G279" i="2" s="1"/>
  <c r="F279" i="2" a="1"/>
  <c r="F279" i="2" s="1"/>
  <c r="P278" i="2" a="1"/>
  <c r="P278" i="2" s="1"/>
  <c r="N278" i="2" a="1"/>
  <c r="N278" i="2" s="1"/>
  <c r="M278" i="2" a="1"/>
  <c r="M278" i="2" s="1"/>
  <c r="L278" i="2" a="1"/>
  <c r="L278" i="2" s="1"/>
  <c r="J278" i="2" a="1"/>
  <c r="J278" i="2" s="1"/>
  <c r="I278" i="2" a="1"/>
  <c r="I278" i="2" s="1"/>
  <c r="H278" i="2" a="1"/>
  <c r="H278" i="2" s="1"/>
  <c r="G278" i="2" a="1"/>
  <c r="G278" i="2" s="1"/>
  <c r="F278" i="2" a="1"/>
  <c r="F278" i="2" s="1"/>
  <c r="P277" i="2" a="1"/>
  <c r="P277" i="2" s="1"/>
  <c r="N277" i="2" a="1"/>
  <c r="N277" i="2" s="1"/>
  <c r="M277" i="2" a="1"/>
  <c r="M277" i="2" s="1"/>
  <c r="L277" i="2" a="1"/>
  <c r="L277" i="2" s="1"/>
  <c r="J277" i="2" a="1"/>
  <c r="J277" i="2" s="1"/>
  <c r="I277" i="2" a="1"/>
  <c r="I277" i="2" s="1"/>
  <c r="H277" i="2" a="1"/>
  <c r="H277" i="2" s="1"/>
  <c r="G277" i="2" a="1"/>
  <c r="G277" i="2" s="1"/>
  <c r="F277" i="2" a="1"/>
  <c r="F277" i="2" s="1"/>
  <c r="P276" i="2" a="1"/>
  <c r="P276" i="2" s="1"/>
  <c r="N276" i="2" a="1"/>
  <c r="N276" i="2" s="1"/>
  <c r="M276" i="2" a="1"/>
  <c r="M276" i="2" s="1"/>
  <c r="L276" i="2" a="1"/>
  <c r="L276" i="2" s="1"/>
  <c r="J276" i="2" a="1"/>
  <c r="J276" i="2" s="1"/>
  <c r="I276" i="2" a="1"/>
  <c r="I276" i="2" s="1"/>
  <c r="H276" i="2" a="1"/>
  <c r="H276" i="2" s="1"/>
  <c r="G276" i="2" a="1"/>
  <c r="G276" i="2" s="1"/>
  <c r="F276" i="2" a="1"/>
  <c r="F276" i="2" s="1"/>
  <c r="P275" i="2" a="1"/>
  <c r="P275" i="2" s="1"/>
  <c r="N275" i="2" a="1"/>
  <c r="N275" i="2" s="1"/>
  <c r="M275" i="2" a="1"/>
  <c r="M275" i="2" s="1"/>
  <c r="L275" i="2" a="1"/>
  <c r="L275" i="2" s="1"/>
  <c r="J275" i="2" a="1"/>
  <c r="J275" i="2" s="1"/>
  <c r="I275" i="2" a="1"/>
  <c r="I275" i="2" s="1"/>
  <c r="H275" i="2" a="1"/>
  <c r="H275" i="2" s="1"/>
  <c r="G275" i="2" a="1"/>
  <c r="G275" i="2" s="1"/>
  <c r="F275" i="2" a="1"/>
  <c r="F275" i="2" s="1"/>
  <c r="P274" i="2" a="1"/>
  <c r="P274" i="2" s="1"/>
  <c r="N274" i="2" a="1"/>
  <c r="N274" i="2" s="1"/>
  <c r="M274" i="2" a="1"/>
  <c r="M274" i="2" s="1"/>
  <c r="L274" i="2" a="1"/>
  <c r="L274" i="2" s="1"/>
  <c r="J274" i="2" a="1"/>
  <c r="J274" i="2" s="1"/>
  <c r="I274" i="2" a="1"/>
  <c r="I274" i="2" s="1"/>
  <c r="H274" i="2" a="1"/>
  <c r="H274" i="2" s="1"/>
  <c r="G274" i="2" a="1"/>
  <c r="G274" i="2" s="1"/>
  <c r="F274" i="2" a="1"/>
  <c r="F274" i="2" s="1"/>
  <c r="P273" i="2" a="1"/>
  <c r="P273" i="2" s="1"/>
  <c r="N273" i="2" a="1"/>
  <c r="N273" i="2" s="1"/>
  <c r="M273" i="2" a="1"/>
  <c r="M273" i="2" s="1"/>
  <c r="L273" i="2" a="1"/>
  <c r="L273" i="2" s="1"/>
  <c r="J273" i="2" a="1"/>
  <c r="J273" i="2" s="1"/>
  <c r="I273" i="2" a="1"/>
  <c r="I273" i="2" s="1"/>
  <c r="H273" i="2" a="1"/>
  <c r="H273" i="2" s="1"/>
  <c r="G273" i="2" a="1"/>
  <c r="G273" i="2" s="1"/>
  <c r="F273" i="2" a="1"/>
  <c r="F273" i="2" s="1"/>
  <c r="P272" i="2" a="1"/>
  <c r="P272" i="2" s="1"/>
  <c r="N272" i="2" a="1"/>
  <c r="N272" i="2" s="1"/>
  <c r="M272" i="2" a="1"/>
  <c r="M272" i="2" s="1"/>
  <c r="L272" i="2" a="1"/>
  <c r="L272" i="2" s="1"/>
  <c r="J272" i="2" a="1"/>
  <c r="J272" i="2" s="1"/>
  <c r="I272" i="2" a="1"/>
  <c r="I272" i="2" s="1"/>
  <c r="H272" i="2" a="1"/>
  <c r="H272" i="2" s="1"/>
  <c r="G272" i="2" a="1"/>
  <c r="G272" i="2" s="1"/>
  <c r="F272" i="2" a="1"/>
  <c r="F272" i="2" s="1"/>
  <c r="P271" i="2" a="1"/>
  <c r="P271" i="2" s="1"/>
  <c r="N271" i="2" a="1"/>
  <c r="N271" i="2" s="1"/>
  <c r="M271" i="2" a="1"/>
  <c r="M271" i="2" s="1"/>
  <c r="L271" i="2" a="1"/>
  <c r="L271" i="2" s="1"/>
  <c r="J271" i="2" a="1"/>
  <c r="J271" i="2" s="1"/>
  <c r="I271" i="2" a="1"/>
  <c r="I271" i="2" s="1"/>
  <c r="H271" i="2" a="1"/>
  <c r="H271" i="2" s="1"/>
  <c r="G271" i="2" a="1"/>
  <c r="G271" i="2" s="1"/>
  <c r="F271" i="2" a="1"/>
  <c r="F271" i="2" s="1"/>
  <c r="P270" i="2" a="1"/>
  <c r="P270" i="2" s="1"/>
  <c r="N270" i="2" a="1"/>
  <c r="N270" i="2"/>
  <c r="M270" i="2" a="1"/>
  <c r="M270" i="2" s="1"/>
  <c r="L270" i="2" a="1"/>
  <c r="L270" i="2" s="1"/>
  <c r="J270" i="2" a="1"/>
  <c r="J270" i="2" s="1"/>
  <c r="I270" i="2" a="1"/>
  <c r="I270" i="2" s="1"/>
  <c r="H270" i="2" a="1"/>
  <c r="H270" i="2" s="1"/>
  <c r="G270" i="2" a="1"/>
  <c r="G270" i="2" s="1"/>
  <c r="F270" i="2" a="1"/>
  <c r="F270" i="2" s="1"/>
  <c r="P269" i="2" a="1"/>
  <c r="P269" i="2" s="1"/>
  <c r="N269" i="2" a="1"/>
  <c r="N269" i="2" s="1"/>
  <c r="M269" i="2" a="1"/>
  <c r="M269" i="2" s="1"/>
  <c r="L269" i="2" a="1"/>
  <c r="L269" i="2" s="1"/>
  <c r="J269" i="2" a="1"/>
  <c r="J269" i="2" s="1"/>
  <c r="I269" i="2" a="1"/>
  <c r="I269" i="2" s="1"/>
  <c r="H269" i="2" a="1"/>
  <c r="H269" i="2" s="1"/>
  <c r="G269" i="2" a="1"/>
  <c r="G269" i="2" s="1"/>
  <c r="F269" i="2" a="1"/>
  <c r="F269" i="2" s="1"/>
  <c r="P268" i="2" a="1"/>
  <c r="P268" i="2" s="1"/>
  <c r="N268" i="2" a="1"/>
  <c r="N268" i="2" s="1"/>
  <c r="M268" i="2" a="1"/>
  <c r="M268" i="2" s="1"/>
  <c r="L268" i="2" a="1"/>
  <c r="L268" i="2" s="1"/>
  <c r="J268" i="2" a="1"/>
  <c r="J268" i="2" s="1"/>
  <c r="I268" i="2" a="1"/>
  <c r="I268" i="2" s="1"/>
  <c r="H268" i="2" a="1"/>
  <c r="H268" i="2" s="1"/>
  <c r="G268" i="2" a="1"/>
  <c r="G268" i="2" s="1"/>
  <c r="F268" i="2" a="1"/>
  <c r="F268" i="2" s="1"/>
  <c r="P267" i="2" a="1"/>
  <c r="P267" i="2" s="1"/>
  <c r="N267" i="2" a="1"/>
  <c r="N267" i="2"/>
  <c r="M267" i="2" a="1"/>
  <c r="M267" i="2" s="1"/>
  <c r="L267" i="2" a="1"/>
  <c r="L267" i="2" s="1"/>
  <c r="J267" i="2" a="1"/>
  <c r="J267" i="2" s="1"/>
  <c r="I267" i="2" a="1"/>
  <c r="I267" i="2" s="1"/>
  <c r="H267" i="2" a="1"/>
  <c r="H267" i="2" s="1"/>
  <c r="G267" i="2" a="1"/>
  <c r="G267" i="2" s="1"/>
  <c r="F267" i="2" a="1"/>
  <c r="F267" i="2" s="1"/>
  <c r="P266" i="2" a="1"/>
  <c r="P266" i="2" s="1"/>
  <c r="N266" i="2" a="1"/>
  <c r="N266" i="2" s="1"/>
  <c r="M266" i="2" a="1"/>
  <c r="M266" i="2" s="1"/>
  <c r="L266" i="2" a="1"/>
  <c r="L266" i="2" s="1"/>
  <c r="J266" i="2" a="1"/>
  <c r="J266" i="2"/>
  <c r="I266" i="2" a="1"/>
  <c r="I266" i="2"/>
  <c r="H266" i="2" a="1"/>
  <c r="H266" i="2" s="1"/>
  <c r="G266" i="2" a="1"/>
  <c r="G266" i="2" s="1"/>
  <c r="F266" i="2" a="1"/>
  <c r="F266" i="2" s="1"/>
  <c r="P265" i="2" a="1"/>
  <c r="P265" i="2" s="1"/>
  <c r="N265" i="2" a="1"/>
  <c r="N265" i="2" s="1"/>
  <c r="M265" i="2" a="1"/>
  <c r="M265" i="2" s="1"/>
  <c r="L265" i="2" a="1"/>
  <c r="L265" i="2" s="1"/>
  <c r="J265" i="2" a="1"/>
  <c r="J265" i="2" s="1"/>
  <c r="I265" i="2" a="1"/>
  <c r="I265" i="2" s="1"/>
  <c r="H265" i="2" a="1"/>
  <c r="H265" i="2" s="1"/>
  <c r="G265" i="2" a="1"/>
  <c r="G265" i="2" s="1"/>
  <c r="F265" i="2" a="1"/>
  <c r="F265" i="2" s="1"/>
  <c r="P264" i="2" a="1"/>
  <c r="P264" i="2" s="1"/>
  <c r="N264" i="2" a="1"/>
  <c r="N264" i="2" s="1"/>
  <c r="M264" i="2" a="1"/>
  <c r="M264" i="2" s="1"/>
  <c r="L264" i="2" a="1"/>
  <c r="L264" i="2" s="1"/>
  <c r="J264" i="2" a="1"/>
  <c r="J264" i="2" s="1"/>
  <c r="I264" i="2" a="1"/>
  <c r="I264" i="2" s="1"/>
  <c r="H264" i="2" a="1"/>
  <c r="H264" i="2" s="1"/>
  <c r="G264" i="2" a="1"/>
  <c r="G264" i="2" s="1"/>
  <c r="F264" i="2" a="1"/>
  <c r="F264" i="2" s="1"/>
  <c r="P263" i="2" a="1"/>
  <c r="P263" i="2" s="1"/>
  <c r="N263" i="2" a="1"/>
  <c r="N263" i="2" s="1"/>
  <c r="M263" i="2" a="1"/>
  <c r="M263" i="2" s="1"/>
  <c r="L263" i="2" a="1"/>
  <c r="L263" i="2" s="1"/>
  <c r="J263" i="2" a="1"/>
  <c r="J263" i="2" s="1"/>
  <c r="I263" i="2" a="1"/>
  <c r="I263" i="2" s="1"/>
  <c r="H263" i="2" a="1"/>
  <c r="H263" i="2" s="1"/>
  <c r="G263" i="2" a="1"/>
  <c r="G263" i="2" s="1"/>
  <c r="F263" i="2" a="1"/>
  <c r="F263" i="2" s="1"/>
  <c r="P262" i="2" a="1"/>
  <c r="P262" i="2" s="1"/>
  <c r="N262" i="2" a="1"/>
  <c r="N262" i="2" s="1"/>
  <c r="M262" i="2" a="1"/>
  <c r="M262" i="2" s="1"/>
  <c r="L262" i="2" a="1"/>
  <c r="L262" i="2" s="1"/>
  <c r="J262" i="2" a="1"/>
  <c r="J262" i="2" s="1"/>
  <c r="I262" i="2" a="1"/>
  <c r="I262" i="2" s="1"/>
  <c r="H262" i="2" a="1"/>
  <c r="H262" i="2" s="1"/>
  <c r="G262" i="2" a="1"/>
  <c r="G262" i="2" s="1"/>
  <c r="F262" i="2" a="1"/>
  <c r="F262" i="2" s="1"/>
  <c r="P261" i="2" a="1"/>
  <c r="P261" i="2" s="1"/>
  <c r="N261" i="2" a="1"/>
  <c r="N261" i="2" s="1"/>
  <c r="M261" i="2" a="1"/>
  <c r="M261" i="2" s="1"/>
  <c r="L261" i="2" a="1"/>
  <c r="L261" i="2" s="1"/>
  <c r="J261" i="2" a="1"/>
  <c r="J261" i="2" s="1"/>
  <c r="I261" i="2" a="1"/>
  <c r="I261" i="2" s="1"/>
  <c r="H261" i="2" a="1"/>
  <c r="H261" i="2" s="1"/>
  <c r="G261" i="2" a="1"/>
  <c r="G261" i="2" s="1"/>
  <c r="F261" i="2" a="1"/>
  <c r="F261" i="2" s="1"/>
  <c r="P260" i="2" a="1"/>
  <c r="P260" i="2" s="1"/>
  <c r="N260" i="2" a="1"/>
  <c r="N260" i="2" s="1"/>
  <c r="M260" i="2" a="1"/>
  <c r="M260" i="2" s="1"/>
  <c r="L260" i="2" a="1"/>
  <c r="L260" i="2" s="1"/>
  <c r="J260" i="2" a="1"/>
  <c r="J260" i="2" s="1"/>
  <c r="I260" i="2" a="1"/>
  <c r="I260" i="2" s="1"/>
  <c r="H260" i="2" a="1"/>
  <c r="H260" i="2" s="1"/>
  <c r="G260" i="2" a="1"/>
  <c r="G260" i="2"/>
  <c r="F260" i="2" a="1"/>
  <c r="F260" i="2" s="1"/>
  <c r="P259" i="2" a="1"/>
  <c r="P259" i="2" s="1"/>
  <c r="N259" i="2" a="1"/>
  <c r="N259" i="2" s="1"/>
  <c r="M259" i="2" a="1"/>
  <c r="M259" i="2" s="1"/>
  <c r="L259" i="2" a="1"/>
  <c r="L259" i="2" s="1"/>
  <c r="J259" i="2" a="1"/>
  <c r="J259" i="2" s="1"/>
  <c r="I259" i="2" a="1"/>
  <c r="I259" i="2" s="1"/>
  <c r="H259" i="2" a="1"/>
  <c r="H259" i="2" s="1"/>
  <c r="G259" i="2" a="1"/>
  <c r="G259" i="2" s="1"/>
  <c r="F259" i="2" a="1"/>
  <c r="F259" i="2" s="1"/>
  <c r="P258" i="2" a="1"/>
  <c r="P258" i="2" s="1"/>
  <c r="N258" i="2" a="1"/>
  <c r="N258" i="2" s="1"/>
  <c r="M258" i="2" a="1"/>
  <c r="M258" i="2" s="1"/>
  <c r="L258" i="2" a="1"/>
  <c r="L258" i="2" s="1"/>
  <c r="J258" i="2" a="1"/>
  <c r="J258" i="2" s="1"/>
  <c r="I258" i="2" a="1"/>
  <c r="I258" i="2" s="1"/>
  <c r="H258" i="2" a="1"/>
  <c r="H258" i="2" s="1"/>
  <c r="G258" i="2" a="1"/>
  <c r="G258" i="2" s="1"/>
  <c r="F258" i="2" a="1"/>
  <c r="F258" i="2" s="1"/>
  <c r="P257" i="2" a="1"/>
  <c r="P257" i="2" s="1"/>
  <c r="N257" i="2" a="1"/>
  <c r="N257" i="2" s="1"/>
  <c r="M257" i="2" a="1"/>
  <c r="M257" i="2" s="1"/>
  <c r="L257" i="2" a="1"/>
  <c r="L257" i="2" s="1"/>
  <c r="J257" i="2" a="1"/>
  <c r="J257" i="2" s="1"/>
  <c r="I257" i="2" a="1"/>
  <c r="I257" i="2" s="1"/>
  <c r="H257" i="2" a="1"/>
  <c r="H257" i="2" s="1"/>
  <c r="G257" i="2" a="1"/>
  <c r="G257" i="2" s="1"/>
  <c r="F257" i="2" a="1"/>
  <c r="F257" i="2" s="1"/>
  <c r="P256" i="2" a="1"/>
  <c r="P256" i="2" s="1"/>
  <c r="N256" i="2" a="1"/>
  <c r="N256" i="2" s="1"/>
  <c r="M256" i="2" a="1"/>
  <c r="M256" i="2" s="1"/>
  <c r="L256" i="2" a="1"/>
  <c r="L256" i="2" s="1"/>
  <c r="J256" i="2" a="1"/>
  <c r="J256" i="2" s="1"/>
  <c r="I256" i="2" a="1"/>
  <c r="I256" i="2" s="1"/>
  <c r="H256" i="2" a="1"/>
  <c r="H256" i="2" s="1"/>
  <c r="G256" i="2" a="1"/>
  <c r="G256" i="2" s="1"/>
  <c r="F256" i="2" a="1"/>
  <c r="F256" i="2" s="1"/>
  <c r="P255" i="2" a="1"/>
  <c r="P255" i="2" s="1"/>
  <c r="N255" i="2" a="1"/>
  <c r="N255" i="2" s="1"/>
  <c r="M255" i="2" a="1"/>
  <c r="M255" i="2" s="1"/>
  <c r="L255" i="2" a="1"/>
  <c r="L255" i="2" s="1"/>
  <c r="J255" i="2" a="1"/>
  <c r="J255" i="2" s="1"/>
  <c r="I255" i="2" a="1"/>
  <c r="I255" i="2" s="1"/>
  <c r="H255" i="2" a="1"/>
  <c r="H255" i="2" s="1"/>
  <c r="G255" i="2" a="1"/>
  <c r="G255" i="2" s="1"/>
  <c r="F255" i="2" a="1"/>
  <c r="F255" i="2" s="1"/>
  <c r="P254" i="2" a="1"/>
  <c r="P254" i="2" s="1"/>
  <c r="N254" i="2" a="1"/>
  <c r="N254" i="2" s="1"/>
  <c r="M254" i="2" a="1"/>
  <c r="M254" i="2"/>
  <c r="L254" i="2" a="1"/>
  <c r="L254" i="2" s="1"/>
  <c r="J254" i="2" a="1"/>
  <c r="J254" i="2" s="1"/>
  <c r="I254" i="2" a="1"/>
  <c r="I254" i="2" s="1"/>
  <c r="H254" i="2" a="1"/>
  <c r="H254" i="2" s="1"/>
  <c r="G254" i="2" a="1"/>
  <c r="G254" i="2" s="1"/>
  <c r="F254" i="2" a="1"/>
  <c r="F254" i="2" s="1"/>
  <c r="P253" i="2" a="1"/>
  <c r="P253" i="2" s="1"/>
  <c r="N253" i="2" a="1"/>
  <c r="N253" i="2" s="1"/>
  <c r="M253" i="2" a="1"/>
  <c r="M253" i="2" s="1"/>
  <c r="L253" i="2" a="1"/>
  <c r="L253" i="2" s="1"/>
  <c r="J253" i="2" a="1"/>
  <c r="J253" i="2" s="1"/>
  <c r="I253" i="2" a="1"/>
  <c r="I253" i="2" s="1"/>
  <c r="H253" i="2" a="1"/>
  <c r="H253" i="2" s="1"/>
  <c r="G253" i="2" a="1"/>
  <c r="G253" i="2" s="1"/>
  <c r="F253" i="2" a="1"/>
  <c r="F253" i="2" s="1"/>
  <c r="P252" i="2" a="1"/>
  <c r="P252" i="2" s="1"/>
  <c r="N252" i="2" a="1"/>
  <c r="N252" i="2" s="1"/>
  <c r="M252" i="2" a="1"/>
  <c r="M252" i="2" s="1"/>
  <c r="L252" i="2" a="1"/>
  <c r="L252" i="2" s="1"/>
  <c r="J252" i="2" a="1"/>
  <c r="J252" i="2" s="1"/>
  <c r="I252" i="2" a="1"/>
  <c r="I252" i="2" s="1"/>
  <c r="H252" i="2" a="1"/>
  <c r="H252" i="2" s="1"/>
  <c r="G252" i="2" a="1"/>
  <c r="G252" i="2" s="1"/>
  <c r="F252" i="2" a="1"/>
  <c r="F252" i="2" s="1"/>
  <c r="P251" i="2" a="1"/>
  <c r="P251" i="2" s="1"/>
  <c r="N251" i="2" a="1"/>
  <c r="N251" i="2" s="1"/>
  <c r="M251" i="2" a="1"/>
  <c r="M251" i="2" s="1"/>
  <c r="L251" i="2" a="1"/>
  <c r="L251" i="2" s="1"/>
  <c r="J251" i="2" a="1"/>
  <c r="J251" i="2" s="1"/>
  <c r="I251" i="2" a="1"/>
  <c r="I251" i="2" s="1"/>
  <c r="H251" i="2" a="1"/>
  <c r="H251" i="2" s="1"/>
  <c r="G251" i="2" a="1"/>
  <c r="G251" i="2" s="1"/>
  <c r="F251" i="2" a="1"/>
  <c r="F251" i="2" s="1"/>
  <c r="P250" i="2" a="1"/>
  <c r="P250" i="2" s="1"/>
  <c r="N250" i="2" a="1"/>
  <c r="N250" i="2" s="1"/>
  <c r="M250" i="2" a="1"/>
  <c r="M250" i="2" s="1"/>
  <c r="L250" i="2" a="1"/>
  <c r="L250" i="2" s="1"/>
  <c r="J250" i="2" a="1"/>
  <c r="J250" i="2" s="1"/>
  <c r="I250" i="2" a="1"/>
  <c r="I250" i="2" s="1"/>
  <c r="H250" i="2" a="1"/>
  <c r="H250" i="2" s="1"/>
  <c r="G250" i="2" a="1"/>
  <c r="G250" i="2"/>
  <c r="F250" i="2" a="1"/>
  <c r="F250" i="2" s="1"/>
  <c r="P249" i="2" a="1"/>
  <c r="P249" i="2" s="1"/>
  <c r="N249" i="2" a="1"/>
  <c r="N249" i="2" s="1"/>
  <c r="M249" i="2" a="1"/>
  <c r="M249" i="2" s="1"/>
  <c r="L249" i="2" a="1"/>
  <c r="L249" i="2"/>
  <c r="J249" i="2" a="1"/>
  <c r="J249" i="2" s="1"/>
  <c r="I249" i="2" a="1"/>
  <c r="I249" i="2" s="1"/>
  <c r="H249" i="2" a="1"/>
  <c r="H249" i="2" s="1"/>
  <c r="G249" i="2" a="1"/>
  <c r="G249" i="2" s="1"/>
  <c r="F249" i="2" a="1"/>
  <c r="F249" i="2" s="1"/>
  <c r="P248" i="2" a="1"/>
  <c r="P248" i="2" s="1"/>
  <c r="N248" i="2" a="1"/>
  <c r="N248" i="2" s="1"/>
  <c r="M248" i="2" a="1"/>
  <c r="M248" i="2" s="1"/>
  <c r="L248" i="2" a="1"/>
  <c r="L248" i="2" s="1"/>
  <c r="J248" i="2" a="1"/>
  <c r="J248" i="2" s="1"/>
  <c r="I248" i="2" a="1"/>
  <c r="I248" i="2" s="1"/>
  <c r="H248" i="2" a="1"/>
  <c r="H248" i="2" s="1"/>
  <c r="G248" i="2" a="1"/>
  <c r="G248" i="2" s="1"/>
  <c r="F248" i="2" a="1"/>
  <c r="F248" i="2" s="1"/>
  <c r="P247" i="2" a="1"/>
  <c r="P247" i="2" s="1"/>
  <c r="N247" i="2" a="1"/>
  <c r="N247" i="2" s="1"/>
  <c r="M247" i="2" a="1"/>
  <c r="M247" i="2" s="1"/>
  <c r="L247" i="2" a="1"/>
  <c r="L247" i="2" s="1"/>
  <c r="J247" i="2" a="1"/>
  <c r="J247" i="2" s="1"/>
  <c r="I247" i="2" a="1"/>
  <c r="I247" i="2" s="1"/>
  <c r="H247" i="2" a="1"/>
  <c r="H247" i="2" s="1"/>
  <c r="G247" i="2" a="1"/>
  <c r="G247" i="2" s="1"/>
  <c r="F247" i="2" a="1"/>
  <c r="F247" i="2" s="1"/>
  <c r="P246" i="2" a="1"/>
  <c r="P246" i="2" s="1"/>
  <c r="N246" i="2" a="1"/>
  <c r="N246" i="2" s="1"/>
  <c r="M246" i="2" a="1"/>
  <c r="M246" i="2" s="1"/>
  <c r="L246" i="2" a="1"/>
  <c r="L246" i="2" s="1"/>
  <c r="J246" i="2" a="1"/>
  <c r="J246" i="2" s="1"/>
  <c r="I246" i="2" a="1"/>
  <c r="I246" i="2" s="1"/>
  <c r="H246" i="2" a="1"/>
  <c r="H246" i="2" s="1"/>
  <c r="G246" i="2" a="1"/>
  <c r="G246" i="2" s="1"/>
  <c r="F246" i="2" a="1"/>
  <c r="F246" i="2" s="1"/>
  <c r="P245" i="2" a="1"/>
  <c r="P245" i="2" s="1"/>
  <c r="N245" i="2" a="1"/>
  <c r="N245" i="2" s="1"/>
  <c r="M245" i="2" a="1"/>
  <c r="M245" i="2" s="1"/>
  <c r="L245" i="2" a="1"/>
  <c r="L245" i="2" s="1"/>
  <c r="J245" i="2" a="1"/>
  <c r="J245" i="2" s="1"/>
  <c r="I245" i="2" a="1"/>
  <c r="I245" i="2" s="1"/>
  <c r="H245" i="2" a="1"/>
  <c r="H245" i="2" s="1"/>
  <c r="G245" i="2" a="1"/>
  <c r="G245" i="2" s="1"/>
  <c r="F245" i="2" a="1"/>
  <c r="F245" i="2" s="1"/>
  <c r="P244" i="2" a="1"/>
  <c r="P244" i="2"/>
  <c r="N244" i="2" a="1"/>
  <c r="N244" i="2" s="1"/>
  <c r="M244" i="2" a="1"/>
  <c r="M244" i="2" s="1"/>
  <c r="L244" i="2" a="1"/>
  <c r="L244" i="2" s="1"/>
  <c r="J244" i="2" a="1"/>
  <c r="J244" i="2" s="1"/>
  <c r="I244" i="2" a="1"/>
  <c r="I244" i="2" s="1"/>
  <c r="H244" i="2" a="1"/>
  <c r="H244" i="2" s="1"/>
  <c r="G244" i="2" a="1"/>
  <c r="G244" i="2" s="1"/>
  <c r="F244" i="2" a="1"/>
  <c r="F244" i="2" s="1"/>
  <c r="P243" i="2" a="1"/>
  <c r="P243" i="2" s="1"/>
  <c r="N243" i="2" a="1"/>
  <c r="N243" i="2" s="1"/>
  <c r="M243" i="2" a="1"/>
  <c r="M243" i="2" s="1"/>
  <c r="L243" i="2" a="1"/>
  <c r="L243" i="2" s="1"/>
  <c r="J243" i="2" a="1"/>
  <c r="J243" i="2" s="1"/>
  <c r="I243" i="2" a="1"/>
  <c r="I243" i="2"/>
  <c r="H243" i="2" a="1"/>
  <c r="H243" i="2" s="1"/>
  <c r="G243" i="2" a="1"/>
  <c r="G243" i="2" s="1"/>
  <c r="F243" i="2" a="1"/>
  <c r="F243" i="2" s="1"/>
  <c r="P242" i="2" a="1"/>
  <c r="P242" i="2" s="1"/>
  <c r="N242" i="2" a="1"/>
  <c r="N242" i="2" s="1"/>
  <c r="M242" i="2" a="1"/>
  <c r="M242" i="2" s="1"/>
  <c r="L242" i="2" a="1"/>
  <c r="L242" i="2" s="1"/>
  <c r="J242" i="2" a="1"/>
  <c r="J242" i="2" s="1"/>
  <c r="I242" i="2" a="1"/>
  <c r="I242" i="2" s="1"/>
  <c r="H242" i="2" a="1"/>
  <c r="H242" i="2" s="1"/>
  <c r="G242" i="2" a="1"/>
  <c r="G242" i="2" s="1"/>
  <c r="F242" i="2" a="1"/>
  <c r="F242" i="2" s="1"/>
  <c r="P241" i="2" a="1"/>
  <c r="P241" i="2" s="1"/>
  <c r="N241" i="2" a="1"/>
  <c r="N241" i="2" s="1"/>
  <c r="M241" i="2" a="1"/>
  <c r="M241" i="2" s="1"/>
  <c r="L241" i="2" a="1"/>
  <c r="L241" i="2" s="1"/>
  <c r="J241" i="2" a="1"/>
  <c r="J241" i="2" s="1"/>
  <c r="I241" i="2" a="1"/>
  <c r="I241" i="2" s="1"/>
  <c r="H241" i="2" a="1"/>
  <c r="H241" i="2" s="1"/>
  <c r="G241" i="2" a="1"/>
  <c r="G241" i="2" s="1"/>
  <c r="F241" i="2" a="1"/>
  <c r="F241" i="2" s="1"/>
  <c r="P240" i="2" a="1"/>
  <c r="P240" i="2" s="1"/>
  <c r="N240" i="2" a="1"/>
  <c r="N240" i="2" s="1"/>
  <c r="M240" i="2" a="1"/>
  <c r="M240" i="2" s="1"/>
  <c r="L240" i="2" a="1"/>
  <c r="L240" i="2" s="1"/>
  <c r="J240" i="2" a="1"/>
  <c r="J240" i="2" s="1"/>
  <c r="I240" i="2" a="1"/>
  <c r="I240" i="2" s="1"/>
  <c r="H240" i="2" a="1"/>
  <c r="H240" i="2" s="1"/>
  <c r="G240" i="2" a="1"/>
  <c r="G240" i="2" s="1"/>
  <c r="F240" i="2" a="1"/>
  <c r="F240" i="2"/>
  <c r="P239" i="2" a="1"/>
  <c r="P239" i="2"/>
  <c r="N239" i="2" a="1"/>
  <c r="N239" i="2" s="1"/>
  <c r="M239" i="2" a="1"/>
  <c r="M239" i="2" s="1"/>
  <c r="L239" i="2" a="1"/>
  <c r="L239" i="2" s="1"/>
  <c r="J239" i="2" a="1"/>
  <c r="J239" i="2" s="1"/>
  <c r="I239" i="2" a="1"/>
  <c r="I239" i="2" s="1"/>
  <c r="H239" i="2" a="1"/>
  <c r="H239" i="2" s="1"/>
  <c r="G239" i="2" a="1"/>
  <c r="G239" i="2" s="1"/>
  <c r="F239" i="2" a="1"/>
  <c r="F239" i="2" s="1"/>
  <c r="P238" i="2" a="1"/>
  <c r="P238" i="2" s="1"/>
  <c r="N238" i="2" a="1"/>
  <c r="N238" i="2" s="1"/>
  <c r="M238" i="2" a="1"/>
  <c r="M238" i="2" s="1"/>
  <c r="L238" i="2" a="1"/>
  <c r="L238" i="2" s="1"/>
  <c r="J238" i="2" a="1"/>
  <c r="J238" i="2" s="1"/>
  <c r="I238" i="2" a="1"/>
  <c r="I238" i="2" s="1"/>
  <c r="H238" i="2" a="1"/>
  <c r="H238" i="2" s="1"/>
  <c r="G238" i="2" a="1"/>
  <c r="G238" i="2" s="1"/>
  <c r="F238" i="2" a="1"/>
  <c r="F238" i="2" s="1"/>
  <c r="P237" i="2" a="1"/>
  <c r="P237" i="2" s="1"/>
  <c r="N237" i="2" a="1"/>
  <c r="N237" i="2" s="1"/>
  <c r="M237" i="2" a="1"/>
  <c r="M237" i="2" s="1"/>
  <c r="L237" i="2" a="1"/>
  <c r="L237" i="2" s="1"/>
  <c r="J237" i="2" a="1"/>
  <c r="J237" i="2" s="1"/>
  <c r="I237" i="2" a="1"/>
  <c r="I237" i="2" s="1"/>
  <c r="H237" i="2" a="1"/>
  <c r="H237" i="2" s="1"/>
  <c r="G237" i="2" a="1"/>
  <c r="G237" i="2" s="1"/>
  <c r="F237" i="2" a="1"/>
  <c r="F237" i="2" s="1"/>
  <c r="P236" i="2" a="1"/>
  <c r="P236" i="2" s="1"/>
  <c r="N236" i="2" a="1"/>
  <c r="N236" i="2" s="1"/>
  <c r="M236" i="2" a="1"/>
  <c r="M236" i="2"/>
  <c r="L236" i="2" a="1"/>
  <c r="L236" i="2" s="1"/>
  <c r="J236" i="2" a="1"/>
  <c r="J236" i="2" s="1"/>
  <c r="I236" i="2" a="1"/>
  <c r="I236" i="2" s="1"/>
  <c r="H236" i="2" a="1"/>
  <c r="H236" i="2" s="1"/>
  <c r="G236" i="2" a="1"/>
  <c r="G236" i="2" s="1"/>
  <c r="F236" i="2" a="1"/>
  <c r="F236" i="2" s="1"/>
  <c r="P235" i="2" a="1"/>
  <c r="P235" i="2" s="1"/>
  <c r="N235" i="2" a="1"/>
  <c r="N235" i="2"/>
  <c r="M235" i="2" a="1"/>
  <c r="M235" i="2"/>
  <c r="L235" i="2" a="1"/>
  <c r="L235" i="2" s="1"/>
  <c r="J235" i="2" a="1"/>
  <c r="J235" i="2" s="1"/>
  <c r="I235" i="2" a="1"/>
  <c r="I235" i="2" s="1"/>
  <c r="H235" i="2" a="1"/>
  <c r="H235" i="2" s="1"/>
  <c r="G235" i="2" a="1"/>
  <c r="G235" i="2" s="1"/>
  <c r="F235" i="2" a="1"/>
  <c r="F235" i="2"/>
  <c r="P234" i="2" a="1"/>
  <c r="P234" i="2" s="1"/>
  <c r="N234" i="2" a="1"/>
  <c r="N234" i="2" s="1"/>
  <c r="M234" i="2" a="1"/>
  <c r="M234" i="2" s="1"/>
  <c r="L234" i="2" a="1"/>
  <c r="L234" i="2" s="1"/>
  <c r="J234" i="2" a="1"/>
  <c r="J234" i="2" s="1"/>
  <c r="I234" i="2" a="1"/>
  <c r="I234" i="2" s="1"/>
  <c r="H234" i="2" a="1"/>
  <c r="H234" i="2" s="1"/>
  <c r="G234" i="2" a="1"/>
  <c r="G234" i="2" s="1"/>
  <c r="F234" i="2" a="1"/>
  <c r="F234" i="2" s="1"/>
  <c r="P233" i="2" a="1"/>
  <c r="P233" i="2" s="1"/>
  <c r="N233" i="2" a="1"/>
  <c r="N233" i="2"/>
  <c r="M233" i="2" a="1"/>
  <c r="M233" i="2" s="1"/>
  <c r="L233" i="2" a="1"/>
  <c r="L233" i="2"/>
  <c r="J233" i="2" a="1"/>
  <c r="J233" i="2" s="1"/>
  <c r="I233" i="2" a="1"/>
  <c r="I233" i="2" s="1"/>
  <c r="H233" i="2" a="1"/>
  <c r="H233" i="2" s="1"/>
  <c r="G233" i="2" a="1"/>
  <c r="G233" i="2" s="1"/>
  <c r="F233" i="2" a="1"/>
  <c r="F233" i="2" s="1"/>
  <c r="P232" i="2" a="1"/>
  <c r="P232" i="2" s="1"/>
  <c r="N232" i="2" a="1"/>
  <c r="N232" i="2" s="1"/>
  <c r="M232" i="2" a="1"/>
  <c r="M232" i="2" s="1"/>
  <c r="L232" i="2" a="1"/>
  <c r="L232" i="2" s="1"/>
  <c r="J232" i="2" a="1"/>
  <c r="J232" i="2" s="1"/>
  <c r="I232" i="2" a="1"/>
  <c r="I232" i="2" s="1"/>
  <c r="H232" i="2" a="1"/>
  <c r="H232" i="2" s="1"/>
  <c r="G232" i="2" a="1"/>
  <c r="G232" i="2" s="1"/>
  <c r="F232" i="2" a="1"/>
  <c r="F232" i="2" s="1"/>
  <c r="P231" i="2" a="1"/>
  <c r="P231" i="2" s="1"/>
  <c r="N231" i="2" a="1"/>
  <c r="N231" i="2" s="1"/>
  <c r="M231" i="2" a="1"/>
  <c r="M231" i="2" s="1"/>
  <c r="L231" i="2" a="1"/>
  <c r="L231" i="2" s="1"/>
  <c r="J231" i="2" a="1"/>
  <c r="J231" i="2" s="1"/>
  <c r="I231" i="2" a="1"/>
  <c r="I231" i="2" s="1"/>
  <c r="H231" i="2" a="1"/>
  <c r="H231" i="2" s="1"/>
  <c r="G231" i="2" a="1"/>
  <c r="G231" i="2" s="1"/>
  <c r="F231" i="2" a="1"/>
  <c r="F231" i="2" s="1"/>
  <c r="P230" i="2" a="1"/>
  <c r="P230" i="2" s="1"/>
  <c r="N230" i="2" a="1"/>
  <c r="N230" i="2" s="1"/>
  <c r="M230" i="2" a="1"/>
  <c r="M230" i="2" s="1"/>
  <c r="L230" i="2" a="1"/>
  <c r="L230" i="2" s="1"/>
  <c r="J230" i="2" a="1"/>
  <c r="J230" i="2" s="1"/>
  <c r="I230" i="2" a="1"/>
  <c r="I230" i="2" s="1"/>
  <c r="H230" i="2" a="1"/>
  <c r="H230" i="2" s="1"/>
  <c r="G230" i="2" a="1"/>
  <c r="G230" i="2" s="1"/>
  <c r="F230" i="2" a="1"/>
  <c r="F230" i="2" s="1"/>
  <c r="P229" i="2" a="1"/>
  <c r="P229" i="2" s="1"/>
  <c r="N229" i="2" a="1"/>
  <c r="N229" i="2" s="1"/>
  <c r="M229" i="2" a="1"/>
  <c r="M229" i="2" s="1"/>
  <c r="L229" i="2" a="1"/>
  <c r="L229" i="2" s="1"/>
  <c r="J229" i="2" a="1"/>
  <c r="J229" i="2" s="1"/>
  <c r="I229" i="2" a="1"/>
  <c r="I229" i="2" s="1"/>
  <c r="H229" i="2" a="1"/>
  <c r="H229" i="2" s="1"/>
  <c r="G229" i="2" a="1"/>
  <c r="G229" i="2" s="1"/>
  <c r="F229" i="2" a="1"/>
  <c r="F229" i="2" s="1"/>
  <c r="P228" i="2" a="1"/>
  <c r="P228" i="2" s="1"/>
  <c r="N228" i="2" a="1"/>
  <c r="N228" i="2" s="1"/>
  <c r="M228" i="2" a="1"/>
  <c r="M228" i="2" s="1"/>
  <c r="L228" i="2" a="1"/>
  <c r="L228" i="2" s="1"/>
  <c r="J228" i="2" a="1"/>
  <c r="J228" i="2"/>
  <c r="I228" i="2" a="1"/>
  <c r="I228" i="2" s="1"/>
  <c r="H228" i="2" a="1"/>
  <c r="H228" i="2" s="1"/>
  <c r="G228" i="2" a="1"/>
  <c r="G228" i="2" s="1"/>
  <c r="F228" i="2" a="1"/>
  <c r="F228" i="2" s="1"/>
  <c r="P227" i="2" a="1"/>
  <c r="P227" i="2" s="1"/>
  <c r="N227" i="2" a="1"/>
  <c r="N227" i="2" s="1"/>
  <c r="M227" i="2" a="1"/>
  <c r="M227" i="2" s="1"/>
  <c r="L227" i="2" a="1"/>
  <c r="L227" i="2" s="1"/>
  <c r="J227" i="2" a="1"/>
  <c r="J227" i="2" s="1"/>
  <c r="I227" i="2" a="1"/>
  <c r="I227" i="2" s="1"/>
  <c r="H227" i="2" a="1"/>
  <c r="H227" i="2" s="1"/>
  <c r="G227" i="2" a="1"/>
  <c r="G227" i="2" s="1"/>
  <c r="F227" i="2" a="1"/>
  <c r="F227" i="2" s="1"/>
  <c r="P226" i="2" a="1"/>
  <c r="P226" i="2"/>
  <c r="N226" i="2" a="1"/>
  <c r="N226" i="2" s="1"/>
  <c r="M226" i="2" a="1"/>
  <c r="M226" i="2" s="1"/>
  <c r="L226" i="2" a="1"/>
  <c r="L226" i="2" s="1"/>
  <c r="J226" i="2" a="1"/>
  <c r="J226" i="2"/>
  <c r="I226" i="2" a="1"/>
  <c r="I226" i="2" s="1"/>
  <c r="H226" i="2" a="1"/>
  <c r="H226" i="2" s="1"/>
  <c r="G226" i="2" a="1"/>
  <c r="G226" i="2" s="1"/>
  <c r="F226" i="2" a="1"/>
  <c r="F226" i="2" s="1"/>
  <c r="P225" i="2" a="1"/>
  <c r="P225" i="2" s="1"/>
  <c r="N225" i="2" a="1"/>
  <c r="N225" i="2" s="1"/>
  <c r="M225" i="2" a="1"/>
  <c r="M225" i="2" s="1"/>
  <c r="L225" i="2" a="1"/>
  <c r="L225" i="2" s="1"/>
  <c r="J225" i="2" a="1"/>
  <c r="J225" i="2" s="1"/>
  <c r="I225" i="2" a="1"/>
  <c r="I225" i="2"/>
  <c r="H225" i="2" a="1"/>
  <c r="H225" i="2" s="1"/>
  <c r="G225" i="2" a="1"/>
  <c r="G225" i="2" s="1"/>
  <c r="F225" i="2" a="1"/>
  <c r="F225" i="2" s="1"/>
  <c r="P224" i="2" a="1"/>
  <c r="P224" i="2" s="1"/>
  <c r="N224" i="2" a="1"/>
  <c r="N224" i="2" s="1"/>
  <c r="M224" i="2" a="1"/>
  <c r="M224" i="2" s="1"/>
  <c r="L224" i="2" a="1"/>
  <c r="L224" i="2" s="1"/>
  <c r="J224" i="2" a="1"/>
  <c r="J224" i="2" s="1"/>
  <c r="I224" i="2" a="1"/>
  <c r="I224" i="2" s="1"/>
  <c r="H224" i="2" a="1"/>
  <c r="H224" i="2" s="1"/>
  <c r="G224" i="2" a="1"/>
  <c r="G224" i="2" s="1"/>
  <c r="F224" i="2" a="1"/>
  <c r="F224" i="2" s="1"/>
  <c r="P223" i="2" a="1"/>
  <c r="P223" i="2" s="1"/>
  <c r="N223" i="2" a="1"/>
  <c r="N223" i="2" s="1"/>
  <c r="M223" i="2" a="1"/>
  <c r="M223" i="2" s="1"/>
  <c r="L223" i="2" a="1"/>
  <c r="L223" i="2" s="1"/>
  <c r="J223" i="2" a="1"/>
  <c r="J223" i="2" s="1"/>
  <c r="I223" i="2" a="1"/>
  <c r="I223" i="2" s="1"/>
  <c r="H223" i="2" a="1"/>
  <c r="H223" i="2"/>
  <c r="G223" i="2" a="1"/>
  <c r="G223" i="2"/>
  <c r="F223" i="2" a="1"/>
  <c r="F223" i="2" s="1"/>
  <c r="P222" i="2" a="1"/>
  <c r="P222" i="2" s="1"/>
  <c r="N222" i="2" a="1"/>
  <c r="N222" i="2" s="1"/>
  <c r="M222" i="2" a="1"/>
  <c r="M222" i="2" s="1"/>
  <c r="L222" i="2" a="1"/>
  <c r="L222" i="2" s="1"/>
  <c r="J222" i="2" a="1"/>
  <c r="J222" i="2" s="1"/>
  <c r="I222" i="2" a="1"/>
  <c r="I222" i="2" s="1"/>
  <c r="H222" i="2" a="1"/>
  <c r="H222" i="2" s="1"/>
  <c r="G222" i="2" a="1"/>
  <c r="G222" i="2" s="1"/>
  <c r="F222" i="2" a="1"/>
  <c r="F222" i="2"/>
  <c r="P221" i="2" a="1"/>
  <c r="P221" i="2" s="1"/>
  <c r="N221" i="2" a="1"/>
  <c r="N221" i="2" s="1"/>
  <c r="M221" i="2" a="1"/>
  <c r="M221" i="2" s="1"/>
  <c r="L221" i="2" a="1"/>
  <c r="L221" i="2"/>
  <c r="J221" i="2" a="1"/>
  <c r="J221" i="2" s="1"/>
  <c r="I221" i="2" a="1"/>
  <c r="I221" i="2" s="1"/>
  <c r="H221" i="2" a="1"/>
  <c r="H221" i="2" s="1"/>
  <c r="G221" i="2" a="1"/>
  <c r="G221" i="2" s="1"/>
  <c r="F221" i="2" a="1"/>
  <c r="F221" i="2" s="1"/>
  <c r="P220" i="2" a="1"/>
  <c r="P220" i="2" s="1"/>
  <c r="N220" i="2" a="1"/>
  <c r="N220" i="2"/>
  <c r="M220" i="2" a="1"/>
  <c r="M220" i="2" s="1"/>
  <c r="L220" i="2" a="1"/>
  <c r="L220" i="2" s="1"/>
  <c r="J220" i="2" a="1"/>
  <c r="J220" i="2" s="1"/>
  <c r="I220" i="2" a="1"/>
  <c r="I220" i="2" s="1"/>
  <c r="H220" i="2" a="1"/>
  <c r="H220" i="2" s="1"/>
  <c r="G220" i="2" a="1"/>
  <c r="G220" i="2" s="1"/>
  <c r="F220" i="2" a="1"/>
  <c r="F220" i="2"/>
  <c r="P219" i="2" a="1"/>
  <c r="P219" i="2" s="1"/>
  <c r="N219" i="2" a="1"/>
  <c r="N219" i="2" s="1"/>
  <c r="M219" i="2" a="1"/>
  <c r="M219" i="2" s="1"/>
  <c r="L219" i="2" a="1"/>
  <c r="L219" i="2" s="1"/>
  <c r="J219" i="2" a="1"/>
  <c r="J219" i="2" s="1"/>
  <c r="I219" i="2" a="1"/>
  <c r="I219" i="2" s="1"/>
  <c r="H219" i="2" a="1"/>
  <c r="H219" i="2" s="1"/>
  <c r="G219" i="2" a="1"/>
  <c r="G219" i="2" s="1"/>
  <c r="F219" i="2" a="1"/>
  <c r="F219" i="2" s="1"/>
  <c r="P218" i="2" a="1"/>
  <c r="P218" i="2" s="1"/>
  <c r="N218" i="2" a="1"/>
  <c r="N218" i="2" s="1"/>
  <c r="M218" i="2" a="1"/>
  <c r="M218" i="2" s="1"/>
  <c r="L218" i="2" a="1"/>
  <c r="L218" i="2" s="1"/>
  <c r="J218" i="2" a="1"/>
  <c r="J218" i="2" s="1"/>
  <c r="I218" i="2" a="1"/>
  <c r="I218" i="2" s="1"/>
  <c r="H218" i="2" a="1"/>
  <c r="H218" i="2" s="1"/>
  <c r="G218" i="2" a="1"/>
  <c r="G218" i="2" s="1"/>
  <c r="F218" i="2" a="1"/>
  <c r="F218" i="2" s="1"/>
  <c r="P217" i="2" a="1"/>
  <c r="P217" i="2" s="1"/>
  <c r="N217" i="2" a="1"/>
  <c r="N217" i="2" s="1"/>
  <c r="M217" i="2" a="1"/>
  <c r="M217" i="2"/>
  <c r="L217" i="2" a="1"/>
  <c r="L217" i="2"/>
  <c r="J217" i="2" a="1"/>
  <c r="J217" i="2" s="1"/>
  <c r="I217" i="2" a="1"/>
  <c r="I217" i="2" s="1"/>
  <c r="H217" i="2" a="1"/>
  <c r="H217" i="2" s="1"/>
  <c r="G217" i="2" a="1"/>
  <c r="G217" i="2" s="1"/>
  <c r="F217" i="2" a="1"/>
  <c r="F217" i="2" s="1"/>
  <c r="P216" i="2" a="1"/>
  <c r="P216" i="2" s="1"/>
  <c r="N216" i="2" a="1"/>
  <c r="N216" i="2" s="1"/>
  <c r="M216" i="2" a="1"/>
  <c r="M216" i="2" s="1"/>
  <c r="L216" i="2" a="1"/>
  <c r="L216" i="2" s="1"/>
  <c r="J216" i="2" a="1"/>
  <c r="J216" i="2" s="1"/>
  <c r="I216" i="2" a="1"/>
  <c r="I216" i="2" s="1"/>
  <c r="H216" i="2" a="1"/>
  <c r="H216" i="2" s="1"/>
  <c r="G216" i="2" a="1"/>
  <c r="G216" i="2" s="1"/>
  <c r="F216" i="2" a="1"/>
  <c r="F216" i="2" s="1"/>
  <c r="P215" i="2" a="1"/>
  <c r="P215" i="2" s="1"/>
  <c r="N215" i="2" a="1"/>
  <c r="N215" i="2" s="1"/>
  <c r="M215" i="2" a="1"/>
  <c r="M215" i="2" s="1"/>
  <c r="L215" i="2" a="1"/>
  <c r="L215" i="2" s="1"/>
  <c r="J215" i="2" a="1"/>
  <c r="J215" i="2" s="1"/>
  <c r="I215" i="2" a="1"/>
  <c r="I215" i="2" s="1"/>
  <c r="H215" i="2" a="1"/>
  <c r="H215" i="2" s="1"/>
  <c r="G215" i="2" a="1"/>
  <c r="G215" i="2" s="1"/>
  <c r="F215" i="2" a="1"/>
  <c r="F215" i="2" s="1"/>
  <c r="P214" i="2" a="1"/>
  <c r="P214" i="2" s="1"/>
  <c r="N214" i="2" a="1"/>
  <c r="N214" i="2" s="1"/>
  <c r="M214" i="2" a="1"/>
  <c r="M214" i="2" s="1"/>
  <c r="L214" i="2" a="1"/>
  <c r="L214" i="2" s="1"/>
  <c r="J214" i="2" a="1"/>
  <c r="J214" i="2" s="1"/>
  <c r="I214" i="2" a="1"/>
  <c r="I214" i="2"/>
  <c r="H214" i="2" a="1"/>
  <c r="H214" i="2" s="1"/>
  <c r="G214" i="2" a="1"/>
  <c r="G214" i="2" s="1"/>
  <c r="F214" i="2" a="1"/>
  <c r="F214" i="2" s="1"/>
  <c r="P213" i="2" a="1"/>
  <c r="P213" i="2" s="1"/>
  <c r="N213" i="2" a="1"/>
  <c r="N213" i="2" s="1"/>
  <c r="M213" i="2" a="1"/>
  <c r="M213" i="2" s="1"/>
  <c r="L213" i="2" a="1"/>
  <c r="L213" i="2" s="1"/>
  <c r="J213" i="2" a="1"/>
  <c r="J213" i="2" s="1"/>
  <c r="I213" i="2" a="1"/>
  <c r="I213" i="2" s="1"/>
  <c r="H213" i="2" a="1"/>
  <c r="H213" i="2" s="1"/>
  <c r="G213" i="2" a="1"/>
  <c r="G213" i="2" s="1"/>
  <c r="F213" i="2" a="1"/>
  <c r="F213" i="2" s="1"/>
  <c r="P212" i="2" a="1"/>
  <c r="P212" i="2" s="1"/>
  <c r="N212" i="2" a="1"/>
  <c r="N212" i="2" s="1"/>
  <c r="M212" i="2" a="1"/>
  <c r="M212" i="2" s="1"/>
  <c r="L212" i="2" a="1"/>
  <c r="L212" i="2" s="1"/>
  <c r="J212" i="2" a="1"/>
  <c r="J212" i="2" s="1"/>
  <c r="I212" i="2" a="1"/>
  <c r="I212" i="2" s="1"/>
  <c r="H212" i="2" a="1"/>
  <c r="H212" i="2" s="1"/>
  <c r="G212" i="2" a="1"/>
  <c r="G212" i="2" s="1"/>
  <c r="F212" i="2" a="1"/>
  <c r="F212" i="2" s="1"/>
  <c r="P211" i="2" a="1"/>
  <c r="P211" i="2" s="1"/>
  <c r="N211" i="2" a="1"/>
  <c r="N211" i="2" s="1"/>
  <c r="M211" i="2" a="1"/>
  <c r="M211" i="2" s="1"/>
  <c r="L211" i="2" a="1"/>
  <c r="L211" i="2" s="1"/>
  <c r="J211" i="2" a="1"/>
  <c r="J211" i="2" s="1"/>
  <c r="I211" i="2" a="1"/>
  <c r="I211" i="2" s="1"/>
  <c r="H211" i="2" a="1"/>
  <c r="H211" i="2" s="1"/>
  <c r="G211" i="2" a="1"/>
  <c r="G211" i="2" s="1"/>
  <c r="F211" i="2" a="1"/>
  <c r="F211" i="2" s="1"/>
  <c r="P210" i="2" a="1"/>
  <c r="P210" i="2" s="1"/>
  <c r="N210" i="2" a="1"/>
  <c r="N210" i="2" s="1"/>
  <c r="M210" i="2" a="1"/>
  <c r="M210" i="2" s="1"/>
  <c r="L210" i="2" a="1"/>
  <c r="L210" i="2"/>
  <c r="J210" i="2" a="1"/>
  <c r="J210" i="2" s="1"/>
  <c r="I210" i="2" a="1"/>
  <c r="I210" i="2" s="1"/>
  <c r="H210" i="2" a="1"/>
  <c r="H210" i="2" s="1"/>
  <c r="G210" i="2" a="1"/>
  <c r="G210" i="2" s="1"/>
  <c r="F210" i="2" a="1"/>
  <c r="F210" i="2" s="1"/>
  <c r="P209" i="2" a="1"/>
  <c r="P209" i="2" s="1"/>
  <c r="N209" i="2" a="1"/>
  <c r="N209" i="2" s="1"/>
  <c r="M209" i="2" a="1"/>
  <c r="M209" i="2" s="1"/>
  <c r="L209" i="2" a="1"/>
  <c r="L209" i="2" s="1"/>
  <c r="J209" i="2" a="1"/>
  <c r="J209" i="2" s="1"/>
  <c r="I209" i="2" a="1"/>
  <c r="I209" i="2"/>
  <c r="H209" i="2" a="1"/>
  <c r="H209" i="2"/>
  <c r="G209" i="2" a="1"/>
  <c r="G209" i="2" s="1"/>
  <c r="F209" i="2" a="1"/>
  <c r="F209" i="2" s="1"/>
  <c r="P208" i="2" a="1"/>
  <c r="P208" i="2" s="1"/>
  <c r="N208" i="2" a="1"/>
  <c r="N208" i="2" s="1"/>
  <c r="M208" i="2" a="1"/>
  <c r="M208" i="2" s="1"/>
  <c r="L208" i="2" a="1"/>
  <c r="L208" i="2" s="1"/>
  <c r="J208" i="2" a="1"/>
  <c r="J208" i="2" s="1"/>
  <c r="I208" i="2" a="1"/>
  <c r="I208" i="2" s="1"/>
  <c r="H208" i="2" a="1"/>
  <c r="H208" i="2" s="1"/>
  <c r="G208" i="2" a="1"/>
  <c r="G208" i="2" s="1"/>
  <c r="F208" i="2" a="1"/>
  <c r="F208" i="2" s="1"/>
  <c r="P207" i="2" a="1"/>
  <c r="P207" i="2" s="1"/>
  <c r="N207" i="2" a="1"/>
  <c r="N207" i="2" s="1"/>
  <c r="M207" i="2" a="1"/>
  <c r="M207" i="2" s="1"/>
  <c r="L207" i="2" a="1"/>
  <c r="L207" i="2" s="1"/>
  <c r="J207" i="2" a="1"/>
  <c r="J207" i="2" s="1"/>
  <c r="I207" i="2" a="1"/>
  <c r="I207" i="2" s="1"/>
  <c r="H207" i="2" a="1"/>
  <c r="H207" i="2" s="1"/>
  <c r="G207" i="2" a="1"/>
  <c r="G207" i="2" s="1"/>
  <c r="F207" i="2" a="1"/>
  <c r="F207" i="2" s="1"/>
  <c r="P206" i="2" a="1"/>
  <c r="P206" i="2" s="1"/>
  <c r="N206" i="2" a="1"/>
  <c r="N206" i="2" s="1"/>
  <c r="M206" i="2" a="1"/>
  <c r="M206" i="2" s="1"/>
  <c r="L206" i="2" a="1"/>
  <c r="L206" i="2" s="1"/>
  <c r="J206" i="2" a="1"/>
  <c r="J206" i="2" s="1"/>
  <c r="I206" i="2" a="1"/>
  <c r="I206" i="2" s="1"/>
  <c r="H206" i="2" a="1"/>
  <c r="H206" i="2" s="1"/>
  <c r="G206" i="2" a="1"/>
  <c r="G206" i="2" s="1"/>
  <c r="F206" i="2" a="1"/>
  <c r="F206" i="2"/>
  <c r="P205" i="2" a="1"/>
  <c r="P205" i="2" s="1"/>
  <c r="N205" i="2" a="1"/>
  <c r="N205" i="2" s="1"/>
  <c r="M205" i="2" a="1"/>
  <c r="M205" i="2" s="1"/>
  <c r="L205" i="2" a="1"/>
  <c r="L205" i="2" s="1"/>
  <c r="J205" i="2" a="1"/>
  <c r="J205" i="2" s="1"/>
  <c r="I205" i="2" a="1"/>
  <c r="I205" i="2" s="1"/>
  <c r="H205" i="2" a="1"/>
  <c r="H205" i="2" s="1"/>
  <c r="G205" i="2" a="1"/>
  <c r="G205" i="2" s="1"/>
  <c r="F205" i="2" a="1"/>
  <c r="F205" i="2" s="1"/>
  <c r="P204" i="2" a="1"/>
  <c r="P204" i="2" s="1"/>
  <c r="N204" i="2" a="1"/>
  <c r="N204" i="2" s="1"/>
  <c r="M204" i="2" a="1"/>
  <c r="M204" i="2" s="1"/>
  <c r="L204" i="2" a="1"/>
  <c r="L204" i="2"/>
  <c r="J204" i="2" a="1"/>
  <c r="J204" i="2" s="1"/>
  <c r="I204" i="2" a="1"/>
  <c r="I204" i="2" s="1"/>
  <c r="H204" i="2" a="1"/>
  <c r="H204" i="2" s="1"/>
  <c r="G204" i="2" a="1"/>
  <c r="G204" i="2" s="1"/>
  <c r="F204" i="2" a="1"/>
  <c r="F204" i="2" s="1"/>
  <c r="P203" i="2" a="1"/>
  <c r="P203" i="2" s="1"/>
  <c r="N203" i="2" a="1"/>
  <c r="N203" i="2" s="1"/>
  <c r="M203" i="2" a="1"/>
  <c r="M203" i="2" s="1"/>
  <c r="L203" i="2" a="1"/>
  <c r="L203" i="2" s="1"/>
  <c r="J203" i="2" a="1"/>
  <c r="J203" i="2" s="1"/>
  <c r="I203" i="2" a="1"/>
  <c r="I203" i="2" s="1"/>
  <c r="H203" i="2" a="1"/>
  <c r="H203" i="2" s="1"/>
  <c r="G203" i="2" a="1"/>
  <c r="G203" i="2"/>
  <c r="F203" i="2" a="1"/>
  <c r="F203" i="2" s="1"/>
  <c r="P202" i="2" a="1"/>
  <c r="P202" i="2" s="1"/>
  <c r="N202" i="2" a="1"/>
  <c r="N202" i="2" s="1"/>
  <c r="M202" i="2" a="1"/>
  <c r="M202" i="2" s="1"/>
  <c r="L202" i="2" a="1"/>
  <c r="L202" i="2" s="1"/>
  <c r="J202" i="2" a="1"/>
  <c r="J202" i="2" s="1"/>
  <c r="I202" i="2" a="1"/>
  <c r="I202" i="2" s="1"/>
  <c r="H202" i="2" a="1"/>
  <c r="H202" i="2" s="1"/>
  <c r="G202" i="2" a="1"/>
  <c r="G202" i="2" s="1"/>
  <c r="F202" i="2" a="1"/>
  <c r="F202" i="2"/>
  <c r="P201" i="2" a="1"/>
  <c r="P201" i="2" s="1"/>
  <c r="N201" i="2" a="1"/>
  <c r="N201" i="2" s="1"/>
  <c r="M201" i="2" a="1"/>
  <c r="M201" i="2" s="1"/>
  <c r="L201" i="2" a="1"/>
  <c r="L201" i="2" s="1"/>
  <c r="J201" i="2" a="1"/>
  <c r="J201" i="2" s="1"/>
  <c r="I201" i="2" a="1"/>
  <c r="I201" i="2" s="1"/>
  <c r="H201" i="2" a="1"/>
  <c r="H201" i="2" s="1"/>
  <c r="G201" i="2" a="1"/>
  <c r="G201" i="2" s="1"/>
  <c r="F201" i="2" a="1"/>
  <c r="F201" i="2" s="1"/>
  <c r="P200" i="2" a="1"/>
  <c r="P200" i="2" s="1"/>
  <c r="N200" i="2" a="1"/>
  <c r="N200" i="2" s="1"/>
  <c r="M200" i="2" a="1"/>
  <c r="M200" i="2" s="1"/>
  <c r="L200" i="2" a="1"/>
  <c r="L200" i="2" s="1"/>
  <c r="J200" i="2" a="1"/>
  <c r="J200" i="2" s="1"/>
  <c r="I200" i="2" a="1"/>
  <c r="I200" i="2" s="1"/>
  <c r="H200" i="2" a="1"/>
  <c r="H200" i="2" s="1"/>
  <c r="G200" i="2" a="1"/>
  <c r="G200" i="2" s="1"/>
  <c r="F200" i="2" a="1"/>
  <c r="F200" i="2" s="1"/>
  <c r="P199" i="2" a="1"/>
  <c r="P199" i="2" s="1"/>
  <c r="N199" i="2" a="1"/>
  <c r="N199" i="2" s="1"/>
  <c r="M199" i="2" a="1"/>
  <c r="M199" i="2" s="1"/>
  <c r="L199" i="2" a="1"/>
  <c r="L199" i="2" s="1"/>
  <c r="J199" i="2" a="1"/>
  <c r="J199" i="2" s="1"/>
  <c r="I199" i="2" a="1"/>
  <c r="I199" i="2" s="1"/>
  <c r="H199" i="2" a="1"/>
  <c r="H199" i="2" s="1"/>
  <c r="G199" i="2" a="1"/>
  <c r="G199" i="2" s="1"/>
  <c r="F199" i="2" a="1"/>
  <c r="F199" i="2" s="1"/>
  <c r="P198" i="2" a="1"/>
  <c r="P198" i="2" s="1"/>
  <c r="N198" i="2" a="1"/>
  <c r="N198" i="2" s="1"/>
  <c r="M198" i="2" a="1"/>
  <c r="M198" i="2" s="1"/>
  <c r="L198" i="2" a="1"/>
  <c r="L198" i="2" s="1"/>
  <c r="J198" i="2" a="1"/>
  <c r="J198" i="2" s="1"/>
  <c r="I198" i="2" a="1"/>
  <c r="I198" i="2" s="1"/>
  <c r="H198" i="2" a="1"/>
  <c r="H198" i="2" s="1"/>
  <c r="G198" i="2" a="1"/>
  <c r="G198" i="2" s="1"/>
  <c r="F198" i="2" a="1"/>
  <c r="F198" i="2" s="1"/>
  <c r="P197" i="2" a="1"/>
  <c r="P197" i="2" s="1"/>
  <c r="N197" i="2" a="1"/>
  <c r="N197" i="2" s="1"/>
  <c r="M197" i="2" a="1"/>
  <c r="M197" i="2" s="1"/>
  <c r="L197" i="2" a="1"/>
  <c r="L197" i="2" s="1"/>
  <c r="J197" i="2" a="1"/>
  <c r="J197" i="2" s="1"/>
  <c r="I197" i="2" a="1"/>
  <c r="I197" i="2" s="1"/>
  <c r="H197" i="2" a="1"/>
  <c r="H197" i="2" s="1"/>
  <c r="G197" i="2" a="1"/>
  <c r="G197" i="2" s="1"/>
  <c r="F197" i="2" a="1"/>
  <c r="F197" i="2" s="1"/>
  <c r="P196" i="2" a="1"/>
  <c r="P196" i="2" s="1"/>
  <c r="N196" i="2" a="1"/>
  <c r="N196" i="2" s="1"/>
  <c r="M196" i="2" a="1"/>
  <c r="M196" i="2" s="1"/>
  <c r="L196" i="2" a="1"/>
  <c r="L196" i="2" s="1"/>
  <c r="J196" i="2" a="1"/>
  <c r="J196" i="2" s="1"/>
  <c r="I196" i="2" a="1"/>
  <c r="I196" i="2" s="1"/>
  <c r="H196" i="2" a="1"/>
  <c r="H196" i="2" s="1"/>
  <c r="G196" i="2" a="1"/>
  <c r="G196" i="2" s="1"/>
  <c r="F196" i="2" a="1"/>
  <c r="F196" i="2" s="1"/>
  <c r="P195" i="2" a="1"/>
  <c r="P195" i="2" s="1"/>
  <c r="N195" i="2" a="1"/>
  <c r="N195" i="2" s="1"/>
  <c r="M195" i="2" a="1"/>
  <c r="M195" i="2" s="1"/>
  <c r="L195" i="2" a="1"/>
  <c r="L195" i="2" s="1"/>
  <c r="J195" i="2" a="1"/>
  <c r="J195" i="2" s="1"/>
  <c r="I195" i="2" a="1"/>
  <c r="I195" i="2" s="1"/>
  <c r="H195" i="2" a="1"/>
  <c r="H195" i="2" s="1"/>
  <c r="G195" i="2" a="1"/>
  <c r="G195" i="2" s="1"/>
  <c r="F195" i="2" a="1"/>
  <c r="F195" i="2" s="1"/>
  <c r="P194" i="2" a="1"/>
  <c r="P194" i="2" s="1"/>
  <c r="N194" i="2" a="1"/>
  <c r="N194" i="2" s="1"/>
  <c r="M194" i="2" a="1"/>
  <c r="M194" i="2" s="1"/>
  <c r="L194" i="2" a="1"/>
  <c r="L194" i="2" s="1"/>
  <c r="J194" i="2" a="1"/>
  <c r="J194" i="2" s="1"/>
  <c r="I194" i="2" a="1"/>
  <c r="I194" i="2" s="1"/>
  <c r="H194" i="2" a="1"/>
  <c r="H194" i="2" s="1"/>
  <c r="G194" i="2" a="1"/>
  <c r="G194" i="2" s="1"/>
  <c r="F194" i="2" a="1"/>
  <c r="F194" i="2" s="1"/>
  <c r="P193" i="2" a="1"/>
  <c r="P193" i="2" s="1"/>
  <c r="N193" i="2" a="1"/>
  <c r="N193" i="2" s="1"/>
  <c r="M193" i="2" a="1"/>
  <c r="M193" i="2" s="1"/>
  <c r="L193" i="2" a="1"/>
  <c r="L193" i="2" s="1"/>
  <c r="J193" i="2" a="1"/>
  <c r="J193" i="2" s="1"/>
  <c r="I193" i="2" a="1"/>
  <c r="I193" i="2" s="1"/>
  <c r="H193" i="2" a="1"/>
  <c r="H193" i="2" s="1"/>
  <c r="G193" i="2" a="1"/>
  <c r="G193" i="2" s="1"/>
  <c r="F193" i="2" a="1"/>
  <c r="F193" i="2" s="1"/>
  <c r="P192" i="2" a="1"/>
  <c r="P192" i="2" s="1"/>
  <c r="N192" i="2" a="1"/>
  <c r="N192" i="2" s="1"/>
  <c r="M192" i="2" a="1"/>
  <c r="M192" i="2" s="1"/>
  <c r="L192" i="2" a="1"/>
  <c r="L192" i="2" s="1"/>
  <c r="J192" i="2" a="1"/>
  <c r="J192" i="2" s="1"/>
  <c r="I192" i="2" a="1"/>
  <c r="I192" i="2" s="1"/>
  <c r="H192" i="2" a="1"/>
  <c r="H192" i="2" s="1"/>
  <c r="G192" i="2" a="1"/>
  <c r="G192" i="2" s="1"/>
  <c r="F192" i="2" a="1"/>
  <c r="F192" i="2" s="1"/>
  <c r="P191" i="2" a="1"/>
  <c r="P191" i="2" s="1"/>
  <c r="N191" i="2" a="1"/>
  <c r="N191" i="2" s="1"/>
  <c r="M191" i="2" a="1"/>
  <c r="M191" i="2"/>
  <c r="L191" i="2" a="1"/>
  <c r="L191" i="2" s="1"/>
  <c r="J191" i="2" a="1"/>
  <c r="J191" i="2" s="1"/>
  <c r="I191" i="2" a="1"/>
  <c r="I191" i="2" s="1"/>
  <c r="H191" i="2" a="1"/>
  <c r="H191" i="2" s="1"/>
  <c r="G191" i="2" a="1"/>
  <c r="G191" i="2" s="1"/>
  <c r="F191" i="2" a="1"/>
  <c r="F191" i="2" s="1"/>
  <c r="P190" i="2" a="1"/>
  <c r="P190" i="2" s="1"/>
  <c r="N190" i="2" a="1"/>
  <c r="N190" i="2" s="1"/>
  <c r="M190" i="2" a="1"/>
  <c r="M190" i="2" s="1"/>
  <c r="L190" i="2" a="1"/>
  <c r="L190" i="2" s="1"/>
  <c r="J190" i="2" a="1"/>
  <c r="J190" i="2" s="1"/>
  <c r="I190" i="2" a="1"/>
  <c r="I190" i="2" s="1"/>
  <c r="H190" i="2" a="1"/>
  <c r="H190" i="2" s="1"/>
  <c r="G190" i="2" a="1"/>
  <c r="G190" i="2" s="1"/>
  <c r="F190" i="2" a="1"/>
  <c r="F190" i="2" s="1"/>
  <c r="P189" i="2" a="1"/>
  <c r="P189" i="2" s="1"/>
  <c r="N189" i="2" a="1"/>
  <c r="N189" i="2" s="1"/>
  <c r="M189" i="2" a="1"/>
  <c r="M189" i="2" s="1"/>
  <c r="L189" i="2" a="1"/>
  <c r="L189" i="2" s="1"/>
  <c r="J189" i="2" a="1"/>
  <c r="J189" i="2" s="1"/>
  <c r="I189" i="2" a="1"/>
  <c r="I189" i="2" s="1"/>
  <c r="H189" i="2" a="1"/>
  <c r="H189" i="2" s="1"/>
  <c r="G189" i="2" a="1"/>
  <c r="G189" i="2" s="1"/>
  <c r="F189" i="2" a="1"/>
  <c r="F189" i="2" s="1"/>
  <c r="P188" i="2" a="1"/>
  <c r="P188" i="2" s="1"/>
  <c r="N188" i="2" a="1"/>
  <c r="N188" i="2" s="1"/>
  <c r="M188" i="2" a="1"/>
  <c r="M188" i="2" s="1"/>
  <c r="L188" i="2" a="1"/>
  <c r="L188" i="2" s="1"/>
  <c r="J188" i="2" a="1"/>
  <c r="J188" i="2" s="1"/>
  <c r="I188" i="2" a="1"/>
  <c r="I188" i="2" s="1"/>
  <c r="H188" i="2" a="1"/>
  <c r="H188" i="2" s="1"/>
  <c r="G188" i="2" a="1"/>
  <c r="G188" i="2" s="1"/>
  <c r="F188" i="2" a="1"/>
  <c r="F188" i="2" s="1"/>
  <c r="P187" i="2" a="1"/>
  <c r="P187" i="2" s="1"/>
  <c r="N187" i="2" a="1"/>
  <c r="N187" i="2"/>
  <c r="M187" i="2" a="1"/>
  <c r="M187" i="2" s="1"/>
  <c r="L187" i="2" a="1"/>
  <c r="L187" i="2" s="1"/>
  <c r="J187" i="2" a="1"/>
  <c r="J187" i="2" s="1"/>
  <c r="I187" i="2" a="1"/>
  <c r="I187" i="2" s="1"/>
  <c r="H187" i="2" a="1"/>
  <c r="H187" i="2" s="1"/>
  <c r="G187" i="2" a="1"/>
  <c r="G187" i="2" s="1"/>
  <c r="F187" i="2" a="1"/>
  <c r="F187" i="2"/>
  <c r="P186" i="2" a="1"/>
  <c r="P186" i="2" s="1"/>
  <c r="N186" i="2" a="1"/>
  <c r="N186" i="2" s="1"/>
  <c r="M186" i="2" a="1"/>
  <c r="M186" i="2"/>
  <c r="L186" i="2" a="1"/>
  <c r="L186" i="2" s="1"/>
  <c r="J186" i="2" a="1"/>
  <c r="J186" i="2" s="1"/>
  <c r="I186" i="2" a="1"/>
  <c r="I186" i="2" s="1"/>
  <c r="H186" i="2" a="1"/>
  <c r="H186" i="2" s="1"/>
  <c r="G186" i="2" a="1"/>
  <c r="G186" i="2" s="1"/>
  <c r="F186" i="2" a="1"/>
  <c r="F186" i="2" s="1"/>
  <c r="P185" i="2" a="1"/>
  <c r="P185" i="2" s="1"/>
  <c r="N185" i="2" a="1"/>
  <c r="N185" i="2" s="1"/>
  <c r="M185" i="2" a="1"/>
  <c r="M185" i="2" s="1"/>
  <c r="L185" i="2" a="1"/>
  <c r="L185" i="2" s="1"/>
  <c r="J185" i="2" a="1"/>
  <c r="J185" i="2" s="1"/>
  <c r="I185" i="2" a="1"/>
  <c r="I185" i="2" s="1"/>
  <c r="H185" i="2" a="1"/>
  <c r="H185" i="2" s="1"/>
  <c r="G185" i="2" a="1"/>
  <c r="G185" i="2" s="1"/>
  <c r="F185" i="2" a="1"/>
  <c r="F185" i="2" s="1"/>
  <c r="P184" i="2" a="1"/>
  <c r="P184" i="2" s="1"/>
  <c r="N184" i="2" a="1"/>
  <c r="N184" i="2" s="1"/>
  <c r="M184" i="2" a="1"/>
  <c r="M184" i="2" s="1"/>
  <c r="L184" i="2" a="1"/>
  <c r="L184" i="2" s="1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P183" i="2" a="1"/>
  <c r="P183" i="2" s="1"/>
  <c r="N183" i="2" a="1"/>
  <c r="N183" i="2" s="1"/>
  <c r="M183" i="2" a="1"/>
  <c r="M183" i="2" s="1"/>
  <c r="L183" i="2" a="1"/>
  <c r="L183" i="2" s="1"/>
  <c r="J183" i="2" a="1"/>
  <c r="J183" i="2" s="1"/>
  <c r="I183" i="2" a="1"/>
  <c r="I183" i="2" s="1"/>
  <c r="H183" i="2" a="1"/>
  <c r="H183" i="2" s="1"/>
  <c r="G183" i="2" a="1"/>
  <c r="G183" i="2" s="1"/>
  <c r="F183" i="2" a="1"/>
  <c r="F183" i="2" s="1"/>
  <c r="P182" i="2" a="1"/>
  <c r="P182" i="2" s="1"/>
  <c r="N182" i="2" a="1"/>
  <c r="N182" i="2" s="1"/>
  <c r="M182" i="2" a="1"/>
  <c r="M182" i="2" s="1"/>
  <c r="L182" i="2" a="1"/>
  <c r="L182" i="2" s="1"/>
  <c r="J182" i="2" a="1"/>
  <c r="J182" i="2" s="1"/>
  <c r="I182" i="2" a="1"/>
  <c r="I182" i="2" s="1"/>
  <c r="H182" i="2" a="1"/>
  <c r="H182" i="2" s="1"/>
  <c r="G182" i="2" a="1"/>
  <c r="G182" i="2" s="1"/>
  <c r="F182" i="2" a="1"/>
  <c r="F182" i="2" s="1"/>
  <c r="P181" i="2" a="1"/>
  <c r="P181" i="2" s="1"/>
  <c r="N181" i="2" a="1"/>
  <c r="N181" i="2" s="1"/>
  <c r="M181" i="2" a="1"/>
  <c r="M181" i="2" s="1"/>
  <c r="L181" i="2" a="1"/>
  <c r="L181" i="2" s="1"/>
  <c r="J181" i="2" a="1"/>
  <c r="J181" i="2" s="1"/>
  <c r="I181" i="2" a="1"/>
  <c r="I181" i="2" s="1"/>
  <c r="H181" i="2" a="1"/>
  <c r="H181" i="2" s="1"/>
  <c r="G181" i="2" a="1"/>
  <c r="G181" i="2" s="1"/>
  <c r="F181" i="2" a="1"/>
  <c r="F181" i="2" s="1"/>
  <c r="P180" i="2" a="1"/>
  <c r="P180" i="2" s="1"/>
  <c r="N180" i="2" a="1"/>
  <c r="N180" i="2" s="1"/>
  <c r="M180" i="2" a="1"/>
  <c r="M180" i="2" s="1"/>
  <c r="L180" i="2" a="1"/>
  <c r="L180" i="2" s="1"/>
  <c r="J180" i="2" a="1"/>
  <c r="J180" i="2" s="1"/>
  <c r="I180" i="2" a="1"/>
  <c r="I180" i="2" s="1"/>
  <c r="H180" i="2" a="1"/>
  <c r="H180" i="2" s="1"/>
  <c r="G180" i="2" a="1"/>
  <c r="G180" i="2" s="1"/>
  <c r="F180" i="2" a="1"/>
  <c r="F180" i="2" s="1"/>
  <c r="P179" i="2" a="1"/>
  <c r="P179" i="2" s="1"/>
  <c r="N179" i="2" a="1"/>
  <c r="N179" i="2" s="1"/>
  <c r="M179" i="2" a="1"/>
  <c r="M179" i="2" s="1"/>
  <c r="L179" i="2" a="1"/>
  <c r="L179" i="2" s="1"/>
  <c r="J179" i="2" a="1"/>
  <c r="J179" i="2" s="1"/>
  <c r="I179" i="2" a="1"/>
  <c r="I179" i="2" s="1"/>
  <c r="H179" i="2" a="1"/>
  <c r="H179" i="2" s="1"/>
  <c r="G179" i="2" a="1"/>
  <c r="G179" i="2" s="1"/>
  <c r="F179" i="2" a="1"/>
  <c r="F179" i="2" s="1"/>
  <c r="P178" i="2" a="1"/>
  <c r="P178" i="2" s="1"/>
  <c r="N178" i="2" a="1"/>
  <c r="N178" i="2" s="1"/>
  <c r="M178" i="2" a="1"/>
  <c r="M178" i="2" s="1"/>
  <c r="L178" i="2" a="1"/>
  <c r="L178" i="2" s="1"/>
  <c r="J178" i="2" a="1"/>
  <c r="J178" i="2" s="1"/>
  <c r="I178" i="2" a="1"/>
  <c r="I178" i="2" s="1"/>
  <c r="H178" i="2" a="1"/>
  <c r="H178" i="2" s="1"/>
  <c r="G178" i="2" a="1"/>
  <c r="G178" i="2" s="1"/>
  <c r="F178" i="2" a="1"/>
  <c r="F178" i="2" s="1"/>
  <c r="P177" i="2" a="1"/>
  <c r="P177" i="2" s="1"/>
  <c r="N177" i="2" a="1"/>
  <c r="N177" i="2" s="1"/>
  <c r="M177" i="2" a="1"/>
  <c r="M177" i="2" s="1"/>
  <c r="L177" i="2" a="1"/>
  <c r="L177" i="2" s="1"/>
  <c r="J177" i="2" a="1"/>
  <c r="J177" i="2" s="1"/>
  <c r="I177" i="2" a="1"/>
  <c r="I177" i="2" s="1"/>
  <c r="H177" i="2" a="1"/>
  <c r="H177" i="2" s="1"/>
  <c r="G177" i="2" a="1"/>
  <c r="G177" i="2" s="1"/>
  <c r="F177" i="2" a="1"/>
  <c r="F177" i="2" s="1"/>
  <c r="P176" i="2" a="1"/>
  <c r="P176" i="2" s="1"/>
  <c r="N176" i="2" a="1"/>
  <c r="N176" i="2" s="1"/>
  <c r="M176" i="2" a="1"/>
  <c r="M176" i="2" s="1"/>
  <c r="L176" i="2" a="1"/>
  <c r="L176" i="2" s="1"/>
  <c r="J176" i="2" a="1"/>
  <c r="J176" i="2" s="1"/>
  <c r="I176" i="2" a="1"/>
  <c r="I176" i="2" s="1"/>
  <c r="H176" i="2" a="1"/>
  <c r="H176" i="2" s="1"/>
  <c r="G176" i="2" a="1"/>
  <c r="G176" i="2" s="1"/>
  <c r="F176" i="2" a="1"/>
  <c r="F176" i="2" s="1"/>
  <c r="P175" i="2" a="1"/>
  <c r="P175" i="2"/>
  <c r="N175" i="2" a="1"/>
  <c r="N175" i="2" s="1"/>
  <c r="M175" i="2" a="1"/>
  <c r="M175" i="2" s="1"/>
  <c r="L175" i="2" a="1"/>
  <c r="L175" i="2" s="1"/>
  <c r="J175" i="2" a="1"/>
  <c r="J175" i="2" s="1"/>
  <c r="I175" i="2" a="1"/>
  <c r="I175" i="2"/>
  <c r="H175" i="2" a="1"/>
  <c r="H175" i="2" s="1"/>
  <c r="G175" i="2" a="1"/>
  <c r="G175" i="2" s="1"/>
  <c r="F175" i="2" a="1"/>
  <c r="F175" i="2" s="1"/>
  <c r="P174" i="2" a="1"/>
  <c r="P174" i="2" s="1"/>
  <c r="N174" i="2" a="1"/>
  <c r="N174" i="2"/>
  <c r="M174" i="2" a="1"/>
  <c r="M174" i="2" s="1"/>
  <c r="L174" i="2" a="1"/>
  <c r="L174" i="2" s="1"/>
  <c r="J174" i="2" a="1"/>
  <c r="J174" i="2" s="1"/>
  <c r="I174" i="2" a="1"/>
  <c r="I174" i="2" s="1"/>
  <c r="H174" i="2" a="1"/>
  <c r="H174" i="2" s="1"/>
  <c r="G174" i="2" a="1"/>
  <c r="G174" i="2" s="1"/>
  <c r="F174" i="2" a="1"/>
  <c r="F174" i="2" s="1"/>
  <c r="P173" i="2" a="1"/>
  <c r="P173" i="2" s="1"/>
  <c r="N173" i="2" a="1"/>
  <c r="N173" i="2" s="1"/>
  <c r="M173" i="2" a="1"/>
  <c r="M173" i="2" s="1"/>
  <c r="L173" i="2" a="1"/>
  <c r="L173" i="2" s="1"/>
  <c r="J173" i="2" a="1"/>
  <c r="J173" i="2" s="1"/>
  <c r="I173" i="2" a="1"/>
  <c r="I173" i="2" s="1"/>
  <c r="H173" i="2" a="1"/>
  <c r="H173" i="2" s="1"/>
  <c r="G173" i="2" a="1"/>
  <c r="G173" i="2" s="1"/>
  <c r="F173" i="2" a="1"/>
  <c r="F173" i="2" s="1"/>
  <c r="P172" i="2" a="1"/>
  <c r="P172" i="2" s="1"/>
  <c r="N172" i="2" a="1"/>
  <c r="N172" i="2" s="1"/>
  <c r="M172" i="2" a="1"/>
  <c r="M172" i="2" s="1"/>
  <c r="L172" i="2" a="1"/>
  <c r="L172" i="2" s="1"/>
  <c r="J172" i="2" a="1"/>
  <c r="J172" i="2" s="1"/>
  <c r="I172" i="2" a="1"/>
  <c r="I172" i="2" s="1"/>
  <c r="H172" i="2" a="1"/>
  <c r="H172" i="2" s="1"/>
  <c r="G172" i="2" a="1"/>
  <c r="G172" i="2" s="1"/>
  <c r="F172" i="2" a="1"/>
  <c r="F172" i="2" s="1"/>
  <c r="P171" i="2" a="1"/>
  <c r="P171" i="2" s="1"/>
  <c r="N171" i="2" a="1"/>
  <c r="N171" i="2" s="1"/>
  <c r="M171" i="2" a="1"/>
  <c r="M171" i="2" s="1"/>
  <c r="L171" i="2" a="1"/>
  <c r="L171" i="2" s="1"/>
  <c r="J171" i="2" a="1"/>
  <c r="J171" i="2" s="1"/>
  <c r="I171" i="2" a="1"/>
  <c r="I171" i="2" s="1"/>
  <c r="H171" i="2" a="1"/>
  <c r="H171" i="2" s="1"/>
  <c r="G171" i="2" a="1"/>
  <c r="G171" i="2" s="1"/>
  <c r="F171" i="2" a="1"/>
  <c r="F171" i="2" s="1"/>
  <c r="P170" i="2" a="1"/>
  <c r="P170" i="2" s="1"/>
  <c r="N170" i="2" a="1"/>
  <c r="N170" i="2" s="1"/>
  <c r="M170" i="2" a="1"/>
  <c r="M170" i="2" s="1"/>
  <c r="L170" i="2" a="1"/>
  <c r="L170" i="2" s="1"/>
  <c r="J170" i="2" a="1"/>
  <c r="J170" i="2" s="1"/>
  <c r="I170" i="2" a="1"/>
  <c r="I170" i="2" s="1"/>
  <c r="H170" i="2" a="1"/>
  <c r="H170" i="2" s="1"/>
  <c r="G170" i="2" a="1"/>
  <c r="G170" i="2" s="1"/>
  <c r="F170" i="2" a="1"/>
  <c r="F170" i="2" s="1"/>
  <c r="P169" i="2" a="1"/>
  <c r="P169" i="2" s="1"/>
  <c r="N169" i="2" a="1"/>
  <c r="N169" i="2"/>
  <c r="M169" i="2" a="1"/>
  <c r="M169" i="2" s="1"/>
  <c r="L169" i="2" a="1"/>
  <c r="L169" i="2" s="1"/>
  <c r="J169" i="2" a="1"/>
  <c r="J169" i="2" s="1"/>
  <c r="I169" i="2" a="1"/>
  <c r="I169" i="2" s="1"/>
  <c r="H169" i="2" a="1"/>
  <c r="H169" i="2" s="1"/>
  <c r="G169" i="2" a="1"/>
  <c r="G169" i="2" s="1"/>
  <c r="F169" i="2" a="1"/>
  <c r="F169" i="2" s="1"/>
  <c r="P168" i="2" a="1"/>
  <c r="P168" i="2" s="1"/>
  <c r="N168" i="2" a="1"/>
  <c r="N168" i="2" s="1"/>
  <c r="M168" i="2" a="1"/>
  <c r="M168" i="2" s="1"/>
  <c r="L168" i="2" a="1"/>
  <c r="L168" i="2" s="1"/>
  <c r="J168" i="2" a="1"/>
  <c r="J168" i="2" s="1"/>
  <c r="I168" i="2" a="1"/>
  <c r="I168" i="2" s="1"/>
  <c r="H168" i="2" a="1"/>
  <c r="H168" i="2" s="1"/>
  <c r="G168" i="2" a="1"/>
  <c r="G168" i="2" s="1"/>
  <c r="F168" i="2" a="1"/>
  <c r="F168" i="2" s="1"/>
  <c r="P167" i="2" a="1"/>
  <c r="P167" i="2" s="1"/>
  <c r="N167" i="2" a="1"/>
  <c r="N167" i="2" s="1"/>
  <c r="M167" i="2" a="1"/>
  <c r="M167" i="2" s="1"/>
  <c r="L167" i="2" a="1"/>
  <c r="L167" i="2" s="1"/>
  <c r="J167" i="2" a="1"/>
  <c r="J167" i="2" s="1"/>
  <c r="I167" i="2" a="1"/>
  <c r="I167" i="2" s="1"/>
  <c r="H167" i="2" a="1"/>
  <c r="H167" i="2" s="1"/>
  <c r="G167" i="2" a="1"/>
  <c r="G167" i="2" s="1"/>
  <c r="F167" i="2" a="1"/>
  <c r="F167" i="2" s="1"/>
  <c r="P166" i="2" a="1"/>
  <c r="P166" i="2" s="1"/>
  <c r="N166" i="2" a="1"/>
  <c r="N166" i="2" s="1"/>
  <c r="M166" i="2" a="1"/>
  <c r="M166" i="2" s="1"/>
  <c r="L166" i="2" a="1"/>
  <c r="L166" i="2" s="1"/>
  <c r="J166" i="2" a="1"/>
  <c r="J166" i="2" s="1"/>
  <c r="I166" i="2" a="1"/>
  <c r="I166" i="2" s="1"/>
  <c r="H166" i="2" a="1"/>
  <c r="H166" i="2" s="1"/>
  <c r="G166" i="2" a="1"/>
  <c r="G166" i="2" s="1"/>
  <c r="F166" i="2" a="1"/>
  <c r="F166" i="2" s="1"/>
  <c r="P165" i="2" a="1"/>
  <c r="P165" i="2" s="1"/>
  <c r="N165" i="2" a="1"/>
  <c r="N165" i="2" s="1"/>
  <c r="M165" i="2" a="1"/>
  <c r="M165" i="2" s="1"/>
  <c r="L165" i="2" a="1"/>
  <c r="L165" i="2" s="1"/>
  <c r="J165" i="2" a="1"/>
  <c r="J165" i="2" s="1"/>
  <c r="I165" i="2" a="1"/>
  <c r="I165" i="2" s="1"/>
  <c r="H165" i="2" a="1"/>
  <c r="H165" i="2" s="1"/>
  <c r="G165" i="2" a="1"/>
  <c r="G165" i="2" s="1"/>
  <c r="F165" i="2" a="1"/>
  <c r="F165" i="2" s="1"/>
  <c r="P164" i="2" a="1"/>
  <c r="P164" i="2" s="1"/>
  <c r="N164" i="2" a="1"/>
  <c r="N164" i="2" s="1"/>
  <c r="M164" i="2" a="1"/>
  <c r="M164" i="2"/>
  <c r="L164" i="2" a="1"/>
  <c r="L164" i="2" s="1"/>
  <c r="J164" i="2" a="1"/>
  <c r="J164" i="2" s="1"/>
  <c r="I164" i="2" a="1"/>
  <c r="I164" i="2" s="1"/>
  <c r="H164" i="2" a="1"/>
  <c r="H164" i="2" s="1"/>
  <c r="G164" i="2" a="1"/>
  <c r="G164" i="2" s="1"/>
  <c r="F164" i="2" a="1"/>
  <c r="F164" i="2" s="1"/>
  <c r="P163" i="2" a="1"/>
  <c r="P163" i="2" s="1"/>
  <c r="N163" i="2" a="1"/>
  <c r="N163" i="2" s="1"/>
  <c r="M163" i="2" a="1"/>
  <c r="M163" i="2" s="1"/>
  <c r="L163" i="2" a="1"/>
  <c r="L163" i="2" s="1"/>
  <c r="J163" i="2" a="1"/>
  <c r="J163" i="2" s="1"/>
  <c r="I163" i="2" a="1"/>
  <c r="I163" i="2" s="1"/>
  <c r="H163" i="2" a="1"/>
  <c r="H163" i="2" s="1"/>
  <c r="G163" i="2" a="1"/>
  <c r="G163" i="2" s="1"/>
  <c r="F163" i="2" a="1"/>
  <c r="F163" i="2" s="1"/>
  <c r="P162" i="2" a="1"/>
  <c r="P162" i="2" s="1"/>
  <c r="N162" i="2" a="1"/>
  <c r="N162" i="2" s="1"/>
  <c r="M162" i="2" a="1"/>
  <c r="M162" i="2" s="1"/>
  <c r="L162" i="2" a="1"/>
  <c r="L162" i="2" s="1"/>
  <c r="J162" i="2" a="1"/>
  <c r="J162" i="2" s="1"/>
  <c r="I162" i="2" a="1"/>
  <c r="I162" i="2" s="1"/>
  <c r="H162" i="2" a="1"/>
  <c r="H162" i="2" s="1"/>
  <c r="G162" i="2" a="1"/>
  <c r="G162" i="2" s="1"/>
  <c r="F162" i="2" a="1"/>
  <c r="F162" i="2" s="1"/>
  <c r="P161" i="2" a="1"/>
  <c r="P161" i="2" s="1"/>
  <c r="N161" i="2" a="1"/>
  <c r="N161" i="2" s="1"/>
  <c r="M161" i="2" a="1"/>
  <c r="M161" i="2" s="1"/>
  <c r="L161" i="2" a="1"/>
  <c r="L161" i="2" s="1"/>
  <c r="J161" i="2" a="1"/>
  <c r="J161" i="2" s="1"/>
  <c r="I161" i="2" a="1"/>
  <c r="I161" i="2" s="1"/>
  <c r="H161" i="2" a="1"/>
  <c r="H161" i="2" s="1"/>
  <c r="G161" i="2" a="1"/>
  <c r="G161" i="2" s="1"/>
  <c r="F161" i="2" a="1"/>
  <c r="F161" i="2" s="1"/>
  <c r="P160" i="2" a="1"/>
  <c r="P160" i="2" s="1"/>
  <c r="N160" i="2" a="1"/>
  <c r="N160" i="2" s="1"/>
  <c r="M160" i="2" a="1"/>
  <c r="M160" i="2" s="1"/>
  <c r="L160" i="2" a="1"/>
  <c r="L160" i="2" s="1"/>
  <c r="J160" i="2" a="1"/>
  <c r="J160" i="2" s="1"/>
  <c r="I160" i="2" a="1"/>
  <c r="I160" i="2" s="1"/>
  <c r="H160" i="2" a="1"/>
  <c r="H160" i="2" s="1"/>
  <c r="G160" i="2" a="1"/>
  <c r="G160" i="2" s="1"/>
  <c r="F160" i="2" a="1"/>
  <c r="F160" i="2" s="1"/>
  <c r="P159" i="2" a="1"/>
  <c r="P159" i="2" s="1"/>
  <c r="N159" i="2" a="1"/>
  <c r="N159" i="2" s="1"/>
  <c r="M159" i="2" a="1"/>
  <c r="M159" i="2" s="1"/>
  <c r="L159" i="2" a="1"/>
  <c r="L159" i="2" s="1"/>
  <c r="J159" i="2" a="1"/>
  <c r="J159" i="2" s="1"/>
  <c r="I159" i="2" a="1"/>
  <c r="I159" i="2" s="1"/>
  <c r="H159" i="2" a="1"/>
  <c r="H159" i="2"/>
  <c r="G159" i="2" a="1"/>
  <c r="G159" i="2" s="1"/>
  <c r="F159" i="2" a="1"/>
  <c r="F159" i="2" s="1"/>
  <c r="P158" i="2" a="1"/>
  <c r="P158" i="2" s="1"/>
  <c r="N158" i="2" a="1"/>
  <c r="N158" i="2" s="1"/>
  <c r="M158" i="2" a="1"/>
  <c r="M158" i="2" s="1"/>
  <c r="L158" i="2" a="1"/>
  <c r="L158" i="2" s="1"/>
  <c r="J158" i="2" a="1"/>
  <c r="J158" i="2" s="1"/>
  <c r="I158" i="2" a="1"/>
  <c r="I158" i="2" s="1"/>
  <c r="H158" i="2" a="1"/>
  <c r="H158" i="2" s="1"/>
  <c r="G158" i="2" a="1"/>
  <c r="G158" i="2" s="1"/>
  <c r="F158" i="2" a="1"/>
  <c r="F158" i="2" s="1"/>
  <c r="P157" i="2" a="1"/>
  <c r="P157" i="2" s="1"/>
  <c r="N157" i="2" a="1"/>
  <c r="N157" i="2" s="1"/>
  <c r="M157" i="2" a="1"/>
  <c r="M157" i="2" s="1"/>
  <c r="L157" i="2" a="1"/>
  <c r="L157" i="2" s="1"/>
  <c r="J157" i="2" a="1"/>
  <c r="J157" i="2" s="1"/>
  <c r="I157" i="2" a="1"/>
  <c r="I157" i="2" s="1"/>
  <c r="H157" i="2" a="1"/>
  <c r="H157" i="2"/>
  <c r="G157" i="2" a="1"/>
  <c r="G157" i="2"/>
  <c r="F157" i="2" a="1"/>
  <c r="F157" i="2" s="1"/>
  <c r="P156" i="2" a="1"/>
  <c r="P156" i="2" s="1"/>
  <c r="N156" i="2" a="1"/>
  <c r="N156" i="2" s="1"/>
  <c r="M156" i="2" a="1"/>
  <c r="M156" i="2" s="1"/>
  <c r="L156" i="2" a="1"/>
  <c r="L156" i="2" s="1"/>
  <c r="J156" i="2" a="1"/>
  <c r="J156" i="2" s="1"/>
  <c r="I156" i="2" a="1"/>
  <c r="I156" i="2" s="1"/>
  <c r="H156" i="2" a="1"/>
  <c r="H156" i="2" s="1"/>
  <c r="G156" i="2" a="1"/>
  <c r="G156" i="2" s="1"/>
  <c r="F156" i="2" a="1"/>
  <c r="F156" i="2"/>
  <c r="P155" i="2" a="1"/>
  <c r="P155" i="2" s="1"/>
  <c r="N155" i="2" a="1"/>
  <c r="N155" i="2" s="1"/>
  <c r="M155" i="2" a="1"/>
  <c r="M155" i="2" s="1"/>
  <c r="L155" i="2" a="1"/>
  <c r="L155" i="2" s="1"/>
  <c r="J155" i="2" a="1"/>
  <c r="J155" i="2" s="1"/>
  <c r="I155" i="2" a="1"/>
  <c r="I155" i="2" s="1"/>
  <c r="H155" i="2" a="1"/>
  <c r="H155" i="2" s="1"/>
  <c r="G155" i="2" a="1"/>
  <c r="G155" i="2" s="1"/>
  <c r="F155" i="2" a="1"/>
  <c r="F155" i="2" s="1"/>
  <c r="P154" i="2" a="1"/>
  <c r="P154" i="2" s="1"/>
  <c r="N154" i="2" a="1"/>
  <c r="N154" i="2" s="1"/>
  <c r="M154" i="2" a="1"/>
  <c r="M154" i="2" s="1"/>
  <c r="L154" i="2" a="1"/>
  <c r="L154" i="2" s="1"/>
  <c r="J154" i="2" a="1"/>
  <c r="J154" i="2" s="1"/>
  <c r="I154" i="2" a="1"/>
  <c r="I154" i="2" s="1"/>
  <c r="H154" i="2" a="1"/>
  <c r="H154" i="2"/>
  <c r="G154" i="2" a="1"/>
  <c r="G154" i="2" s="1"/>
  <c r="F154" i="2" a="1"/>
  <c r="F154" i="2" s="1"/>
  <c r="P153" i="2" a="1"/>
  <c r="P153" i="2" s="1"/>
  <c r="N153" i="2" a="1"/>
  <c r="N153" i="2" s="1"/>
  <c r="M153" i="2" a="1"/>
  <c r="M153" i="2" s="1"/>
  <c r="L153" i="2" a="1"/>
  <c r="L153" i="2" s="1"/>
  <c r="J153" i="2" a="1"/>
  <c r="J153" i="2" s="1"/>
  <c r="I153" i="2" a="1"/>
  <c r="I153" i="2" s="1"/>
  <c r="H153" i="2" a="1"/>
  <c r="H153" i="2" s="1"/>
  <c r="G153" i="2" a="1"/>
  <c r="G153" i="2" s="1"/>
  <c r="F153" i="2" a="1"/>
  <c r="F153" i="2" s="1"/>
  <c r="P152" i="2" a="1"/>
  <c r="P152" i="2" s="1"/>
  <c r="N152" i="2" a="1"/>
  <c r="N152" i="2" s="1"/>
  <c r="M152" i="2" a="1"/>
  <c r="M152" i="2" s="1"/>
  <c r="L152" i="2" a="1"/>
  <c r="L152" i="2" s="1"/>
  <c r="J152" i="2" a="1"/>
  <c r="J152" i="2" s="1"/>
  <c r="I152" i="2" a="1"/>
  <c r="I152" i="2" s="1"/>
  <c r="H152" i="2" a="1"/>
  <c r="H152" i="2" s="1"/>
  <c r="G152" i="2" a="1"/>
  <c r="G152" i="2" s="1"/>
  <c r="F152" i="2" a="1"/>
  <c r="F152" i="2" s="1"/>
  <c r="P151" i="2" a="1"/>
  <c r="P151" i="2" s="1"/>
  <c r="N151" i="2" a="1"/>
  <c r="N151" i="2" s="1"/>
  <c r="M151" i="2" a="1"/>
  <c r="M151" i="2" s="1"/>
  <c r="L151" i="2" a="1"/>
  <c r="L151" i="2" s="1"/>
  <c r="J151" i="2" a="1"/>
  <c r="J151" i="2" s="1"/>
  <c r="I151" i="2" a="1"/>
  <c r="I151" i="2" s="1"/>
  <c r="H151" i="2" a="1"/>
  <c r="H151" i="2" s="1"/>
  <c r="G151" i="2" a="1"/>
  <c r="G151" i="2" s="1"/>
  <c r="F151" i="2" a="1"/>
  <c r="F151" i="2" s="1"/>
  <c r="P150" i="2" a="1"/>
  <c r="P150" i="2" s="1"/>
  <c r="N150" i="2" a="1"/>
  <c r="N150" i="2" s="1"/>
  <c r="M150" i="2" a="1"/>
  <c r="M150" i="2" s="1"/>
  <c r="L150" i="2" a="1"/>
  <c r="L150" i="2" s="1"/>
  <c r="J150" i="2" a="1"/>
  <c r="J150" i="2" s="1"/>
  <c r="I150" i="2" a="1"/>
  <c r="I150" i="2" s="1"/>
  <c r="H150" i="2" a="1"/>
  <c r="H150" i="2" s="1"/>
  <c r="G150" i="2" a="1"/>
  <c r="G150" i="2" s="1"/>
  <c r="F150" i="2" a="1"/>
  <c r="F150" i="2" s="1"/>
  <c r="P149" i="2" a="1"/>
  <c r="P149" i="2" s="1"/>
  <c r="N149" i="2" a="1"/>
  <c r="N149" i="2" s="1"/>
  <c r="M149" i="2" a="1"/>
  <c r="M149" i="2" s="1"/>
  <c r="L149" i="2" a="1"/>
  <c r="L149" i="2" s="1"/>
  <c r="J149" i="2" a="1"/>
  <c r="J149" i="2" s="1"/>
  <c r="I149" i="2" a="1"/>
  <c r="I149" i="2" s="1"/>
  <c r="H149" i="2" a="1"/>
  <c r="H149" i="2" s="1"/>
  <c r="G149" i="2" a="1"/>
  <c r="G149" i="2" s="1"/>
  <c r="F149" i="2" a="1"/>
  <c r="F149" i="2" s="1"/>
  <c r="P148" i="2" a="1"/>
  <c r="P148" i="2" s="1"/>
  <c r="N148" i="2" a="1"/>
  <c r="N148" i="2" s="1"/>
  <c r="M148" i="2" a="1"/>
  <c r="M148" i="2" s="1"/>
  <c r="L148" i="2" a="1"/>
  <c r="L148" i="2" s="1"/>
  <c r="J148" i="2" a="1"/>
  <c r="J148" i="2" s="1"/>
  <c r="I148" i="2" a="1"/>
  <c r="I148" i="2" s="1"/>
  <c r="H148" i="2" a="1"/>
  <c r="H148" i="2" s="1"/>
  <c r="G148" i="2" a="1"/>
  <c r="G148" i="2" s="1"/>
  <c r="F148" i="2" a="1"/>
  <c r="F148" i="2" s="1"/>
  <c r="P147" i="2" a="1"/>
  <c r="P147" i="2" s="1"/>
  <c r="N147" i="2" a="1"/>
  <c r="N147" i="2" s="1"/>
  <c r="M147" i="2" a="1"/>
  <c r="M147" i="2"/>
  <c r="L147" i="2" a="1"/>
  <c r="L147" i="2" s="1"/>
  <c r="J147" i="2" a="1"/>
  <c r="J147" i="2" s="1"/>
  <c r="I147" i="2" a="1"/>
  <c r="I147" i="2"/>
  <c r="H147" i="2" a="1"/>
  <c r="H147" i="2" s="1"/>
  <c r="G147" i="2" a="1"/>
  <c r="G147" i="2" s="1"/>
  <c r="F147" i="2" a="1"/>
  <c r="F147" i="2"/>
  <c r="P146" i="2" a="1"/>
  <c r="P146" i="2" s="1"/>
  <c r="N146" i="2" a="1"/>
  <c r="N146" i="2" s="1"/>
  <c r="M146" i="2" a="1"/>
  <c r="M146" i="2" s="1"/>
  <c r="L146" i="2" a="1"/>
  <c r="L146" i="2" s="1"/>
  <c r="J146" i="2" a="1"/>
  <c r="J146" i="2" s="1"/>
  <c r="I146" i="2" a="1"/>
  <c r="I146" i="2" s="1"/>
  <c r="H146" i="2" a="1"/>
  <c r="H146" i="2" s="1"/>
  <c r="G146" i="2" a="1"/>
  <c r="G146" i="2" s="1"/>
  <c r="F146" i="2" a="1"/>
  <c r="F146" i="2" s="1"/>
  <c r="P145" i="2" a="1"/>
  <c r="P145" i="2" s="1"/>
  <c r="N145" i="2" a="1"/>
  <c r="N145" i="2" s="1"/>
  <c r="M145" i="2" a="1"/>
  <c r="M145" i="2" s="1"/>
  <c r="L145" i="2" a="1"/>
  <c r="L145" i="2" s="1"/>
  <c r="J145" i="2" a="1"/>
  <c r="J145" i="2" s="1"/>
  <c r="I145" i="2" a="1"/>
  <c r="I145" i="2" s="1"/>
  <c r="H145" i="2" a="1"/>
  <c r="H145" i="2" s="1"/>
  <c r="G145" i="2" a="1"/>
  <c r="G145" i="2" s="1"/>
  <c r="F145" i="2" a="1"/>
  <c r="F145" i="2" s="1"/>
  <c r="P144" i="2" a="1"/>
  <c r="P144" i="2" s="1"/>
  <c r="N144" i="2" a="1"/>
  <c r="N144" i="2"/>
  <c r="M144" i="2" a="1"/>
  <c r="M144" i="2" s="1"/>
  <c r="L144" i="2" a="1"/>
  <c r="L144" i="2" s="1"/>
  <c r="J144" i="2" a="1"/>
  <c r="J144" i="2" s="1"/>
  <c r="I144" i="2" a="1"/>
  <c r="I144" i="2" s="1"/>
  <c r="H144" i="2" a="1"/>
  <c r="H144" i="2" s="1"/>
  <c r="G144" i="2" a="1"/>
  <c r="G144" i="2" s="1"/>
  <c r="F144" i="2" a="1"/>
  <c r="F144" i="2" s="1"/>
  <c r="P143" i="2" a="1"/>
  <c r="P143" i="2" s="1"/>
  <c r="N143" i="2" a="1"/>
  <c r="N143" i="2" s="1"/>
  <c r="M143" i="2" a="1"/>
  <c r="M143" i="2"/>
  <c r="L143" i="2" a="1"/>
  <c r="L143" i="2" s="1"/>
  <c r="J143" i="2" a="1"/>
  <c r="J143" i="2" s="1"/>
  <c r="I143" i="2" a="1"/>
  <c r="I143" i="2" s="1"/>
  <c r="H143" i="2" a="1"/>
  <c r="H143" i="2" s="1"/>
  <c r="G143" i="2" a="1"/>
  <c r="G143" i="2" s="1"/>
  <c r="F143" i="2" a="1"/>
  <c r="F143" i="2" s="1"/>
  <c r="P142" i="2" a="1"/>
  <c r="P142" i="2" s="1"/>
  <c r="N142" i="2" a="1"/>
  <c r="N142" i="2" s="1"/>
  <c r="M142" i="2" a="1"/>
  <c r="M142" i="2" s="1"/>
  <c r="L142" i="2" a="1"/>
  <c r="L142" i="2" s="1"/>
  <c r="J142" i="2" a="1"/>
  <c r="J142" i="2" s="1"/>
  <c r="I142" i="2" a="1"/>
  <c r="I142" i="2" s="1"/>
  <c r="H142" i="2" a="1"/>
  <c r="H142" i="2" s="1"/>
  <c r="G142" i="2" a="1"/>
  <c r="G142" i="2" s="1"/>
  <c r="F142" i="2" a="1"/>
  <c r="F142" i="2" s="1"/>
  <c r="P141" i="2" a="1"/>
  <c r="P141" i="2" s="1"/>
  <c r="N141" i="2" a="1"/>
  <c r="N141" i="2" s="1"/>
  <c r="M141" i="2" a="1"/>
  <c r="M141" i="2" s="1"/>
  <c r="L141" i="2" a="1"/>
  <c r="L141" i="2" s="1"/>
  <c r="J141" i="2" a="1"/>
  <c r="J141" i="2" s="1"/>
  <c r="I141" i="2" a="1"/>
  <c r="I141" i="2" s="1"/>
  <c r="H141" i="2" a="1"/>
  <c r="H141" i="2" s="1"/>
  <c r="G141" i="2" a="1"/>
  <c r="G141" i="2" s="1"/>
  <c r="F141" i="2" a="1"/>
  <c r="F141" i="2" s="1"/>
  <c r="P140" i="2" a="1"/>
  <c r="P140" i="2" s="1"/>
  <c r="N140" i="2" a="1"/>
  <c r="N140" i="2" s="1"/>
  <c r="M140" i="2" a="1"/>
  <c r="M140" i="2" s="1"/>
  <c r="L140" i="2" a="1"/>
  <c r="L140" i="2" s="1"/>
  <c r="J140" i="2" a="1"/>
  <c r="J140" i="2" s="1"/>
  <c r="I140" i="2" a="1"/>
  <c r="I140" i="2" s="1"/>
  <c r="H140" i="2" a="1"/>
  <c r="H140" i="2" s="1"/>
  <c r="G140" i="2" a="1"/>
  <c r="G140" i="2" s="1"/>
  <c r="F140" i="2" a="1"/>
  <c r="F140" i="2" s="1"/>
  <c r="P139" i="2" a="1"/>
  <c r="P139" i="2" s="1"/>
  <c r="N139" i="2" a="1"/>
  <c r="N139" i="2" s="1"/>
  <c r="M139" i="2" a="1"/>
  <c r="M139" i="2" s="1"/>
  <c r="L139" i="2" a="1"/>
  <c r="L139" i="2" s="1"/>
  <c r="J139" i="2" a="1"/>
  <c r="J139" i="2" s="1"/>
  <c r="I139" i="2" a="1"/>
  <c r="I139" i="2" s="1"/>
  <c r="H139" i="2" a="1"/>
  <c r="H139" i="2" s="1"/>
  <c r="G139" i="2" a="1"/>
  <c r="G139" i="2" s="1"/>
  <c r="F139" i="2" a="1"/>
  <c r="F139" i="2" s="1"/>
  <c r="P138" i="2" a="1"/>
  <c r="P138" i="2" s="1"/>
  <c r="N138" i="2" a="1"/>
  <c r="N138" i="2" s="1"/>
  <c r="M138" i="2" a="1"/>
  <c r="M138" i="2" s="1"/>
  <c r="L138" i="2" a="1"/>
  <c r="L138" i="2" s="1"/>
  <c r="J138" i="2" a="1"/>
  <c r="J138" i="2" s="1"/>
  <c r="I138" i="2" a="1"/>
  <c r="I138" i="2" s="1"/>
  <c r="H138" i="2" a="1"/>
  <c r="H138" i="2" s="1"/>
  <c r="G138" i="2" a="1"/>
  <c r="G138" i="2" s="1"/>
  <c r="F138" i="2" a="1"/>
  <c r="F138" i="2" s="1"/>
  <c r="P137" i="2" a="1"/>
  <c r="P137" i="2" s="1"/>
  <c r="N137" i="2" a="1"/>
  <c r="N137" i="2" s="1"/>
  <c r="M137" i="2" a="1"/>
  <c r="M137" i="2" s="1"/>
  <c r="L137" i="2" a="1"/>
  <c r="L137" i="2" s="1"/>
  <c r="J137" i="2" a="1"/>
  <c r="J137" i="2" s="1"/>
  <c r="I137" i="2" a="1"/>
  <c r="I137" i="2" s="1"/>
  <c r="H137" i="2" a="1"/>
  <c r="H137" i="2" s="1"/>
  <c r="G137" i="2" a="1"/>
  <c r="G137" i="2" s="1"/>
  <c r="F137" i="2" a="1"/>
  <c r="F137" i="2" s="1"/>
  <c r="P136" i="2" a="1"/>
  <c r="P136" i="2" s="1"/>
  <c r="N136" i="2" a="1"/>
  <c r="N136" i="2" s="1"/>
  <c r="M136" i="2" a="1"/>
  <c r="M136" i="2" s="1"/>
  <c r="L136" i="2" a="1"/>
  <c r="L136" i="2" s="1"/>
  <c r="J136" i="2" a="1"/>
  <c r="J136" i="2" s="1"/>
  <c r="I136" i="2" a="1"/>
  <c r="I136" i="2" s="1"/>
  <c r="H136" i="2" a="1"/>
  <c r="H136" i="2" s="1"/>
  <c r="G136" i="2" a="1"/>
  <c r="G136" i="2" s="1"/>
  <c r="F136" i="2" a="1"/>
  <c r="F136" i="2" s="1"/>
  <c r="P135" i="2" a="1"/>
  <c r="P135" i="2" s="1"/>
  <c r="N135" i="2" a="1"/>
  <c r="N135" i="2" s="1"/>
  <c r="M135" i="2" a="1"/>
  <c r="M135" i="2" s="1"/>
  <c r="L135" i="2" a="1"/>
  <c r="L135" i="2" s="1"/>
  <c r="J135" i="2" a="1"/>
  <c r="J135" i="2" s="1"/>
  <c r="I135" i="2" a="1"/>
  <c r="I135" i="2" s="1"/>
  <c r="H135" i="2" a="1"/>
  <c r="H135" i="2" s="1"/>
  <c r="G135" i="2" a="1"/>
  <c r="G135" i="2" s="1"/>
  <c r="F135" i="2" a="1"/>
  <c r="F135" i="2" s="1"/>
  <c r="P134" i="2" a="1"/>
  <c r="P134" i="2" s="1"/>
  <c r="N134" i="2" a="1"/>
  <c r="N134" i="2" s="1"/>
  <c r="M134" i="2" a="1"/>
  <c r="M134" i="2" s="1"/>
  <c r="L134" i="2" a="1"/>
  <c r="L134" i="2" s="1"/>
  <c r="J134" i="2" a="1"/>
  <c r="J134" i="2" s="1"/>
  <c r="I134" i="2" a="1"/>
  <c r="I134" i="2" s="1"/>
  <c r="H134" i="2" a="1"/>
  <c r="H134" i="2" s="1"/>
  <c r="G134" i="2" a="1"/>
  <c r="G134" i="2" s="1"/>
  <c r="F134" i="2" a="1"/>
  <c r="F134" i="2" s="1"/>
  <c r="P133" i="2" a="1"/>
  <c r="P133" i="2" s="1"/>
  <c r="N133" i="2" a="1"/>
  <c r="N133" i="2" s="1"/>
  <c r="M133" i="2" a="1"/>
  <c r="M133" i="2" s="1"/>
  <c r="L133" i="2" a="1"/>
  <c r="L133" i="2" s="1"/>
  <c r="J133" i="2" a="1"/>
  <c r="J133" i="2" s="1"/>
  <c r="I133" i="2" a="1"/>
  <c r="I133" i="2" s="1"/>
  <c r="H133" i="2" a="1"/>
  <c r="H133" i="2" s="1"/>
  <c r="G133" i="2" a="1"/>
  <c r="G133" i="2" s="1"/>
  <c r="F133" i="2" a="1"/>
  <c r="F133" i="2" s="1"/>
  <c r="P132" i="2" a="1"/>
  <c r="P132" i="2" s="1"/>
  <c r="N132" i="2" a="1"/>
  <c r="N132" i="2" s="1"/>
  <c r="M132" i="2" a="1"/>
  <c r="M132" i="2" s="1"/>
  <c r="L132" i="2" a="1"/>
  <c r="L132" i="2" s="1"/>
  <c r="J132" i="2" a="1"/>
  <c r="J132" i="2" s="1"/>
  <c r="I132" i="2" a="1"/>
  <c r="I132" i="2" s="1"/>
  <c r="H132" i="2" a="1"/>
  <c r="H132" i="2" s="1"/>
  <c r="G132" i="2" a="1"/>
  <c r="G132" i="2" s="1"/>
  <c r="F132" i="2" a="1"/>
  <c r="F132" i="2" s="1"/>
  <c r="P131" i="2" a="1"/>
  <c r="P131" i="2" s="1"/>
  <c r="N131" i="2" a="1"/>
  <c r="N131" i="2" s="1"/>
  <c r="M131" i="2" a="1"/>
  <c r="M131" i="2" s="1"/>
  <c r="L131" i="2" a="1"/>
  <c r="L131" i="2" s="1"/>
  <c r="J131" i="2" a="1"/>
  <c r="J131" i="2" s="1"/>
  <c r="I131" i="2" a="1"/>
  <c r="I131" i="2" s="1"/>
  <c r="H131" i="2" a="1"/>
  <c r="H131" i="2" s="1"/>
  <c r="G131" i="2" a="1"/>
  <c r="G131" i="2"/>
  <c r="F131" i="2" a="1"/>
  <c r="F131" i="2" s="1"/>
  <c r="P130" i="2" a="1"/>
  <c r="P130" i="2" s="1"/>
  <c r="N130" i="2" a="1"/>
  <c r="N130" i="2" s="1"/>
  <c r="M130" i="2" a="1"/>
  <c r="M130" i="2" s="1"/>
  <c r="L130" i="2" a="1"/>
  <c r="L130" i="2" s="1"/>
  <c r="J130" i="2" a="1"/>
  <c r="J130" i="2" s="1"/>
  <c r="I130" i="2" a="1"/>
  <c r="I130" i="2" s="1"/>
  <c r="H130" i="2" a="1"/>
  <c r="H130" i="2" s="1"/>
  <c r="G130" i="2" a="1"/>
  <c r="G130" i="2" s="1"/>
  <c r="F130" i="2" a="1"/>
  <c r="F130" i="2" s="1"/>
  <c r="P129" i="2" a="1"/>
  <c r="P129" i="2" s="1"/>
  <c r="N129" i="2" a="1"/>
  <c r="N129" i="2" s="1"/>
  <c r="M129" i="2" a="1"/>
  <c r="M129" i="2" s="1"/>
  <c r="L129" i="2" a="1"/>
  <c r="L129" i="2" s="1"/>
  <c r="J129" i="2" a="1"/>
  <c r="J129" i="2" s="1"/>
  <c r="I129" i="2" a="1"/>
  <c r="I129" i="2" s="1"/>
  <c r="H129" i="2" a="1"/>
  <c r="H129" i="2" s="1"/>
  <c r="G129" i="2" a="1"/>
  <c r="G129" i="2" s="1"/>
  <c r="F129" i="2" a="1"/>
  <c r="F129" i="2" s="1"/>
  <c r="P128" i="2" a="1"/>
  <c r="P128" i="2" s="1"/>
  <c r="N128" i="2" a="1"/>
  <c r="N128" i="2" s="1"/>
  <c r="M128" i="2" a="1"/>
  <c r="M128" i="2" s="1"/>
  <c r="L128" i="2" a="1"/>
  <c r="L128" i="2" s="1"/>
  <c r="J128" i="2" a="1"/>
  <c r="J128" i="2" s="1"/>
  <c r="I128" i="2" a="1"/>
  <c r="I128" i="2" s="1"/>
  <c r="H128" i="2" a="1"/>
  <c r="H128" i="2" s="1"/>
  <c r="G128" i="2" a="1"/>
  <c r="G128" i="2" s="1"/>
  <c r="F128" i="2" a="1"/>
  <c r="F128" i="2" s="1"/>
  <c r="P127" i="2" a="1"/>
  <c r="P127" i="2"/>
  <c r="N127" i="2" a="1"/>
  <c r="N127" i="2" s="1"/>
  <c r="M127" i="2" a="1"/>
  <c r="M127" i="2" s="1"/>
  <c r="L127" i="2" a="1"/>
  <c r="L127" i="2" s="1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P126" i="2" a="1"/>
  <c r="P126" i="2" s="1"/>
  <c r="N126" i="2" a="1"/>
  <c r="N126" i="2" s="1"/>
  <c r="M126" i="2" a="1"/>
  <c r="M126" i="2"/>
  <c r="L126" i="2" a="1"/>
  <c r="L126" i="2" s="1"/>
  <c r="J126" i="2" a="1"/>
  <c r="J126" i="2" s="1"/>
  <c r="I126" i="2" a="1"/>
  <c r="I126" i="2" s="1"/>
  <c r="H126" i="2" a="1"/>
  <c r="H126" i="2" s="1"/>
  <c r="G126" i="2" a="1"/>
  <c r="G126" i="2" s="1"/>
  <c r="F126" i="2" a="1"/>
  <c r="F126" i="2" s="1"/>
  <c r="P125" i="2" a="1"/>
  <c r="P125" i="2" s="1"/>
  <c r="N125" i="2" a="1"/>
  <c r="N125" i="2" s="1"/>
  <c r="M125" i="2" a="1"/>
  <c r="M125" i="2" s="1"/>
  <c r="L125" i="2" a="1"/>
  <c r="L125" i="2" s="1"/>
  <c r="J125" i="2" a="1"/>
  <c r="J125" i="2" s="1"/>
  <c r="I125" i="2" a="1"/>
  <c r="I125" i="2" s="1"/>
  <c r="H125" i="2" a="1"/>
  <c r="H125" i="2" s="1"/>
  <c r="G125" i="2" a="1"/>
  <c r="G125" i="2"/>
  <c r="F125" i="2" a="1"/>
  <c r="F125" i="2" s="1"/>
  <c r="P124" i="2" a="1"/>
  <c r="P124" i="2" s="1"/>
  <c r="N124" i="2" a="1"/>
  <c r="N124" i="2" s="1"/>
  <c r="M124" i="2" a="1"/>
  <c r="M124" i="2" s="1"/>
  <c r="L124" i="2" a="1"/>
  <c r="L124" i="2" s="1"/>
  <c r="J124" i="2" a="1"/>
  <c r="J124" i="2" s="1"/>
  <c r="I124" i="2" a="1"/>
  <c r="I124" i="2" s="1"/>
  <c r="H124" i="2" a="1"/>
  <c r="H124" i="2" s="1"/>
  <c r="G124" i="2" a="1"/>
  <c r="G124" i="2" s="1"/>
  <c r="F124" i="2" a="1"/>
  <c r="F124" i="2" s="1"/>
  <c r="P123" i="2" a="1"/>
  <c r="P123" i="2" s="1"/>
  <c r="N123" i="2" a="1"/>
  <c r="N123" i="2" s="1"/>
  <c r="M123" i="2" a="1"/>
  <c r="M123" i="2" s="1"/>
  <c r="L123" i="2" a="1"/>
  <c r="L123" i="2" s="1"/>
  <c r="J123" i="2" a="1"/>
  <c r="J123" i="2" s="1"/>
  <c r="I123" i="2" a="1"/>
  <c r="I123" i="2" s="1"/>
  <c r="H123" i="2" a="1"/>
  <c r="H123" i="2" s="1"/>
  <c r="G123" i="2" a="1"/>
  <c r="G123" i="2" s="1"/>
  <c r="F123" i="2" a="1"/>
  <c r="F123" i="2" s="1"/>
  <c r="P122" i="2" a="1"/>
  <c r="P122" i="2" s="1"/>
  <c r="N122" i="2" a="1"/>
  <c r="N122" i="2" s="1"/>
  <c r="M122" i="2" a="1"/>
  <c r="M122" i="2" s="1"/>
  <c r="L122" i="2" a="1"/>
  <c r="L122" i="2" s="1"/>
  <c r="J122" i="2" a="1"/>
  <c r="J122" i="2" s="1"/>
  <c r="I122" i="2" a="1"/>
  <c r="I122" i="2" s="1"/>
  <c r="H122" i="2" a="1"/>
  <c r="H122" i="2" s="1"/>
  <c r="G122" i="2" a="1"/>
  <c r="G122" i="2" s="1"/>
  <c r="F122" i="2" a="1"/>
  <c r="F122" i="2" s="1"/>
  <c r="P121" i="2" a="1"/>
  <c r="P121" i="2" s="1"/>
  <c r="N121" i="2" a="1"/>
  <c r="N121" i="2" s="1"/>
  <c r="M121" i="2" a="1"/>
  <c r="M121" i="2" s="1"/>
  <c r="L121" i="2" a="1"/>
  <c r="L121" i="2" s="1"/>
  <c r="J121" i="2" a="1"/>
  <c r="J121" i="2"/>
  <c r="I121" i="2" a="1"/>
  <c r="I121" i="2" s="1"/>
  <c r="H121" i="2" a="1"/>
  <c r="H121" i="2" s="1"/>
  <c r="G121" i="2" a="1"/>
  <c r="G121" i="2" s="1"/>
  <c r="F121" i="2" a="1"/>
  <c r="F121" i="2" s="1"/>
  <c r="P120" i="2" a="1"/>
  <c r="P120" i="2" s="1"/>
  <c r="N120" i="2" a="1"/>
  <c r="N120" i="2" s="1"/>
  <c r="M120" i="2" a="1"/>
  <c r="M120" i="2" s="1"/>
  <c r="L120" i="2" a="1"/>
  <c r="L120" i="2" s="1"/>
  <c r="J120" i="2" a="1"/>
  <c r="J120" i="2" s="1"/>
  <c r="I120" i="2" a="1"/>
  <c r="I120" i="2" s="1"/>
  <c r="H120" i="2" a="1"/>
  <c r="H120" i="2" s="1"/>
  <c r="G120" i="2" a="1"/>
  <c r="G120" i="2" s="1"/>
  <c r="F120" i="2" a="1"/>
  <c r="F120" i="2" s="1"/>
  <c r="P119" i="2" a="1"/>
  <c r="P119" i="2" s="1"/>
  <c r="N119" i="2" a="1"/>
  <c r="N119" i="2" s="1"/>
  <c r="M119" i="2" a="1"/>
  <c r="M119" i="2" s="1"/>
  <c r="L119" i="2" a="1"/>
  <c r="L119" i="2" s="1"/>
  <c r="J119" i="2" a="1"/>
  <c r="J119" i="2" s="1"/>
  <c r="I119" i="2" a="1"/>
  <c r="I119" i="2" s="1"/>
  <c r="H119" i="2" a="1"/>
  <c r="H119" i="2" s="1"/>
  <c r="G119" i="2" a="1"/>
  <c r="G119" i="2" s="1"/>
  <c r="F119" i="2" a="1"/>
  <c r="F119" i="2" s="1"/>
  <c r="P118" i="2" a="1"/>
  <c r="P118" i="2" s="1"/>
  <c r="N118" i="2" a="1"/>
  <c r="N118" i="2" s="1"/>
  <c r="M118" i="2" a="1"/>
  <c r="M118" i="2" s="1"/>
  <c r="L118" i="2" a="1"/>
  <c r="L118" i="2" s="1"/>
  <c r="J118" i="2" a="1"/>
  <c r="J118" i="2" s="1"/>
  <c r="I118" i="2" a="1"/>
  <c r="I118" i="2" s="1"/>
  <c r="H118" i="2" a="1"/>
  <c r="H118" i="2" s="1"/>
  <c r="G118" i="2" a="1"/>
  <c r="G118" i="2" s="1"/>
  <c r="F118" i="2" a="1"/>
  <c r="F118" i="2" s="1"/>
  <c r="P117" i="2" a="1"/>
  <c r="P117" i="2" s="1"/>
  <c r="N117" i="2" a="1"/>
  <c r="N117" i="2" s="1"/>
  <c r="M117" i="2" a="1"/>
  <c r="M117" i="2" s="1"/>
  <c r="L117" i="2" a="1"/>
  <c r="L117" i="2" s="1"/>
  <c r="J117" i="2" a="1"/>
  <c r="J117" i="2" s="1"/>
  <c r="I117" i="2" a="1"/>
  <c r="I117" i="2" s="1"/>
  <c r="H117" i="2" a="1"/>
  <c r="H117" i="2" s="1"/>
  <c r="G117" i="2" a="1"/>
  <c r="G117" i="2" s="1"/>
  <c r="F117" i="2" a="1"/>
  <c r="F117" i="2" s="1"/>
  <c r="P116" i="2" a="1"/>
  <c r="P116" i="2" s="1"/>
  <c r="N116" i="2" a="1"/>
  <c r="N116" i="2" s="1"/>
  <c r="M116" i="2" a="1"/>
  <c r="M116" i="2" s="1"/>
  <c r="L116" i="2" a="1"/>
  <c r="L116" i="2" s="1"/>
  <c r="J116" i="2" a="1"/>
  <c r="J116" i="2" s="1"/>
  <c r="I116" i="2" a="1"/>
  <c r="I116" i="2" s="1"/>
  <c r="H116" i="2" a="1"/>
  <c r="H116" i="2" s="1"/>
  <c r="G116" i="2" a="1"/>
  <c r="G116" i="2" s="1"/>
  <c r="F116" i="2" a="1"/>
  <c r="F116" i="2" s="1"/>
  <c r="P115" i="2" a="1"/>
  <c r="P115" i="2" s="1"/>
  <c r="N115" i="2" a="1"/>
  <c r="N115" i="2" s="1"/>
  <c r="M115" i="2" a="1"/>
  <c r="M115" i="2" s="1"/>
  <c r="L115" i="2" a="1"/>
  <c r="L115" i="2" s="1"/>
  <c r="J115" i="2" a="1"/>
  <c r="J115" i="2" s="1"/>
  <c r="I115" i="2" a="1"/>
  <c r="I115" i="2" s="1"/>
  <c r="H115" i="2" a="1"/>
  <c r="H115" i="2" s="1"/>
  <c r="G115" i="2" a="1"/>
  <c r="G115" i="2" s="1"/>
  <c r="F115" i="2" a="1"/>
  <c r="F115" i="2" s="1"/>
  <c r="P114" i="2" a="1"/>
  <c r="P114" i="2"/>
  <c r="N114" i="2" a="1"/>
  <c r="N114" i="2" s="1"/>
  <c r="M114" i="2" a="1"/>
  <c r="M114" i="2" s="1"/>
  <c r="L114" i="2" a="1"/>
  <c r="L114" i="2" s="1"/>
  <c r="J114" i="2" a="1"/>
  <c r="J114" i="2" s="1"/>
  <c r="I114" i="2" a="1"/>
  <c r="I114" i="2" s="1"/>
  <c r="H114" i="2" a="1"/>
  <c r="H114" i="2" s="1"/>
  <c r="G114" i="2" a="1"/>
  <c r="G114" i="2" s="1"/>
  <c r="F114" i="2" a="1"/>
  <c r="F114" i="2" s="1"/>
  <c r="P113" i="2" a="1"/>
  <c r="P113" i="2" s="1"/>
  <c r="N113" i="2" a="1"/>
  <c r="N113" i="2" s="1"/>
  <c r="M113" i="2" a="1"/>
  <c r="M113" i="2" s="1"/>
  <c r="L113" i="2" a="1"/>
  <c r="L113" i="2" s="1"/>
  <c r="J113" i="2" a="1"/>
  <c r="J113" i="2" s="1"/>
  <c r="I113" i="2" a="1"/>
  <c r="I113" i="2" s="1"/>
  <c r="H113" i="2" a="1"/>
  <c r="H113" i="2" s="1"/>
  <c r="G113" i="2" a="1"/>
  <c r="G113" i="2" s="1"/>
  <c r="F113" i="2" a="1"/>
  <c r="F113" i="2"/>
  <c r="P112" i="2" a="1"/>
  <c r="P112" i="2" s="1"/>
  <c r="N112" i="2" a="1"/>
  <c r="N112" i="2" s="1"/>
  <c r="M112" i="2" a="1"/>
  <c r="M112" i="2" s="1"/>
  <c r="L112" i="2" a="1"/>
  <c r="L112" i="2" s="1"/>
  <c r="J112" i="2" a="1"/>
  <c r="J112" i="2" s="1"/>
  <c r="I112" i="2" a="1"/>
  <c r="I112" i="2" s="1"/>
  <c r="H112" i="2" a="1"/>
  <c r="H112" i="2" s="1"/>
  <c r="G112" i="2" a="1"/>
  <c r="G112" i="2" s="1"/>
  <c r="F112" i="2" a="1"/>
  <c r="F112" i="2" s="1"/>
  <c r="P111" i="2" a="1"/>
  <c r="P111" i="2" s="1"/>
  <c r="N111" i="2" a="1"/>
  <c r="N111" i="2" s="1"/>
  <c r="M111" i="2" a="1"/>
  <c r="M111" i="2" s="1"/>
  <c r="L111" i="2" a="1"/>
  <c r="L111" i="2" s="1"/>
  <c r="J111" i="2" a="1"/>
  <c r="J111" i="2" s="1"/>
  <c r="I111" i="2" a="1"/>
  <c r="I111" i="2" s="1"/>
  <c r="H111" i="2" a="1"/>
  <c r="H111" i="2"/>
  <c r="G111" i="2" a="1"/>
  <c r="G111" i="2" s="1"/>
  <c r="F111" i="2" a="1"/>
  <c r="F111" i="2" s="1"/>
  <c r="P110" i="2" a="1"/>
  <c r="P110" i="2" s="1"/>
  <c r="N110" i="2" a="1"/>
  <c r="N110" i="2" s="1"/>
  <c r="M110" i="2" a="1"/>
  <c r="M110" i="2" s="1"/>
  <c r="L110" i="2" a="1"/>
  <c r="L110" i="2" s="1"/>
  <c r="J110" i="2" a="1"/>
  <c r="J110" i="2" s="1"/>
  <c r="I110" i="2" a="1"/>
  <c r="I110" i="2" s="1"/>
  <c r="H110" i="2" a="1"/>
  <c r="H110" i="2" s="1"/>
  <c r="G110" i="2" a="1"/>
  <c r="G110" i="2" s="1"/>
  <c r="F110" i="2" a="1"/>
  <c r="F110" i="2" s="1"/>
  <c r="P109" i="2" a="1"/>
  <c r="P109" i="2" s="1"/>
  <c r="N109" i="2" a="1"/>
  <c r="N109" i="2" s="1"/>
  <c r="M109" i="2" a="1"/>
  <c r="M109" i="2" s="1"/>
  <c r="L109" i="2" a="1"/>
  <c r="L109" i="2" s="1"/>
  <c r="J109" i="2" a="1"/>
  <c r="J109" i="2" s="1"/>
  <c r="I109" i="2" a="1"/>
  <c r="I109" i="2" s="1"/>
  <c r="H109" i="2" a="1"/>
  <c r="H109" i="2" s="1"/>
  <c r="G109" i="2" a="1"/>
  <c r="G109" i="2" s="1"/>
  <c r="F109" i="2" a="1"/>
  <c r="F109" i="2" s="1"/>
  <c r="P108" i="2" a="1"/>
  <c r="P108" i="2" s="1"/>
  <c r="N108" i="2" a="1"/>
  <c r="N108" i="2" s="1"/>
  <c r="M108" i="2" a="1"/>
  <c r="M108" i="2" s="1"/>
  <c r="L108" i="2" a="1"/>
  <c r="L108" i="2" s="1"/>
  <c r="J108" i="2" a="1"/>
  <c r="J108" i="2" s="1"/>
  <c r="I108" i="2" a="1"/>
  <c r="I108" i="2" s="1"/>
  <c r="H108" i="2" a="1"/>
  <c r="H108" i="2" s="1"/>
  <c r="G108" i="2" a="1"/>
  <c r="G108" i="2" s="1"/>
  <c r="F108" i="2" a="1"/>
  <c r="F108" i="2" s="1"/>
  <c r="P107" i="2" a="1"/>
  <c r="P107" i="2" s="1"/>
  <c r="N107" i="2" a="1"/>
  <c r="N107" i="2" s="1"/>
  <c r="M107" i="2" a="1"/>
  <c r="M107" i="2" s="1"/>
  <c r="L107" i="2" a="1"/>
  <c r="L107" i="2" s="1"/>
  <c r="J107" i="2" a="1"/>
  <c r="J107" i="2" s="1"/>
  <c r="I107" i="2" a="1"/>
  <c r="I107" i="2" s="1"/>
  <c r="H107" i="2" a="1"/>
  <c r="H107" i="2" s="1"/>
  <c r="G107" i="2" a="1"/>
  <c r="G107" i="2" s="1"/>
  <c r="F107" i="2" a="1"/>
  <c r="F107" i="2" s="1"/>
  <c r="P106" i="2" a="1"/>
  <c r="P106" i="2" s="1"/>
  <c r="N106" i="2" a="1"/>
  <c r="N106" i="2" s="1"/>
  <c r="M106" i="2" a="1"/>
  <c r="M106" i="2" s="1"/>
  <c r="L106" i="2" a="1"/>
  <c r="L106" i="2" s="1"/>
  <c r="J106" i="2" a="1"/>
  <c r="J106" i="2" s="1"/>
  <c r="I106" i="2" a="1"/>
  <c r="I106" i="2" s="1"/>
  <c r="H106" i="2" a="1"/>
  <c r="H106" i="2" s="1"/>
  <c r="G106" i="2" a="1"/>
  <c r="G106" i="2" s="1"/>
  <c r="F106" i="2" a="1"/>
  <c r="F106" i="2" s="1"/>
  <c r="P105" i="2" a="1"/>
  <c r="P105" i="2" s="1"/>
  <c r="N105" i="2" a="1"/>
  <c r="N105" i="2" s="1"/>
  <c r="M105" i="2" a="1"/>
  <c r="M105" i="2"/>
  <c r="L105" i="2" a="1"/>
  <c r="L105" i="2" s="1"/>
  <c r="J105" i="2" a="1"/>
  <c r="J105" i="2" s="1"/>
  <c r="I105" i="2" a="1"/>
  <c r="I105" i="2" s="1"/>
  <c r="H105" i="2" a="1"/>
  <c r="H105" i="2" s="1"/>
  <c r="G105" i="2" a="1"/>
  <c r="G105" i="2" s="1"/>
  <c r="F105" i="2" a="1"/>
  <c r="F105" i="2" s="1"/>
  <c r="P104" i="2" a="1"/>
  <c r="P104" i="2" s="1"/>
  <c r="N104" i="2" a="1"/>
  <c r="N104" i="2" s="1"/>
  <c r="M104" i="2" a="1"/>
  <c r="M104" i="2" s="1"/>
  <c r="L104" i="2" a="1"/>
  <c r="L104" i="2" s="1"/>
  <c r="J104" i="2" a="1"/>
  <c r="J104" i="2" s="1"/>
  <c r="I104" i="2" a="1"/>
  <c r="I104" i="2" s="1"/>
  <c r="H104" i="2" a="1"/>
  <c r="H104" i="2" s="1"/>
  <c r="G104" i="2" a="1"/>
  <c r="G104" i="2" s="1"/>
  <c r="F104" i="2" a="1"/>
  <c r="F104" i="2" s="1"/>
  <c r="P103" i="2" a="1"/>
  <c r="P103" i="2" s="1"/>
  <c r="N103" i="2" a="1"/>
  <c r="N103" i="2" s="1"/>
  <c r="M103" i="2" a="1"/>
  <c r="M103" i="2" s="1"/>
  <c r="L103" i="2" a="1"/>
  <c r="L103" i="2" s="1"/>
  <c r="J103" i="2" a="1"/>
  <c r="J103" i="2" s="1"/>
  <c r="I103" i="2" a="1"/>
  <c r="I103" i="2" s="1"/>
  <c r="H103" i="2" a="1"/>
  <c r="H103" i="2" s="1"/>
  <c r="G103" i="2" a="1"/>
  <c r="G103" i="2" s="1"/>
  <c r="F103" i="2" a="1"/>
  <c r="F103" i="2" s="1"/>
  <c r="P102" i="2" a="1"/>
  <c r="P102" i="2" s="1"/>
  <c r="N102" i="2" a="1"/>
  <c r="N102" i="2" s="1"/>
  <c r="M102" i="2" a="1"/>
  <c r="M102" i="2" s="1"/>
  <c r="L102" i="2" a="1"/>
  <c r="L102" i="2" s="1"/>
  <c r="J102" i="2" a="1"/>
  <c r="J102" i="2" s="1"/>
  <c r="I102" i="2" a="1"/>
  <c r="I102" i="2" s="1"/>
  <c r="H102" i="2" a="1"/>
  <c r="H102" i="2" s="1"/>
  <c r="G102" i="2" a="1"/>
  <c r="G102" i="2" s="1"/>
  <c r="F102" i="2" a="1"/>
  <c r="F102" i="2" s="1"/>
  <c r="P101" i="2" a="1"/>
  <c r="P101" i="2" s="1"/>
  <c r="N101" i="2" a="1"/>
  <c r="N101" i="2" s="1"/>
  <c r="M101" i="2" a="1"/>
  <c r="M101" i="2" s="1"/>
  <c r="L101" i="2" a="1"/>
  <c r="L101" i="2" s="1"/>
  <c r="J101" i="2" a="1"/>
  <c r="J101" i="2"/>
  <c r="I101" i="2" a="1"/>
  <c r="I101" i="2" s="1"/>
  <c r="H101" i="2" a="1"/>
  <c r="H101" i="2" s="1"/>
  <c r="G101" i="2" a="1"/>
  <c r="G101" i="2" s="1"/>
  <c r="F101" i="2" a="1"/>
  <c r="F101" i="2" s="1"/>
  <c r="P100" i="2" a="1"/>
  <c r="P100" i="2" s="1"/>
  <c r="N100" i="2" a="1"/>
  <c r="N100" i="2" s="1"/>
  <c r="M100" i="2" a="1"/>
  <c r="M100" i="2" s="1"/>
  <c r="L100" i="2" a="1"/>
  <c r="L100" i="2" s="1"/>
  <c r="J100" i="2" a="1"/>
  <c r="J100" i="2" s="1"/>
  <c r="I100" i="2" a="1"/>
  <c r="I100" i="2" s="1"/>
  <c r="H100" i="2" a="1"/>
  <c r="H100" i="2" s="1"/>
  <c r="G100" i="2" a="1"/>
  <c r="G100" i="2" s="1"/>
  <c r="F100" i="2" a="1"/>
  <c r="F100" i="2" s="1"/>
  <c r="P99" i="2" a="1"/>
  <c r="P99" i="2"/>
  <c r="N99" i="2" a="1"/>
  <c r="N99" i="2" s="1"/>
  <c r="M99" i="2" a="1"/>
  <c r="M99" i="2" s="1"/>
  <c r="L99" i="2" a="1"/>
  <c r="L99" i="2" s="1"/>
  <c r="J99" i="2" a="1"/>
  <c r="J99" i="2" s="1"/>
  <c r="I99" i="2" a="1"/>
  <c r="I99" i="2" s="1"/>
  <c r="H99" i="2" a="1"/>
  <c r="H99" i="2" s="1"/>
  <c r="G99" i="2" a="1"/>
  <c r="G99" i="2" s="1"/>
  <c r="F99" i="2" a="1"/>
  <c r="F99" i="2" s="1"/>
  <c r="P98" i="2" a="1"/>
  <c r="P98" i="2" s="1"/>
  <c r="N98" i="2" a="1"/>
  <c r="N98" i="2" s="1"/>
  <c r="M98" i="2" a="1"/>
  <c r="M98" i="2" s="1"/>
  <c r="L98" i="2" a="1"/>
  <c r="L98" i="2" s="1"/>
  <c r="J98" i="2" a="1"/>
  <c r="J98" i="2" s="1"/>
  <c r="I98" i="2" a="1"/>
  <c r="I98" i="2" s="1"/>
  <c r="H98" i="2" a="1"/>
  <c r="H98" i="2" s="1"/>
  <c r="G98" i="2" a="1"/>
  <c r="G98" i="2" s="1"/>
  <c r="F98" i="2" a="1"/>
  <c r="F98" i="2" s="1"/>
  <c r="P97" i="2" a="1"/>
  <c r="P97" i="2" s="1"/>
  <c r="N97" i="2" a="1"/>
  <c r="N97" i="2" s="1"/>
  <c r="M97" i="2" a="1"/>
  <c r="M97" i="2" s="1"/>
  <c r="L97" i="2" a="1"/>
  <c r="L97" i="2" s="1"/>
  <c r="J97" i="2" a="1"/>
  <c r="J97" i="2" s="1"/>
  <c r="I97" i="2" a="1"/>
  <c r="I97" i="2" s="1"/>
  <c r="H97" i="2" a="1"/>
  <c r="H97" i="2" s="1"/>
  <c r="G97" i="2" a="1"/>
  <c r="G97" i="2"/>
  <c r="F97" i="2" a="1"/>
  <c r="F97" i="2" s="1"/>
  <c r="P96" i="2" a="1"/>
  <c r="P96" i="2" s="1"/>
  <c r="N96" i="2" a="1"/>
  <c r="N96" i="2" s="1"/>
  <c r="M96" i="2" a="1"/>
  <c r="M96" i="2" s="1"/>
  <c r="L96" i="2" a="1"/>
  <c r="L96" i="2" s="1"/>
  <c r="J96" i="2" a="1"/>
  <c r="J96" i="2" s="1"/>
  <c r="I96" i="2" a="1"/>
  <c r="I96" i="2" s="1"/>
  <c r="H96" i="2" a="1"/>
  <c r="H96" i="2" s="1"/>
  <c r="G96" i="2" a="1"/>
  <c r="G96" i="2"/>
  <c r="F96" i="2" a="1"/>
  <c r="F96" i="2" s="1"/>
  <c r="P95" i="2" a="1"/>
  <c r="P95" i="2" s="1"/>
  <c r="N95" i="2" a="1"/>
  <c r="N95" i="2" s="1"/>
  <c r="M95" i="2" a="1"/>
  <c r="M95" i="2" s="1"/>
  <c r="L95" i="2" a="1"/>
  <c r="L95" i="2" s="1"/>
  <c r="J95" i="2" a="1"/>
  <c r="J95" i="2" s="1"/>
  <c r="I95" i="2" a="1"/>
  <c r="I95" i="2" s="1"/>
  <c r="H95" i="2" a="1"/>
  <c r="H95" i="2" s="1"/>
  <c r="G95" i="2" a="1"/>
  <c r="G95" i="2" s="1"/>
  <c r="F95" i="2" a="1"/>
  <c r="F95" i="2"/>
  <c r="P94" i="2" a="1"/>
  <c r="P94" i="2" s="1"/>
  <c r="N94" i="2" a="1"/>
  <c r="N94" i="2" s="1"/>
  <c r="M94" i="2" a="1"/>
  <c r="M94" i="2" s="1"/>
  <c r="L94" i="2" a="1"/>
  <c r="L94" i="2" s="1"/>
  <c r="J94" i="2" a="1"/>
  <c r="J94" i="2" s="1"/>
  <c r="I94" i="2" a="1"/>
  <c r="I94" i="2" s="1"/>
  <c r="H94" i="2" a="1"/>
  <c r="H94" i="2" s="1"/>
  <c r="G94" i="2" a="1"/>
  <c r="G94" i="2" s="1"/>
  <c r="F94" i="2" a="1"/>
  <c r="F94" i="2"/>
  <c r="P93" i="2" a="1"/>
  <c r="P93" i="2" s="1"/>
  <c r="N93" i="2" a="1"/>
  <c r="N93" i="2" s="1"/>
  <c r="M93" i="2" a="1"/>
  <c r="M93" i="2" s="1"/>
  <c r="L93" i="2" a="1"/>
  <c r="L93" i="2" s="1"/>
  <c r="J93" i="2" a="1"/>
  <c r="J93" i="2" s="1"/>
  <c r="I93" i="2" a="1"/>
  <c r="I93" i="2" s="1"/>
  <c r="H93" i="2" a="1"/>
  <c r="H93" i="2" s="1"/>
  <c r="G93" i="2" a="1"/>
  <c r="G93" i="2" s="1"/>
  <c r="F93" i="2" a="1"/>
  <c r="F93" i="2" s="1"/>
  <c r="P92" i="2" a="1"/>
  <c r="P92" i="2" s="1"/>
  <c r="N92" i="2" a="1"/>
  <c r="N92" i="2" s="1"/>
  <c r="M92" i="2" a="1"/>
  <c r="M92" i="2"/>
  <c r="L92" i="2" a="1"/>
  <c r="L92" i="2" s="1"/>
  <c r="J92" i="2" a="1"/>
  <c r="J92" i="2" s="1"/>
  <c r="I92" i="2" a="1"/>
  <c r="I92" i="2" s="1"/>
  <c r="H92" i="2" a="1"/>
  <c r="H92" i="2" s="1"/>
  <c r="G92" i="2" a="1"/>
  <c r="G92" i="2" s="1"/>
  <c r="F92" i="2" a="1"/>
  <c r="F92" i="2" s="1"/>
  <c r="P91" i="2" a="1"/>
  <c r="P91" i="2" s="1"/>
  <c r="N91" i="2" a="1"/>
  <c r="N91" i="2" s="1"/>
  <c r="M91" i="2" a="1"/>
  <c r="M91" i="2" s="1"/>
  <c r="L91" i="2" a="1"/>
  <c r="L91" i="2" s="1"/>
  <c r="J91" i="2" a="1"/>
  <c r="J91" i="2" s="1"/>
  <c r="I91" i="2" a="1"/>
  <c r="I91" i="2" s="1"/>
  <c r="H91" i="2" a="1"/>
  <c r="H91" i="2" s="1"/>
  <c r="G91" i="2" a="1"/>
  <c r="G91" i="2" s="1"/>
  <c r="F91" i="2" a="1"/>
  <c r="F91" i="2" s="1"/>
  <c r="P90" i="2" a="1"/>
  <c r="P90" i="2" s="1"/>
  <c r="N90" i="2" a="1"/>
  <c r="N90" i="2" s="1"/>
  <c r="M90" i="2" a="1"/>
  <c r="M90" i="2" s="1"/>
  <c r="L90" i="2" a="1"/>
  <c r="L90" i="2" s="1"/>
  <c r="J90" i="2" a="1"/>
  <c r="J90" i="2" s="1"/>
  <c r="I90" i="2" a="1"/>
  <c r="I90" i="2"/>
  <c r="H90" i="2" a="1"/>
  <c r="H90" i="2" s="1"/>
  <c r="G90" i="2" a="1"/>
  <c r="G90" i="2" s="1"/>
  <c r="F90" i="2" a="1"/>
  <c r="F90" i="2" s="1"/>
  <c r="P89" i="2" a="1"/>
  <c r="P89" i="2" s="1"/>
  <c r="N89" i="2" a="1"/>
  <c r="N89" i="2" s="1"/>
  <c r="M89" i="2" a="1"/>
  <c r="M89" i="2" s="1"/>
  <c r="L89" i="2" a="1"/>
  <c r="L89" i="2" s="1"/>
  <c r="J89" i="2" a="1"/>
  <c r="J89" i="2"/>
  <c r="I89" i="2" a="1"/>
  <c r="I89" i="2" s="1"/>
  <c r="H89" i="2" a="1"/>
  <c r="H89" i="2" s="1"/>
  <c r="G89" i="2" a="1"/>
  <c r="G89" i="2" s="1"/>
  <c r="F89" i="2" a="1"/>
  <c r="F89" i="2" s="1"/>
  <c r="P88" i="2" a="1"/>
  <c r="P88" i="2" s="1"/>
  <c r="N88" i="2" a="1"/>
  <c r="N88" i="2" s="1"/>
  <c r="M88" i="2" a="1"/>
  <c r="M88" i="2" s="1"/>
  <c r="L88" i="2" a="1"/>
  <c r="L88" i="2" s="1"/>
  <c r="J88" i="2" a="1"/>
  <c r="J88" i="2" s="1"/>
  <c r="I88" i="2" a="1"/>
  <c r="I88" i="2" s="1"/>
  <c r="H88" i="2" a="1"/>
  <c r="H88" i="2" s="1"/>
  <c r="G88" i="2" a="1"/>
  <c r="G88" i="2" s="1"/>
  <c r="F88" i="2" a="1"/>
  <c r="F88" i="2" s="1"/>
  <c r="P87" i="2" a="1"/>
  <c r="P87" i="2" s="1"/>
  <c r="N87" i="2" a="1"/>
  <c r="N87" i="2"/>
  <c r="M87" i="2" a="1"/>
  <c r="M87" i="2" s="1"/>
  <c r="L87" i="2" a="1"/>
  <c r="L87" i="2" s="1"/>
  <c r="J87" i="2" a="1"/>
  <c r="J87" i="2" s="1"/>
  <c r="I87" i="2" a="1"/>
  <c r="I87" i="2" s="1"/>
  <c r="H87" i="2" a="1"/>
  <c r="H87" i="2" s="1"/>
  <c r="G87" i="2" a="1"/>
  <c r="G87" i="2" s="1"/>
  <c r="F87" i="2" a="1"/>
  <c r="F87" i="2" s="1"/>
  <c r="P86" i="2" a="1"/>
  <c r="P86" i="2" s="1"/>
  <c r="N86" i="2" a="1"/>
  <c r="N86" i="2" s="1"/>
  <c r="M86" i="2" a="1"/>
  <c r="M86" i="2" s="1"/>
  <c r="L86" i="2" a="1"/>
  <c r="L86" i="2" s="1"/>
  <c r="J86" i="2" a="1"/>
  <c r="J86" i="2" s="1"/>
  <c r="I86" i="2" a="1"/>
  <c r="I86" i="2" s="1"/>
  <c r="H86" i="2" a="1"/>
  <c r="H86" i="2" s="1"/>
  <c r="G86" i="2" a="1"/>
  <c r="G86" i="2" s="1"/>
  <c r="F86" i="2" a="1"/>
  <c r="F86" i="2" s="1"/>
  <c r="P85" i="2" a="1"/>
  <c r="P85" i="2" s="1"/>
  <c r="N85" i="2" a="1"/>
  <c r="N85" i="2" s="1"/>
  <c r="M85" i="2" a="1"/>
  <c r="M85" i="2" s="1"/>
  <c r="L85" i="2" a="1"/>
  <c r="L85" i="2" s="1"/>
  <c r="J85" i="2" a="1"/>
  <c r="J85" i="2" s="1"/>
  <c r="I85" i="2" a="1"/>
  <c r="I85" i="2" s="1"/>
  <c r="H85" i="2" a="1"/>
  <c r="H85" i="2" s="1"/>
  <c r="G85" i="2" a="1"/>
  <c r="G85" i="2" s="1"/>
  <c r="F85" i="2" a="1"/>
  <c r="F85" i="2" s="1"/>
  <c r="P84" i="2" a="1"/>
  <c r="P84" i="2" s="1"/>
  <c r="N84" i="2" a="1"/>
  <c r="N84" i="2" s="1"/>
  <c r="M84" i="2" a="1"/>
  <c r="M84" i="2" s="1"/>
  <c r="L84" i="2" a="1"/>
  <c r="L84" i="2" s="1"/>
  <c r="J84" i="2" a="1"/>
  <c r="J84" i="2" s="1"/>
  <c r="I84" i="2" a="1"/>
  <c r="I84" i="2" s="1"/>
  <c r="H84" i="2" a="1"/>
  <c r="H84" i="2" s="1"/>
  <c r="G84" i="2" a="1"/>
  <c r="G84" i="2" s="1"/>
  <c r="F84" i="2" a="1"/>
  <c r="F84" i="2" s="1"/>
  <c r="P83" i="2" a="1"/>
  <c r="P83" i="2" s="1"/>
  <c r="N83" i="2" a="1"/>
  <c r="N83" i="2" s="1"/>
  <c r="M83" i="2" a="1"/>
  <c r="M83" i="2" s="1"/>
  <c r="L83" i="2" a="1"/>
  <c r="L83" i="2" s="1"/>
  <c r="J83" i="2" a="1"/>
  <c r="J83" i="2" s="1"/>
  <c r="I83" i="2" a="1"/>
  <c r="I83" i="2"/>
  <c r="H83" i="2" a="1"/>
  <c r="H83" i="2"/>
  <c r="G83" i="2" a="1"/>
  <c r="G83" i="2" s="1"/>
  <c r="F83" i="2" a="1"/>
  <c r="F83" i="2" s="1"/>
  <c r="P82" i="2" a="1"/>
  <c r="P82" i="2" s="1"/>
  <c r="N82" i="2" a="1"/>
  <c r="N82" i="2" s="1"/>
  <c r="M82" i="2" a="1"/>
  <c r="M82" i="2" s="1"/>
  <c r="L82" i="2" a="1"/>
  <c r="L82" i="2" s="1"/>
  <c r="J82" i="2" a="1"/>
  <c r="J82" i="2" s="1"/>
  <c r="I82" i="2" a="1"/>
  <c r="I82" i="2" s="1"/>
  <c r="H82" i="2" a="1"/>
  <c r="H82" i="2" s="1"/>
  <c r="G82" i="2" a="1"/>
  <c r="G82" i="2" s="1"/>
  <c r="F82" i="2" a="1"/>
  <c r="F82" i="2" s="1"/>
  <c r="P81" i="2" a="1"/>
  <c r="P81" i="2" s="1"/>
  <c r="N81" i="2" a="1"/>
  <c r="N81" i="2"/>
  <c r="M81" i="2" a="1"/>
  <c r="M81" i="2" s="1"/>
  <c r="L81" i="2" a="1"/>
  <c r="L81" i="2" s="1"/>
  <c r="J81" i="2" a="1"/>
  <c r="J81" i="2" s="1"/>
  <c r="I81" i="2" a="1"/>
  <c r="I81" i="2" s="1"/>
  <c r="H81" i="2" a="1"/>
  <c r="H81" i="2" s="1"/>
  <c r="G81" i="2" a="1"/>
  <c r="G81" i="2" s="1"/>
  <c r="F81" i="2" a="1"/>
  <c r="F81" i="2"/>
  <c r="P80" i="2" a="1"/>
  <c r="P80" i="2" s="1"/>
  <c r="N80" i="2" a="1"/>
  <c r="N80" i="2" s="1"/>
  <c r="M80" i="2" a="1"/>
  <c r="M80" i="2" s="1"/>
  <c r="L80" i="2" a="1"/>
  <c r="L80" i="2" s="1"/>
  <c r="J80" i="2" a="1"/>
  <c r="J80" i="2" s="1"/>
  <c r="I80" i="2" a="1"/>
  <c r="I80" i="2" s="1"/>
  <c r="H80" i="2" a="1"/>
  <c r="H80" i="2" s="1"/>
  <c r="G80" i="2" a="1"/>
  <c r="G80" i="2" s="1"/>
  <c r="F80" i="2" a="1"/>
  <c r="F80" i="2" s="1"/>
  <c r="P79" i="2" a="1"/>
  <c r="P79" i="2" s="1"/>
  <c r="N79" i="2" a="1"/>
  <c r="N79" i="2" s="1"/>
  <c r="M79" i="2" a="1"/>
  <c r="M79" i="2"/>
  <c r="L79" i="2" a="1"/>
  <c r="L79" i="2" s="1"/>
  <c r="J79" i="2" a="1"/>
  <c r="J79" i="2" s="1"/>
  <c r="I79" i="2" a="1"/>
  <c r="I79" i="2"/>
  <c r="H79" i="2" a="1"/>
  <c r="H79" i="2" s="1"/>
  <c r="G79" i="2" a="1"/>
  <c r="G79" i="2" s="1"/>
  <c r="F79" i="2" a="1"/>
  <c r="F79" i="2" s="1"/>
  <c r="P78" i="2" a="1"/>
  <c r="P78" i="2" s="1"/>
  <c r="N78" i="2" a="1"/>
  <c r="N78" i="2" s="1"/>
  <c r="M78" i="2" a="1"/>
  <c r="M78" i="2" s="1"/>
  <c r="L78" i="2" a="1"/>
  <c r="L78" i="2" s="1"/>
  <c r="J78" i="2" a="1"/>
  <c r="J78" i="2" s="1"/>
  <c r="I78" i="2" a="1"/>
  <c r="I78" i="2" s="1"/>
  <c r="H78" i="2" a="1"/>
  <c r="H78" i="2" s="1"/>
  <c r="G78" i="2" a="1"/>
  <c r="G78" i="2" s="1"/>
  <c r="F78" i="2" a="1"/>
  <c r="F78" i="2" s="1"/>
  <c r="P77" i="2" a="1"/>
  <c r="P77" i="2"/>
  <c r="N77" i="2" a="1"/>
  <c r="N77" i="2" s="1"/>
  <c r="M77" i="2" a="1"/>
  <c r="M77" i="2" s="1"/>
  <c r="L77" i="2" a="1"/>
  <c r="L77" i="2" s="1"/>
  <c r="J77" i="2" a="1"/>
  <c r="J77" i="2" s="1"/>
  <c r="I77" i="2" a="1"/>
  <c r="I77" i="2" s="1"/>
  <c r="H77" i="2" a="1"/>
  <c r="H77" i="2"/>
  <c r="G77" i="2" a="1"/>
  <c r="G77" i="2" s="1"/>
  <c r="F77" i="2" a="1"/>
  <c r="F77" i="2" s="1"/>
  <c r="P76" i="2" a="1"/>
  <c r="P76" i="2" s="1"/>
  <c r="N76" i="2" a="1"/>
  <c r="N76" i="2" s="1"/>
  <c r="M76" i="2" a="1"/>
  <c r="M76" i="2" s="1"/>
  <c r="L76" i="2" a="1"/>
  <c r="L76" i="2" s="1"/>
  <c r="J76" i="2" a="1"/>
  <c r="J76" i="2" s="1"/>
  <c r="I76" i="2" a="1"/>
  <c r="I76" i="2" s="1"/>
  <c r="H76" i="2" a="1"/>
  <c r="H76" i="2" s="1"/>
  <c r="G76" i="2" a="1"/>
  <c r="G76" i="2" s="1"/>
  <c r="F76" i="2" a="1"/>
  <c r="F76" i="2" s="1"/>
  <c r="P75" i="2" a="1"/>
  <c r="P75" i="2" s="1"/>
  <c r="N75" i="2" a="1"/>
  <c r="N75" i="2" s="1"/>
  <c r="M75" i="2" a="1"/>
  <c r="M75" i="2" s="1"/>
  <c r="L75" i="2" a="1"/>
  <c r="L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P74" i="2" a="1"/>
  <c r="P74" i="2" s="1"/>
  <c r="N74" i="2" a="1"/>
  <c r="N74" i="2" s="1"/>
  <c r="M74" i="2" a="1"/>
  <c r="M74" i="2" s="1"/>
  <c r="L74" i="2" a="1"/>
  <c r="L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P73" i="2" a="1"/>
  <c r="P73" i="2" s="1"/>
  <c r="N73" i="2" a="1"/>
  <c r="N73" i="2" s="1"/>
  <c r="M73" i="2" a="1"/>
  <c r="M73" i="2" s="1"/>
  <c r="L73" i="2" a="1"/>
  <c r="L73" i="2" s="1"/>
  <c r="J73" i="2" a="1"/>
  <c r="J73" i="2" s="1"/>
  <c r="I73" i="2" a="1"/>
  <c r="I73" i="2" s="1"/>
  <c r="H73" i="2" a="1"/>
  <c r="H73" i="2" s="1"/>
  <c r="G73" i="2" a="1"/>
  <c r="G73" i="2" s="1"/>
  <c r="F73" i="2" a="1"/>
  <c r="F73" i="2" s="1"/>
  <c r="P72" i="2" a="1"/>
  <c r="P72" i="2" s="1"/>
  <c r="N72" i="2" a="1"/>
  <c r="N72" i="2" s="1"/>
  <c r="M72" i="2" a="1"/>
  <c r="M72" i="2" s="1"/>
  <c r="L72" i="2" a="1"/>
  <c r="L72" i="2" s="1"/>
  <c r="J72" i="2" a="1"/>
  <c r="J72" i="2" s="1"/>
  <c r="I72" i="2" a="1"/>
  <c r="I72" i="2" s="1"/>
  <c r="H72" i="2" a="1"/>
  <c r="H72" i="2" s="1"/>
  <c r="G72" i="2" a="1"/>
  <c r="G72" i="2" s="1"/>
  <c r="F72" i="2" a="1"/>
  <c r="F72" i="2" s="1"/>
  <c r="P71" i="2" a="1"/>
  <c r="P71" i="2" s="1"/>
  <c r="N71" i="2" a="1"/>
  <c r="N71" i="2" s="1"/>
  <c r="M71" i="2" a="1"/>
  <c r="M71" i="2" s="1"/>
  <c r="L71" i="2" a="1"/>
  <c r="L71" i="2" s="1"/>
  <c r="J71" i="2" a="1"/>
  <c r="J71" i="2" s="1"/>
  <c r="I71" i="2" a="1"/>
  <c r="I71" i="2" s="1"/>
  <c r="H71" i="2" a="1"/>
  <c r="H71" i="2" s="1"/>
  <c r="G71" i="2" a="1"/>
  <c r="G71" i="2" s="1"/>
  <c r="F71" i="2" a="1"/>
  <c r="F71" i="2" s="1"/>
  <c r="P70" i="2" a="1"/>
  <c r="P70" i="2" s="1"/>
  <c r="N70" i="2" a="1"/>
  <c r="N70" i="2" s="1"/>
  <c r="M70" i="2" a="1"/>
  <c r="M70" i="2" s="1"/>
  <c r="L70" i="2" a="1"/>
  <c r="L70" i="2" s="1"/>
  <c r="J70" i="2" a="1"/>
  <c r="J70" i="2" s="1"/>
  <c r="I70" i="2" a="1"/>
  <c r="I70" i="2" s="1"/>
  <c r="H70" i="2" a="1"/>
  <c r="H70" i="2" s="1"/>
  <c r="G70" i="2" a="1"/>
  <c r="G70" i="2" s="1"/>
  <c r="F70" i="2" a="1"/>
  <c r="F70" i="2" s="1"/>
  <c r="P69" i="2" a="1"/>
  <c r="P69" i="2" s="1"/>
  <c r="N69" i="2" a="1"/>
  <c r="N69" i="2" s="1"/>
  <c r="M69" i="2" a="1"/>
  <c r="M69" i="2" s="1"/>
  <c r="L69" i="2" a="1"/>
  <c r="L69" i="2" s="1"/>
  <c r="J69" i="2" a="1"/>
  <c r="J69" i="2" s="1"/>
  <c r="I69" i="2" a="1"/>
  <c r="I69" i="2" s="1"/>
  <c r="H69" i="2" a="1"/>
  <c r="H69" i="2" s="1"/>
  <c r="G69" i="2" a="1"/>
  <c r="G69" i="2" s="1"/>
  <c r="F69" i="2" a="1"/>
  <c r="F69" i="2" s="1"/>
  <c r="P68" i="2" a="1"/>
  <c r="P68" i="2" s="1"/>
  <c r="N68" i="2" a="1"/>
  <c r="N68" i="2" s="1"/>
  <c r="M68" i="2" a="1"/>
  <c r="M68" i="2" s="1"/>
  <c r="L68" i="2" a="1"/>
  <c r="L68" i="2" s="1"/>
  <c r="J68" i="2" a="1"/>
  <c r="J68" i="2" s="1"/>
  <c r="I68" i="2" a="1"/>
  <c r="I68" i="2" s="1"/>
  <c r="H68" i="2" a="1"/>
  <c r="H68" i="2" s="1"/>
  <c r="G68" i="2" a="1"/>
  <c r="G68" i="2" s="1"/>
  <c r="F68" i="2" a="1"/>
  <c r="F68" i="2" s="1"/>
  <c r="P67" i="2" a="1"/>
  <c r="P67" i="2" s="1"/>
  <c r="N67" i="2" a="1"/>
  <c r="N67" i="2" s="1"/>
  <c r="M67" i="2" a="1"/>
  <c r="M67" i="2" s="1"/>
  <c r="L67" i="2" a="1"/>
  <c r="L67" i="2" s="1"/>
  <c r="J67" i="2" a="1"/>
  <c r="J67" i="2" s="1"/>
  <c r="I67" i="2" a="1"/>
  <c r="I67" i="2" s="1"/>
  <c r="H67" i="2" a="1"/>
  <c r="H67" i="2" s="1"/>
  <c r="G67" i="2" a="1"/>
  <c r="G67" i="2" s="1"/>
  <c r="F67" i="2" a="1"/>
  <c r="F67" i="2" s="1"/>
  <c r="P66" i="2" a="1"/>
  <c r="P66" i="2" s="1"/>
  <c r="N66" i="2" a="1"/>
  <c r="N66" i="2" s="1"/>
  <c r="M66" i="2" a="1"/>
  <c r="M66" i="2" s="1"/>
  <c r="L66" i="2" a="1"/>
  <c r="L66" i="2" s="1"/>
  <c r="J66" i="2" a="1"/>
  <c r="J66" i="2" s="1"/>
  <c r="I66" i="2" a="1"/>
  <c r="I66" i="2" s="1"/>
  <c r="H66" i="2" a="1"/>
  <c r="H66" i="2"/>
  <c r="G66" i="2" a="1"/>
  <c r="G66" i="2" s="1"/>
  <c r="F66" i="2" a="1"/>
  <c r="F66" i="2" s="1"/>
  <c r="P65" i="2" a="1"/>
  <c r="P65" i="2"/>
  <c r="N65" i="2" a="1"/>
  <c r="N65" i="2" s="1"/>
  <c r="M65" i="2" a="1"/>
  <c r="M65" i="2" s="1"/>
  <c r="L65" i="2" a="1"/>
  <c r="L65" i="2" s="1"/>
  <c r="J65" i="2" a="1"/>
  <c r="J65" i="2" s="1"/>
  <c r="I65" i="2" a="1"/>
  <c r="I65" i="2" s="1"/>
  <c r="H65" i="2" a="1"/>
  <c r="H65" i="2"/>
  <c r="G65" i="2" a="1"/>
  <c r="G65" i="2" s="1"/>
  <c r="F65" i="2" a="1"/>
  <c r="F65" i="2" s="1"/>
  <c r="P64" i="2" a="1"/>
  <c r="P64" i="2" s="1"/>
  <c r="N64" i="2" a="1"/>
  <c r="N64" i="2" s="1"/>
  <c r="M64" i="2" a="1"/>
  <c r="M64" i="2" s="1"/>
  <c r="L64" i="2" a="1"/>
  <c r="L64" i="2" s="1"/>
  <c r="J64" i="2" a="1"/>
  <c r="J64" i="2" s="1"/>
  <c r="I64" i="2" a="1"/>
  <c r="I64" i="2" s="1"/>
  <c r="H64" i="2" a="1"/>
  <c r="H64" i="2" s="1"/>
  <c r="G64" i="2" a="1"/>
  <c r="G64" i="2" s="1"/>
  <c r="F64" i="2" a="1"/>
  <c r="F64" i="2" s="1"/>
  <c r="P63" i="2" a="1"/>
  <c r="P63" i="2" s="1"/>
  <c r="N63" i="2" a="1"/>
  <c r="N63" i="2" s="1"/>
  <c r="M63" i="2" a="1"/>
  <c r="M63" i="2" s="1"/>
  <c r="L63" i="2" a="1"/>
  <c r="L63" i="2" s="1"/>
  <c r="J63" i="2" a="1"/>
  <c r="J63" i="2" s="1"/>
  <c r="I63" i="2" a="1"/>
  <c r="I63" i="2" s="1"/>
  <c r="H63" i="2" a="1"/>
  <c r="H63" i="2" s="1"/>
  <c r="G63" i="2" a="1"/>
  <c r="G63" i="2" s="1"/>
  <c r="F63" i="2" a="1"/>
  <c r="F63" i="2"/>
  <c r="P62" i="2" a="1"/>
  <c r="P62" i="2" s="1"/>
  <c r="N62" i="2" a="1"/>
  <c r="N62" i="2" s="1"/>
  <c r="M62" i="2" a="1"/>
  <c r="M62" i="2" s="1"/>
  <c r="L62" i="2" a="1"/>
  <c r="L62" i="2" s="1"/>
  <c r="J62" i="2" a="1"/>
  <c r="J62" i="2" s="1"/>
  <c r="I62" i="2" a="1"/>
  <c r="I62" i="2" s="1"/>
  <c r="H62" i="2" a="1"/>
  <c r="H62" i="2" s="1"/>
  <c r="G62" i="2" a="1"/>
  <c r="G62" i="2" s="1"/>
  <c r="F62" i="2" a="1"/>
  <c r="F62" i="2" s="1"/>
  <c r="P61" i="2" a="1"/>
  <c r="P61" i="2" s="1"/>
  <c r="N61" i="2" a="1"/>
  <c r="N61" i="2" s="1"/>
  <c r="M61" i="2" a="1"/>
  <c r="M61" i="2" s="1"/>
  <c r="L61" i="2" a="1"/>
  <c r="L61" i="2" s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P60" i="2" a="1"/>
  <c r="P60" i="2" s="1"/>
  <c r="N60" i="2" a="1"/>
  <c r="N60" i="2" s="1"/>
  <c r="M60" i="2" a="1"/>
  <c r="M60" i="2" s="1"/>
  <c r="L60" i="2" a="1"/>
  <c r="L60" i="2" s="1"/>
  <c r="J60" i="2" a="1"/>
  <c r="J60" i="2" s="1"/>
  <c r="I60" i="2" a="1"/>
  <c r="I60" i="2" s="1"/>
  <c r="H60" i="2" a="1"/>
  <c r="H60" i="2" s="1"/>
  <c r="G60" i="2" a="1"/>
  <c r="G60" i="2" s="1"/>
  <c r="F60" i="2" a="1"/>
  <c r="F60" i="2" s="1"/>
  <c r="P59" i="2" a="1"/>
  <c r="P59" i="2" s="1"/>
  <c r="N59" i="2" a="1"/>
  <c r="N59" i="2" s="1"/>
  <c r="M59" i="2" a="1"/>
  <c r="M59" i="2" s="1"/>
  <c r="L59" i="2" a="1"/>
  <c r="L59" i="2" s="1"/>
  <c r="J59" i="2" a="1"/>
  <c r="J59" i="2" s="1"/>
  <c r="I59" i="2" a="1"/>
  <c r="I59" i="2" s="1"/>
  <c r="H59" i="2" a="1"/>
  <c r="H59" i="2" s="1"/>
  <c r="G59" i="2" a="1"/>
  <c r="G59" i="2"/>
  <c r="F59" i="2" a="1"/>
  <c r="F59" i="2" s="1"/>
  <c r="P58" i="2" a="1"/>
  <c r="P58" i="2" s="1"/>
  <c r="N58" i="2" a="1"/>
  <c r="N58" i="2" s="1"/>
  <c r="M58" i="2" a="1"/>
  <c r="M58" i="2" s="1"/>
  <c r="L58" i="2" a="1"/>
  <c r="L58" i="2" s="1"/>
  <c r="J58" i="2" a="1"/>
  <c r="J58" i="2" s="1"/>
  <c r="I58" i="2" a="1"/>
  <c r="I58" i="2" s="1"/>
  <c r="H58" i="2" a="1"/>
  <c r="H58" i="2" s="1"/>
  <c r="G58" i="2" a="1"/>
  <c r="G58" i="2" s="1"/>
  <c r="F58" i="2" a="1"/>
  <c r="F58" i="2" s="1"/>
  <c r="P57" i="2" a="1"/>
  <c r="P57" i="2" s="1"/>
  <c r="N57" i="2" a="1"/>
  <c r="N57" i="2" s="1"/>
  <c r="M57" i="2" a="1"/>
  <c r="M57" i="2" s="1"/>
  <c r="L57" i="2" a="1"/>
  <c r="L57" i="2" s="1"/>
  <c r="J57" i="2" a="1"/>
  <c r="J57" i="2" s="1"/>
  <c r="I57" i="2" a="1"/>
  <c r="I57" i="2" s="1"/>
  <c r="H57" i="2" a="1"/>
  <c r="H57" i="2" s="1"/>
  <c r="G57" i="2" a="1"/>
  <c r="G57" i="2" s="1"/>
  <c r="F57" i="2" a="1"/>
  <c r="F57" i="2" s="1"/>
  <c r="P56" i="2" a="1"/>
  <c r="P56" i="2" s="1"/>
  <c r="N56" i="2" a="1"/>
  <c r="N56" i="2" s="1"/>
  <c r="M56" i="2" a="1"/>
  <c r="M56" i="2" s="1"/>
  <c r="L56" i="2" a="1"/>
  <c r="L56" i="2" s="1"/>
  <c r="J56" i="2" a="1"/>
  <c r="J56" i="2" s="1"/>
  <c r="I56" i="2" a="1"/>
  <c r="I56" i="2" s="1"/>
  <c r="H56" i="2" a="1"/>
  <c r="H56" i="2" s="1"/>
  <c r="G56" i="2" a="1"/>
  <c r="G56" i="2" s="1"/>
  <c r="F56" i="2" a="1"/>
  <c r="F56" i="2" s="1"/>
  <c r="P55" i="2" a="1"/>
  <c r="P55" i="2" s="1"/>
  <c r="N55" i="2" a="1"/>
  <c r="N55" i="2" s="1"/>
  <c r="M55" i="2" a="1"/>
  <c r="M55" i="2" s="1"/>
  <c r="L55" i="2" a="1"/>
  <c r="L55" i="2" s="1"/>
  <c r="J55" i="2" a="1"/>
  <c r="J55" i="2" s="1"/>
  <c r="I55" i="2" a="1"/>
  <c r="I55" i="2" s="1"/>
  <c r="H55" i="2" a="1"/>
  <c r="H55" i="2" s="1"/>
  <c r="G55" i="2" a="1"/>
  <c r="G55" i="2" s="1"/>
  <c r="F55" i="2" a="1"/>
  <c r="F55" i="2" s="1"/>
  <c r="P54" i="2" a="1"/>
  <c r="P54" i="2" s="1"/>
  <c r="N54" i="2" a="1"/>
  <c r="N54" i="2" s="1"/>
  <c r="M54" i="2" a="1"/>
  <c r="M54" i="2" s="1"/>
  <c r="L54" i="2" a="1"/>
  <c r="L54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P53" i="2" a="1"/>
  <c r="P53" i="2" s="1"/>
  <c r="N53" i="2" a="1"/>
  <c r="N53" i="2" s="1"/>
  <c r="M53" i="2" a="1"/>
  <c r="M53" i="2" s="1"/>
  <c r="L53" i="2" a="1"/>
  <c r="L53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P52" i="2" a="1"/>
  <c r="P52" i="2" s="1"/>
  <c r="N52" i="2" a="1"/>
  <c r="N52" i="2" s="1"/>
  <c r="M52" i="2" a="1"/>
  <c r="M52" i="2" s="1"/>
  <c r="L52" i="2" a="1"/>
  <c r="L52" i="2" s="1"/>
  <c r="J52" i="2" a="1"/>
  <c r="J52" i="2" s="1"/>
  <c r="I52" i="2" a="1"/>
  <c r="I52" i="2" s="1"/>
  <c r="H52" i="2" a="1"/>
  <c r="H52" i="2" s="1"/>
  <c r="G52" i="2" a="1"/>
  <c r="G52" i="2" s="1"/>
  <c r="F52" i="2" a="1"/>
  <c r="F52" i="2" s="1"/>
  <c r="P51" i="2" a="1"/>
  <c r="P51" i="2" s="1"/>
  <c r="N51" i="2" a="1"/>
  <c r="N51" i="2" s="1"/>
  <c r="M51" i="2" a="1"/>
  <c r="M51" i="2" s="1"/>
  <c r="L51" i="2" a="1"/>
  <c r="L51" i="2" s="1"/>
  <c r="J51" i="2" a="1"/>
  <c r="J51" i="2" s="1"/>
  <c r="I51" i="2" a="1"/>
  <c r="I51" i="2" s="1"/>
  <c r="H51" i="2" a="1"/>
  <c r="H51" i="2" s="1"/>
  <c r="G51" i="2" a="1"/>
  <c r="G51" i="2" s="1"/>
  <c r="F51" i="2" a="1"/>
  <c r="F51" i="2" s="1"/>
  <c r="P50" i="2" a="1"/>
  <c r="P50" i="2" s="1"/>
  <c r="N50" i="2" a="1"/>
  <c r="N50" i="2" s="1"/>
  <c r="M50" i="2" a="1"/>
  <c r="M50" i="2" s="1"/>
  <c r="L50" i="2" a="1"/>
  <c r="L50" i="2" s="1"/>
  <c r="J50" i="2" a="1"/>
  <c r="J50" i="2" s="1"/>
  <c r="I50" i="2" a="1"/>
  <c r="I50" i="2" s="1"/>
  <c r="H50" i="2" a="1"/>
  <c r="H50" i="2" s="1"/>
  <c r="G50" i="2" a="1"/>
  <c r="G50" i="2" s="1"/>
  <c r="F50" i="2" a="1"/>
  <c r="F50" i="2" s="1"/>
  <c r="P49" i="2" a="1"/>
  <c r="P49" i="2" s="1"/>
  <c r="N49" i="2" a="1"/>
  <c r="N49" i="2" s="1"/>
  <c r="M49" i="2" a="1"/>
  <c r="M49" i="2" s="1"/>
  <c r="L49" i="2" a="1"/>
  <c r="L49" i="2"/>
  <c r="J49" i="2" a="1"/>
  <c r="J49" i="2" s="1"/>
  <c r="I49" i="2" a="1"/>
  <c r="I49" i="2" s="1"/>
  <c r="H49" i="2" a="1"/>
  <c r="H49" i="2" s="1"/>
  <c r="G49" i="2" a="1"/>
  <c r="G49" i="2" s="1"/>
  <c r="F49" i="2" a="1"/>
  <c r="F49" i="2" s="1"/>
  <c r="P48" i="2" a="1"/>
  <c r="P48" i="2" s="1"/>
  <c r="N48" i="2" a="1"/>
  <c r="N48" i="2" s="1"/>
  <c r="M48" i="2" a="1"/>
  <c r="M48" i="2" s="1"/>
  <c r="L48" i="2" a="1"/>
  <c r="L48" i="2" s="1"/>
  <c r="J48" i="2" a="1"/>
  <c r="J48" i="2" s="1"/>
  <c r="I48" i="2" a="1"/>
  <c r="I48" i="2" s="1"/>
  <c r="H48" i="2" a="1"/>
  <c r="H48" i="2" s="1"/>
  <c r="G48" i="2" a="1"/>
  <c r="G48" i="2"/>
  <c r="F48" i="2" a="1"/>
  <c r="F48" i="2" s="1"/>
  <c r="P47" i="2" a="1"/>
  <c r="P47" i="2" s="1"/>
  <c r="N47" i="2" a="1"/>
  <c r="N47" i="2" s="1"/>
  <c r="M47" i="2" a="1"/>
  <c r="M47" i="2" s="1"/>
  <c r="L47" i="2" a="1"/>
  <c r="L47" i="2" s="1"/>
  <c r="J47" i="2" a="1"/>
  <c r="J47" i="2" s="1"/>
  <c r="I47" i="2" a="1"/>
  <c r="I47" i="2" s="1"/>
  <c r="H47" i="2" a="1"/>
  <c r="H47" i="2" s="1"/>
  <c r="G47" i="2" a="1"/>
  <c r="G47" i="2" s="1"/>
  <c r="F47" i="2" a="1"/>
  <c r="F47" i="2" s="1"/>
  <c r="P46" i="2" a="1"/>
  <c r="P46" i="2" s="1"/>
  <c r="N46" i="2" a="1"/>
  <c r="N46" i="2" s="1"/>
  <c r="M46" i="2" a="1"/>
  <c r="M46" i="2" s="1"/>
  <c r="L46" i="2" a="1"/>
  <c r="L46" i="2" s="1"/>
  <c r="J46" i="2" a="1"/>
  <c r="J46" i="2" s="1"/>
  <c r="I46" i="2" a="1"/>
  <c r="I46" i="2" s="1"/>
  <c r="H46" i="2" a="1"/>
  <c r="H46" i="2" s="1"/>
  <c r="G46" i="2" a="1"/>
  <c r="G46" i="2" s="1"/>
  <c r="F46" i="2" a="1"/>
  <c r="F46" i="2" s="1"/>
  <c r="P45" i="2" a="1"/>
  <c r="P45" i="2" s="1"/>
  <c r="N45" i="2" a="1"/>
  <c r="N45" i="2" s="1"/>
  <c r="M45" i="2" a="1"/>
  <c r="M45" i="2" s="1"/>
  <c r="L45" i="2" a="1"/>
  <c r="L45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P44" i="2" a="1"/>
  <c r="P44" i="2" s="1"/>
  <c r="N44" i="2" a="1"/>
  <c r="N44" i="2" s="1"/>
  <c r="M44" i="2" a="1"/>
  <c r="M44" i="2" s="1"/>
  <c r="L44" i="2" a="1"/>
  <c r="L44" i="2" s="1"/>
  <c r="J44" i="2" a="1"/>
  <c r="J44" i="2" s="1"/>
  <c r="I44" i="2" a="1"/>
  <c r="I44" i="2" s="1"/>
  <c r="H44" i="2" a="1"/>
  <c r="H44" i="2" s="1"/>
  <c r="F44" i="2" a="1"/>
  <c r="F44" i="2" s="1"/>
  <c r="P43" i="2" a="1"/>
  <c r="P43" i="2" s="1"/>
  <c r="N43" i="2" a="1"/>
  <c r="N43" i="2" s="1"/>
  <c r="M43" i="2" a="1"/>
  <c r="M43" i="2" s="1"/>
  <c r="L43" i="2" a="1"/>
  <c r="L43" i="2" s="1"/>
  <c r="J43" i="2" a="1"/>
  <c r="J43" i="2" s="1"/>
  <c r="I43" i="2" a="1"/>
  <c r="I43" i="2" s="1"/>
  <c r="H43" i="2" a="1"/>
  <c r="H43" i="2" s="1"/>
  <c r="G43" i="2" a="1"/>
  <c r="G43" i="2" s="1"/>
  <c r="F43" i="2" a="1"/>
  <c r="F43" i="2" s="1"/>
  <c r="P42" i="2" a="1"/>
  <c r="P42" i="2" s="1"/>
  <c r="N42" i="2" a="1"/>
  <c r="N42" i="2" s="1"/>
  <c r="M42" i="2" a="1"/>
  <c r="M42" i="2" s="1"/>
  <c r="L42" i="2" a="1"/>
  <c r="L42" i="2" s="1"/>
  <c r="J42" i="2" a="1"/>
  <c r="J42" i="2"/>
  <c r="I42" i="2" a="1"/>
  <c r="I42" i="2" s="1"/>
  <c r="H42" i="2" a="1"/>
  <c r="H42" i="2" s="1"/>
  <c r="G42" i="2" a="1"/>
  <c r="G42" i="2" s="1"/>
  <c r="F42" i="2" a="1"/>
  <c r="F42" i="2" s="1"/>
  <c r="P41" i="2" a="1"/>
  <c r="P41" i="2" s="1"/>
  <c r="N41" i="2" a="1"/>
  <c r="N41" i="2" s="1"/>
  <c r="M41" i="2" a="1"/>
  <c r="M41" i="2" s="1"/>
  <c r="L41" i="2" a="1"/>
  <c r="L41" i="2" s="1"/>
  <c r="J41" i="2" a="1"/>
  <c r="J41" i="2" s="1"/>
  <c r="I41" i="2" a="1"/>
  <c r="I41" i="2" s="1"/>
  <c r="H41" i="2" a="1"/>
  <c r="H41" i="2" s="1"/>
  <c r="G41" i="2" a="1"/>
  <c r="G41" i="2" s="1"/>
  <c r="F41" i="2" a="1"/>
  <c r="F41" i="2" s="1"/>
  <c r="P40" i="2" a="1"/>
  <c r="P40" i="2" s="1"/>
  <c r="N40" i="2" a="1"/>
  <c r="N40" i="2" s="1"/>
  <c r="M40" i="2" a="1"/>
  <c r="M40" i="2" s="1"/>
  <c r="L40" i="2" a="1"/>
  <c r="L40" i="2" s="1"/>
  <c r="J40" i="2" a="1"/>
  <c r="J40" i="2" s="1"/>
  <c r="I40" i="2" a="1"/>
  <c r="I40" i="2" s="1"/>
  <c r="H40" i="2" a="1"/>
  <c r="H40" i="2" s="1"/>
  <c r="G40" i="2" a="1"/>
  <c r="G40" i="2" s="1"/>
  <c r="F40" i="2" a="1"/>
  <c r="F40" i="2" s="1"/>
  <c r="P39" i="2" a="1"/>
  <c r="P39" i="2" s="1"/>
  <c r="N39" i="2" a="1"/>
  <c r="N39" i="2" s="1"/>
  <c r="M39" i="2" a="1"/>
  <c r="M39" i="2" s="1"/>
  <c r="L39" i="2" a="1"/>
  <c r="L39" i="2" s="1"/>
  <c r="J39" i="2" a="1"/>
  <c r="J39" i="2" s="1"/>
  <c r="I39" i="2" a="1"/>
  <c r="I39" i="2" s="1"/>
  <c r="H39" i="2" a="1"/>
  <c r="H39" i="2" s="1"/>
  <c r="G39" i="2" a="1"/>
  <c r="G39" i="2" s="1"/>
  <c r="F39" i="2" a="1"/>
  <c r="F39" i="2" s="1"/>
  <c r="P38" i="2" a="1"/>
  <c r="P38" i="2" s="1"/>
  <c r="N38" i="2" a="1"/>
  <c r="N38" i="2" s="1"/>
  <c r="M38" i="2" a="1"/>
  <c r="M38" i="2" s="1"/>
  <c r="L38" i="2" a="1"/>
  <c r="L38" i="2" s="1"/>
  <c r="J38" i="2" a="1"/>
  <c r="J38" i="2" s="1"/>
  <c r="I38" i="2" a="1"/>
  <c r="I38" i="2" s="1"/>
  <c r="H38" i="2" a="1"/>
  <c r="H38" i="2"/>
  <c r="G38" i="2" a="1"/>
  <c r="G38" i="2" s="1"/>
  <c r="F38" i="2" a="1"/>
  <c r="F38" i="2" s="1"/>
  <c r="P32" i="2" a="1"/>
  <c r="P32" i="2" s="1"/>
  <c r="N32" i="2" a="1"/>
  <c r="N32" i="2" s="1"/>
  <c r="M32" i="2" a="1"/>
  <c r="M32" i="2" s="1"/>
  <c r="L32" i="2" a="1"/>
  <c r="L32" i="2" s="1"/>
  <c r="J32" i="2" a="1"/>
  <c r="J32" i="2" s="1"/>
  <c r="I32" i="2" a="1"/>
  <c r="I32" i="2" s="1"/>
  <c r="H32" i="2" a="1"/>
  <c r="H32" i="2" s="1"/>
  <c r="G32" i="2" a="1"/>
  <c r="G32" i="2" s="1"/>
  <c r="F32" i="2" a="1"/>
  <c r="F32" i="2" s="1"/>
  <c r="P31" i="2" a="1"/>
  <c r="P31" i="2" s="1"/>
  <c r="N31" i="2" a="1"/>
  <c r="N31" i="2" s="1"/>
  <c r="M31" i="2" a="1"/>
  <c r="M31" i="2" s="1"/>
  <c r="L31" i="2" a="1"/>
  <c r="L31" i="2" s="1"/>
  <c r="J31" i="2" a="1"/>
  <c r="J31" i="2" s="1"/>
  <c r="I31" i="2" a="1"/>
  <c r="I31" i="2" s="1"/>
  <c r="H31" i="2" a="1"/>
  <c r="H31" i="2" s="1"/>
  <c r="G31" i="2" a="1"/>
  <c r="G31" i="2" s="1"/>
  <c r="F31" i="2" a="1"/>
  <c r="F31" i="2" s="1"/>
  <c r="P30" i="2" a="1"/>
  <c r="P30" i="2" s="1"/>
  <c r="N30" i="2" a="1"/>
  <c r="N30" i="2" s="1"/>
  <c r="M30" i="2" a="1"/>
  <c r="M30" i="2" s="1"/>
  <c r="L30" i="2" a="1"/>
  <c r="L30" i="2" s="1"/>
  <c r="J30" i="2" a="1"/>
  <c r="J30" i="2" s="1"/>
  <c r="I30" i="2" a="1"/>
  <c r="I30" i="2" s="1"/>
  <c r="H30" i="2" a="1"/>
  <c r="H30" i="2" s="1"/>
  <c r="G30" i="2" a="1"/>
  <c r="G30" i="2" s="1"/>
  <c r="F30" i="2" a="1"/>
  <c r="F30" i="2" s="1"/>
  <c r="P29" i="2" a="1"/>
  <c r="P29" i="2" s="1"/>
  <c r="N29" i="2" a="1"/>
  <c r="N29" i="2" s="1"/>
  <c r="M29" i="2" a="1"/>
  <c r="M29" i="2" s="1"/>
  <c r="L29" i="2" a="1"/>
  <c r="L29" i="2" s="1"/>
  <c r="J29" i="2" a="1"/>
  <c r="J29" i="2" s="1"/>
  <c r="I29" i="2" a="1"/>
  <c r="I29" i="2" s="1"/>
  <c r="H29" i="2" a="1"/>
  <c r="H29" i="2" s="1"/>
  <c r="G29" i="2" a="1"/>
  <c r="G29" i="2" s="1"/>
  <c r="F29" i="2" a="1"/>
  <c r="F29" i="2" s="1"/>
  <c r="P28" i="2" a="1"/>
  <c r="P28" i="2" s="1"/>
  <c r="N28" i="2" a="1"/>
  <c r="N28" i="2" s="1"/>
  <c r="M28" i="2" a="1"/>
  <c r="M28" i="2" s="1"/>
  <c r="L28" i="2" a="1"/>
  <c r="L28" i="2" s="1"/>
  <c r="J28" i="2" a="1"/>
  <c r="J28" i="2" s="1"/>
  <c r="I28" i="2" a="1"/>
  <c r="I28" i="2" s="1"/>
  <c r="H28" i="2" a="1"/>
  <c r="H28" i="2" s="1"/>
  <c r="G28" i="2" a="1"/>
  <c r="G28" i="2" s="1"/>
  <c r="F28" i="2" a="1"/>
  <c r="F28" i="2" s="1"/>
  <c r="P27" i="2" a="1"/>
  <c r="P27" i="2" s="1"/>
  <c r="N27" i="2" a="1"/>
  <c r="N27" i="2" s="1"/>
  <c r="M27" i="2" a="1"/>
  <c r="M27" i="2" s="1"/>
  <c r="L27" i="2" a="1"/>
  <c r="L27" i="2" s="1"/>
  <c r="J27" i="2" a="1"/>
  <c r="J27" i="2" s="1"/>
  <c r="I27" i="2" a="1"/>
  <c r="I27" i="2" s="1"/>
  <c r="H27" i="2" a="1"/>
  <c r="H27" i="2" s="1"/>
  <c r="G27" i="2" a="1"/>
  <c r="G27" i="2" s="1"/>
  <c r="F27" i="2" a="1"/>
  <c r="F27" i="2" s="1"/>
  <c r="P26" i="2" a="1"/>
  <c r="P26" i="2" s="1"/>
  <c r="N26" i="2" a="1"/>
  <c r="N26" i="2" s="1"/>
  <c r="M26" i="2" a="1"/>
  <c r="M26" i="2" s="1"/>
  <c r="L26" i="2" a="1"/>
  <c r="L26" i="2" s="1"/>
  <c r="J26" i="2" a="1"/>
  <c r="J26" i="2" s="1"/>
  <c r="I26" i="2" a="1"/>
  <c r="I26" i="2" s="1"/>
  <c r="H26" i="2" a="1"/>
  <c r="H26" i="2" s="1"/>
  <c r="G26" i="2" a="1"/>
  <c r="G26" i="2" s="1"/>
  <c r="F26" i="2" a="1"/>
  <c r="F26" i="2" s="1"/>
  <c r="P25" i="2" a="1"/>
  <c r="P25" i="2" s="1"/>
  <c r="N25" i="2" a="1"/>
  <c r="N25" i="2" s="1"/>
  <c r="M25" i="2" a="1"/>
  <c r="M25" i="2" s="1"/>
  <c r="L25" i="2" a="1"/>
  <c r="L25" i="2" s="1"/>
  <c r="J25" i="2" a="1"/>
  <c r="J25" i="2" s="1"/>
  <c r="I25" i="2" a="1"/>
  <c r="I25" i="2" s="1"/>
  <c r="H25" i="2" a="1"/>
  <c r="H25" i="2" s="1"/>
  <c r="G25" i="2" a="1"/>
  <c r="G25" i="2" s="1"/>
  <c r="F25" i="2" a="1"/>
  <c r="F25" i="2" s="1"/>
  <c r="P24" i="2" a="1"/>
  <c r="P24" i="2" s="1"/>
  <c r="N24" i="2" a="1"/>
  <c r="N24" i="2" s="1"/>
  <c r="M24" i="2" a="1"/>
  <c r="M24" i="2" s="1"/>
  <c r="L24" i="2" a="1"/>
  <c r="L24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P23" i="2" a="1"/>
  <c r="P23" i="2" s="1"/>
  <c r="N23" i="2" a="1"/>
  <c r="N23" i="2" s="1"/>
  <c r="M23" i="2" a="1"/>
  <c r="M23" i="2" s="1"/>
  <c r="L23" i="2" a="1"/>
  <c r="L23" i="2" s="1"/>
  <c r="J23" i="2" a="1"/>
  <c r="J23" i="2" s="1"/>
  <c r="I23" i="2" a="1"/>
  <c r="I23" i="2" s="1"/>
  <c r="H23" i="2" a="1"/>
  <c r="H23" i="2" s="1"/>
  <c r="G23" i="2" a="1"/>
  <c r="G23" i="2"/>
  <c r="F23" i="2" a="1"/>
  <c r="F23" i="2"/>
  <c r="P22" i="2" a="1"/>
  <c r="P22" i="2" s="1"/>
  <c r="N22" i="2" a="1"/>
  <c r="N22" i="2" s="1"/>
  <c r="M22" i="2" a="1"/>
  <c r="M22" i="2" s="1"/>
  <c r="L22" i="2" a="1"/>
  <c r="L22" i="2" s="1"/>
  <c r="J22" i="2" a="1"/>
  <c r="J22" i="2" s="1"/>
  <c r="I22" i="2" a="1"/>
  <c r="I22" i="2" s="1"/>
  <c r="H22" i="2" a="1"/>
  <c r="H22" i="2" s="1"/>
  <c r="G22" i="2" a="1"/>
  <c r="G22" i="2" s="1"/>
  <c r="F22" i="2" a="1"/>
  <c r="F22" i="2" s="1"/>
  <c r="P21" i="2" a="1"/>
  <c r="P21" i="2"/>
  <c r="N21" i="2" a="1"/>
  <c r="N21" i="2" s="1"/>
  <c r="M21" i="2" a="1"/>
  <c r="M21" i="2" s="1"/>
  <c r="L21" i="2" a="1"/>
  <c r="L21" i="2" s="1"/>
  <c r="J21" i="2" a="1"/>
  <c r="J21" i="2"/>
  <c r="I21" i="2" a="1"/>
  <c r="I21" i="2" s="1"/>
  <c r="H21" i="2" a="1"/>
  <c r="H21" i="2" s="1"/>
  <c r="G21" i="2" a="1"/>
  <c r="G21" i="2" s="1"/>
  <c r="F21" i="2" a="1"/>
  <c r="F21" i="2" s="1"/>
  <c r="P20" i="2" a="1"/>
  <c r="P20" i="2" s="1"/>
  <c r="N20" i="2" a="1"/>
  <c r="N20" i="2" s="1"/>
  <c r="M20" i="2" a="1"/>
  <c r="M20" i="2" s="1"/>
  <c r="L20" i="2" a="1"/>
  <c r="L20" i="2" s="1"/>
  <c r="J20" i="2" a="1"/>
  <c r="J20" i="2" s="1"/>
  <c r="I20" i="2" a="1"/>
  <c r="I20" i="2" s="1"/>
  <c r="H20" i="2" a="1"/>
  <c r="H20" i="2" s="1"/>
  <c r="G20" i="2" a="1"/>
  <c r="G20" i="2" s="1"/>
  <c r="F20" i="2" a="1"/>
  <c r="F20" i="2" s="1"/>
  <c r="P19" i="2" a="1"/>
  <c r="P19" i="2" s="1"/>
  <c r="N19" i="2" a="1"/>
  <c r="N19" i="2" s="1"/>
  <c r="M19" i="2" a="1"/>
  <c r="M19" i="2" s="1"/>
  <c r="L19" i="2" a="1"/>
  <c r="L19" i="2" s="1"/>
  <c r="J19" i="2" a="1"/>
  <c r="J19" i="2" s="1"/>
  <c r="I19" i="2" a="1"/>
  <c r="I19" i="2" s="1"/>
  <c r="H19" i="2" a="1"/>
  <c r="H19" i="2" s="1"/>
  <c r="G19" i="2" a="1"/>
  <c r="G19" i="2" s="1"/>
  <c r="F19" i="2" a="1"/>
  <c r="F19" i="2"/>
  <c r="P18" i="2" a="1"/>
  <c r="P18" i="2" s="1"/>
  <c r="N18" i="2" a="1"/>
  <c r="N18" i="2" s="1"/>
  <c r="M18" i="2" a="1"/>
  <c r="M18" i="2" s="1"/>
  <c r="L18" i="2" a="1"/>
  <c r="L18" i="2" s="1"/>
  <c r="J18" i="2" a="1"/>
  <c r="J18" i="2" s="1"/>
  <c r="I18" i="2" a="1"/>
  <c r="I18" i="2" s="1"/>
  <c r="H18" i="2" a="1"/>
  <c r="H18" i="2" s="1"/>
  <c r="G18" i="2" a="1"/>
  <c r="G18" i="2" s="1"/>
  <c r="F18" i="2" a="1"/>
  <c r="F18" i="2" s="1"/>
  <c r="P17" i="2" a="1"/>
  <c r="P17" i="2" s="1"/>
  <c r="N17" i="2" a="1"/>
  <c r="N17" i="2" s="1"/>
  <c r="M17" i="2" a="1"/>
  <c r="M17" i="2"/>
  <c r="L17" i="2" a="1"/>
  <c r="L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P16" i="2" a="1"/>
  <c r="P16" i="2" s="1"/>
  <c r="N16" i="2" a="1"/>
  <c r="N16" i="2" s="1"/>
  <c r="M16" i="2" a="1"/>
  <c r="M16" i="2" s="1"/>
  <c r="L16" i="2" a="1"/>
  <c r="L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P15" i="2" a="1"/>
  <c r="P15" i="2" s="1"/>
  <c r="N15" i="2" a="1"/>
  <c r="N15" i="2"/>
  <c r="M15" i="2" a="1"/>
  <c r="M15" i="2" s="1"/>
  <c r="L15" i="2" a="1"/>
  <c r="L15" i="2" s="1"/>
  <c r="J15" i="2" a="1"/>
  <c r="J15" i="2" s="1"/>
  <c r="I15" i="2" a="1"/>
  <c r="I15" i="2" s="1"/>
  <c r="H15" i="2" a="1"/>
  <c r="H15" i="2" s="1"/>
  <c r="G15" i="2" a="1"/>
  <c r="G15" i="2"/>
  <c r="F15" i="2" a="1"/>
  <c r="F15" i="2" s="1"/>
  <c r="P14" i="2" a="1"/>
  <c r="P14" i="2" s="1"/>
  <c r="N14" i="2" a="1"/>
  <c r="N14" i="2" s="1"/>
  <c r="M14" i="2" a="1"/>
  <c r="M14" i="2" s="1"/>
  <c r="L14" i="2" a="1"/>
  <c r="L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P13" i="2" a="1"/>
  <c r="P13" i="2" s="1"/>
  <c r="N13" i="2" a="1"/>
  <c r="N13" i="2" s="1"/>
  <c r="M13" i="2" a="1"/>
  <c r="M13" i="2" s="1"/>
  <c r="L13" i="2" a="1"/>
  <c r="L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P12" i="2" a="1"/>
  <c r="P12" i="2" s="1"/>
  <c r="N12" i="2" a="1"/>
  <c r="N12" i="2" s="1"/>
  <c r="M12" i="2" a="1"/>
  <c r="M12" i="2" s="1"/>
  <c r="L12" i="2" a="1"/>
  <c r="L12" i="2" s="1"/>
  <c r="AH18" i="3" l="1"/>
  <c r="D35" i="3"/>
  <c r="D16" i="3"/>
  <c r="AC19" i="3"/>
  <c r="AH19" i="3"/>
  <c r="I17" i="3"/>
  <c r="D37" i="3"/>
  <c r="D24" i="3"/>
  <c r="D21" i="3" s="1"/>
  <c r="AC21" i="3"/>
  <c r="AC13" i="3"/>
  <c r="AJ4" i="3"/>
  <c r="AG4" i="3"/>
  <c r="AC4" i="3" s="1"/>
  <c r="AC3" i="3" s="1"/>
  <c r="D38" i="3"/>
  <c r="D13" i="3"/>
  <c r="D31" i="3"/>
  <c r="D14" i="3"/>
  <c r="D32" i="3"/>
  <c r="AC8" i="3"/>
  <c r="AC30" i="3"/>
  <c r="AC9" i="3"/>
  <c r="AC31" i="3"/>
  <c r="AC32" i="3"/>
  <c r="D15" i="3"/>
  <c r="AC33" i="3"/>
  <c r="AH26" i="3"/>
  <c r="AC27" i="3"/>
  <c r="AK30" i="3"/>
  <c r="AC28" i="3"/>
  <c r="AH31" i="3"/>
  <c r="AH28" i="3"/>
  <c r="AC29" i="3"/>
  <c r="AH32" i="3"/>
  <c r="AH29" i="3"/>
  <c r="AH33" i="3"/>
  <c r="AC26" i="3"/>
  <c r="AH27" i="3"/>
  <c r="AH13" i="3"/>
  <c r="AH12" i="3"/>
  <c r="AH10" i="3"/>
  <c r="AH7" i="3"/>
  <c r="AH8" i="3"/>
  <c r="AH20" i="3"/>
  <c r="AH21" i="3"/>
  <c r="AH22" i="3"/>
  <c r="AK17" i="3"/>
  <c r="AH16" i="3"/>
  <c r="AC17" i="3"/>
  <c r="D41" i="3"/>
  <c r="L38" i="3"/>
  <c r="L37" i="3"/>
  <c r="L36" i="3"/>
  <c r="I35" i="3"/>
  <c r="I30" i="3"/>
  <c r="I31" i="3"/>
  <c r="I32" i="3"/>
  <c r="L22" i="3"/>
  <c r="I23" i="3"/>
  <c r="I24" i="3"/>
  <c r="I25" i="3"/>
  <c r="L15" i="3"/>
  <c r="L14" i="3"/>
  <c r="L13" i="3"/>
  <c r="L12" i="3"/>
  <c r="D12" i="3"/>
  <c r="I16" i="3"/>
  <c r="I18" i="3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40" i="3" l="1"/>
  <c r="AC25" i="3"/>
  <c r="D29" i="3"/>
  <c r="D34" i="3"/>
  <c r="D17" i="3"/>
  <c r="D11" i="3" s="1"/>
  <c r="AC15" i="3" l="1"/>
  <c r="AC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<sst xmlns="http://schemas.openxmlformats.org/spreadsheetml/2006/main" count="310" uniqueCount="175">
  <si>
    <t>施設名</t>
  </si>
  <si>
    <t>クライアント名</t>
  </si>
  <si>
    <t>開園日</t>
  </si>
  <si>
    <t>病床数</t>
  </si>
  <si>
    <t>月, 火, 水, 木, 金</t>
  </si>
  <si>
    <t>月, 火, 水, 木, 金, 土, 日, 祝</t>
  </si>
  <si>
    <t>宮城県立がんセンター</t>
  </si>
  <si>
    <t>東京医科大学茨城医療センター</t>
  </si>
  <si>
    <t>埼玉県立がんセンター</t>
  </si>
  <si>
    <t>千葉大学医学部附属病院</t>
  </si>
  <si>
    <t>東京大学医学部附属病院</t>
  </si>
  <si>
    <t>公立大学法人横浜市立大学附属市民総合医療センター</t>
  </si>
  <si>
    <t>新潟大学</t>
  </si>
  <si>
    <t>富山県リハビリテーション病院・こども支援センター</t>
  </si>
  <si>
    <t>朝日大学病院（村上記念病院）</t>
  </si>
  <si>
    <t>名古屋市立大学医学部附属東部医療センター</t>
  </si>
  <si>
    <t>三重県立志摩病院</t>
  </si>
  <si>
    <t>三重県立こころの医療センター</t>
  </si>
  <si>
    <t>学校法人関西医科大学　関西医科大学総合医療センター</t>
  </si>
  <si>
    <t>大阪公立大学</t>
  </si>
  <si>
    <t>大阪公立大学医学部附属病院</t>
  </si>
  <si>
    <t>兵庫県立がんセンター</t>
  </si>
  <si>
    <t>鳥取県立総合療育センター</t>
  </si>
  <si>
    <t>高知大学医学部附属病院</t>
  </si>
  <si>
    <t>学校法人久留米大学</t>
  </si>
  <si>
    <t>長崎県島原病院</t>
  </si>
  <si>
    <t>鹿児島県</t>
  </si>
  <si>
    <t>沖縄県立南部医療センター・こどもセンター</t>
  </si>
  <si>
    <t>キッズコーポレーション　運営実績</t>
  </si>
  <si>
    <t>園</t>
  </si>
  <si>
    <t>１．認可保育園・小規模保育事業企画運営</t>
  </si>
  <si>
    <t>No.</t>
  </si>
  <si>
    <t>地域</t>
  </si>
  <si>
    <t>定員数</t>
  </si>
  <si>
    <t>形態</t>
  </si>
  <si>
    <t>制度</t>
  </si>
  <si>
    <t>東
北</t>
  </si>
  <si>
    <t>関
東</t>
  </si>
  <si>
    <t>沖
縄</t>
  </si>
  <si>
    <t>２．病院内保育施設企画運営</t>
  </si>
  <si>
    <t>北海道</t>
  </si>
  <si>
    <t>中
部
・
北
陸</t>
  </si>
  <si>
    <t>関
西</t>
  </si>
  <si>
    <t>中
国
・
四
国</t>
  </si>
  <si>
    <t>九州</t>
  </si>
  <si>
    <t>沖縄</t>
  </si>
  <si>
    <t>３．事業所内保育事業企画運営</t>
  </si>
  <si>
    <t>東北</t>
  </si>
  <si>
    <t>中部・北陸</t>
  </si>
  <si>
    <t>中国・四国</t>
  </si>
  <si>
    <t>キッズコーポレーション
運営実績</t>
  </si>
  <si>
    <t>計</t>
  </si>
  <si>
    <t>施設運営</t>
  </si>
  <si>
    <t>施設</t>
  </si>
  <si>
    <t>病院内保育園</t>
  </si>
  <si>
    <t>(病院内</t>
  </si>
  <si>
    <t>／ 事業所内</t>
  </si>
  <si>
    <t>）</t>
  </si>
  <si>
    <t>事業所内保育園</t>
  </si>
  <si>
    <t>認可保育園</t>
  </si>
  <si>
    <t>青森県</t>
  </si>
  <si>
    <t>※うち開園予定</t>
  </si>
  <si>
    <t>秋田県</t>
  </si>
  <si>
    <t>岩手県</t>
  </si>
  <si>
    <t>宮城県</t>
  </si>
  <si>
    <t>関西</t>
  </si>
  <si>
    <t>三重県</t>
  </si>
  <si>
    <t>山形県</t>
  </si>
  <si>
    <t>滋賀県</t>
  </si>
  <si>
    <t>福島県</t>
  </si>
  <si>
    <t>京都府</t>
  </si>
  <si>
    <t>奈良県</t>
  </si>
  <si>
    <t>関東</t>
  </si>
  <si>
    <t>和歌山県</t>
  </si>
  <si>
    <t>群馬県</t>
  </si>
  <si>
    <t>大阪府</t>
  </si>
  <si>
    <t>栃木県</t>
  </si>
  <si>
    <t>兵庫県</t>
  </si>
  <si>
    <t>茨城県</t>
  </si>
  <si>
    <t>神奈川県</t>
  </si>
  <si>
    <t>埼玉県</t>
  </si>
  <si>
    <t>中国</t>
  </si>
  <si>
    <t>千葉県</t>
  </si>
  <si>
    <t>鳥取県</t>
  </si>
  <si>
    <t>東京都</t>
  </si>
  <si>
    <t>岡山県</t>
  </si>
  <si>
    <t xml:space="preserve">(認可　 </t>
  </si>
  <si>
    <t>島根県</t>
  </si>
  <si>
    <t>山口県</t>
  </si>
  <si>
    <t>中部</t>
  </si>
  <si>
    <t>山梨県</t>
  </si>
  <si>
    <t>新潟県</t>
  </si>
  <si>
    <t>富山県</t>
  </si>
  <si>
    <t>四国</t>
  </si>
  <si>
    <t>長野県</t>
  </si>
  <si>
    <t>愛媛県</t>
  </si>
  <si>
    <t>岐阜県</t>
  </si>
  <si>
    <t>高知県</t>
  </si>
  <si>
    <t>静岡県</t>
  </si>
  <si>
    <t>香川県</t>
  </si>
  <si>
    <t>愛知県</t>
  </si>
  <si>
    <t>福井県</t>
  </si>
  <si>
    <t>福岡県</t>
  </si>
  <si>
    <t>大分県</t>
  </si>
  <si>
    <t>長崎県</t>
  </si>
  <si>
    <t>沖縄県</t>
  </si>
  <si>
    <t>(株)キッズコーポレーション</t>
  </si>
  <si>
    <t>病院別実績</t>
  </si>
  <si>
    <t>国立大学</t>
  </si>
  <si>
    <t>公立大学</t>
  </si>
  <si>
    <t>私立大学</t>
  </si>
  <si>
    <t>都道府県立病院</t>
  </si>
  <si>
    <t>種類</t>
  </si>
  <si>
    <t>実績数</t>
  </si>
  <si>
    <t>北海道大学病院</t>
  </si>
  <si>
    <t>国立病院機構</t>
  </si>
  <si>
    <t>国立大学法人　弘前大学</t>
  </si>
  <si>
    <t>学校法人北里研究所北里大学メディカルセンター</t>
  </si>
  <si>
    <t>JCHO(地域医療機能推進機構)</t>
  </si>
  <si>
    <t>東京大学（柏キャンパス）</t>
  </si>
  <si>
    <t>大阪公立大学医学部附属病院（病児）</t>
  </si>
  <si>
    <t>東京女子医科大学附属八千代センター</t>
  </si>
  <si>
    <t>埼玉県小児医療センター</t>
  </si>
  <si>
    <t>東京大学（駒場キャンパス）</t>
  </si>
  <si>
    <t>長野県立こども病院</t>
  </si>
  <si>
    <t>市立（市民）病院</t>
  </si>
  <si>
    <t>東京大学（白金キャンパス）</t>
  </si>
  <si>
    <t>長野県立信州医療センター</t>
  </si>
  <si>
    <t>赤十字</t>
  </si>
  <si>
    <t>東京大学（本郷キャンパス）</t>
  </si>
  <si>
    <t>済生会</t>
  </si>
  <si>
    <t>三重県立子どもの心身発達医療センター</t>
  </si>
  <si>
    <t>大学（附属病院も含む）</t>
  </si>
  <si>
    <t>株式会社久大エンタープライズ（久留米大学）</t>
  </si>
  <si>
    <t>国立大学（附属病院も含む）</t>
  </si>
  <si>
    <t>国立大学法人　滋賀医科大学</t>
  </si>
  <si>
    <t>公立大学（附属病院も含む）</t>
  </si>
  <si>
    <t>鳥取大学医学部附属病院</t>
  </si>
  <si>
    <t>私立大学（附属病院も含む）</t>
  </si>
  <si>
    <t>鳥取大学医学部附属病院（病児）</t>
  </si>
  <si>
    <t>茨城県西部メディカルセンター(通常)</t>
  </si>
  <si>
    <t>高知大学医学部附属病院（病児）</t>
  </si>
  <si>
    <t>茨城県西部メディカルセンタ(病児)</t>
  </si>
  <si>
    <t>京都大学医学部附属病院（2024年開園予定）</t>
  </si>
  <si>
    <t>新潟県地域医療推進機構　魚沼基幹病院</t>
  </si>
  <si>
    <t>月～土</t>
  </si>
  <si>
    <t>月～日、祝</t>
  </si>
  <si>
    <t>月～日</t>
  </si>
  <si>
    <t>月～金</t>
  </si>
  <si>
    <t>月～土、祝</t>
  </si>
  <si>
    <t>月～金、祝</t>
  </si>
  <si>
    <t>表記</t>
  </si>
  <si>
    <t>日、祝</t>
  </si>
  <si>
    <t>月、火、水、金、土</t>
  </si>
  <si>
    <t>月～金、日</t>
  </si>
  <si>
    <t>月、火、水、木、土、日</t>
  </si>
  <si>
    <t>月、水、木、金、土、日、祝日</t>
  </si>
  <si>
    <t>月～木、日、祝</t>
  </si>
  <si>
    <t>月, 火, 水, 木, 日, 祝</t>
    <phoneticPr fontId="2"/>
  </si>
  <si>
    <t>月, 火, 水, 木, 金, 祝</t>
    <phoneticPr fontId="2"/>
  </si>
  <si>
    <t>月, 火, 水, 木, 金, 土, 日</t>
    <phoneticPr fontId="2"/>
  </si>
  <si>
    <t>月, 火, 水, 木, 金, 日</t>
    <phoneticPr fontId="2"/>
  </si>
  <si>
    <t>月, 火, 水, 木, 金, 土</t>
    <phoneticPr fontId="2"/>
  </si>
  <si>
    <t>日, 祝</t>
    <phoneticPr fontId="2"/>
  </si>
  <si>
    <t>月, 火, 水, 木, 金, 土, 祝</t>
    <phoneticPr fontId="2"/>
  </si>
  <si>
    <t>月, 火, 水, 金, 土</t>
    <phoneticPr fontId="2"/>
  </si>
  <si>
    <t>月, 火, 水, 木, 土, 日</t>
    <phoneticPr fontId="2"/>
  </si>
  <si>
    <t>月, 水, 木, 金, 土, 日, 祝</t>
    <phoneticPr fontId="2"/>
  </si>
  <si>
    <t xml:space="preserve">(認可　 </t>
    <phoneticPr fontId="2"/>
  </si>
  <si>
    <t xml:space="preserve">／ 認可　 </t>
    <phoneticPr fontId="2"/>
  </si>
  <si>
    <t>１，認可保育園・小規模保育事業等</t>
    <rPh sb="2" eb="4">
      <t>ニンカ</t>
    </rPh>
    <rPh sb="4" eb="7">
      <t>ホイクエン</t>
    </rPh>
    <rPh sb="8" eb="16">
      <t>ショウキボホイクジギョウトウ</t>
    </rPh>
    <phoneticPr fontId="2"/>
  </si>
  <si>
    <t>２，病院内保育園</t>
    <rPh sb="2" eb="8">
      <t>ビョウインナイホイクエン</t>
    </rPh>
    <phoneticPr fontId="2"/>
  </si>
  <si>
    <t>３，事業所内保育園</t>
    <rPh sb="2" eb="9">
      <t>ジギョウショナイホイクエン</t>
    </rPh>
    <phoneticPr fontId="2"/>
  </si>
  <si>
    <t>合計稼働園数（開園予定含む）</t>
    <rPh sb="0" eb="2">
      <t>ゴウケイ</t>
    </rPh>
    <rPh sb="2" eb="4">
      <t>カドウ</t>
    </rPh>
    <rPh sb="4" eb="5">
      <t>エン</t>
    </rPh>
    <rPh sb="5" eb="6">
      <t>スウ</t>
    </rPh>
    <rPh sb="7" eb="9">
      <t>カイエン</t>
    </rPh>
    <rPh sb="9" eb="11">
      <t>ヨテイ</t>
    </rPh>
    <rPh sb="11" eb="12">
      <t>フク</t>
    </rPh>
    <phoneticPr fontId="2"/>
  </si>
  <si>
    <t>うち開園予定</t>
    <rPh sb="2" eb="6">
      <t>カイエンヨテイ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</si>
</sst>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&quot;年&quot;m&quot;月&quot;;@"/>
    <numFmt numFmtId="178" formatCode="0&quot;床&quot;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b/>
      <sz val="20"/>
      <color theme="1"/>
      <name val="HGPｺﾞｼｯｸM"/>
      <family val="3"/>
      <charset val="128"/>
    </font>
    <font>
      <b/>
      <sz val="18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48"/>
      <color theme="1"/>
      <name val="HGPｺﾞｼｯｸM"/>
      <family val="3"/>
      <charset val="128"/>
    </font>
    <font>
      <sz val="11"/>
      <name val="HGPｺﾞｼｯｸM"/>
      <family val="3"/>
      <charset val="128"/>
    </font>
    <font>
      <b/>
      <sz val="48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sz val="24"/>
      <color theme="1"/>
      <name val="Meiryo UI"/>
      <family val="3"/>
      <charset val="128"/>
    </font>
    <font>
      <b/>
      <sz val="14"/>
      <color theme="0"/>
      <name val="Meiryo UI"/>
      <family val="3"/>
      <charset val="128"/>
    </font>
    <font>
      <sz val="14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sz val="14"/>
      <color rgb="FFFF0000"/>
      <name val="Meiryo UI"/>
      <family val="3"/>
      <charset val="128"/>
    </font>
    <font>
      <b/>
      <sz val="26"/>
      <color theme="1"/>
      <name val="Meiryo UI"/>
      <family val="3"/>
      <charset val="128"/>
    </font>
    <font>
      <sz val="12"/>
      <color theme="1"/>
      <name val="HGPｺﾞｼｯｸM"/>
      <family val="3"/>
      <charset val="128"/>
    </font>
    <font>
      <sz val="14"/>
      <name val="HGPｺﾞｼｯｸM"/>
      <family val="3"/>
      <charset val="128"/>
    </font>
    <font>
      <sz val="11"/>
      <color theme="7" tint="0.39997558519241921"/>
      <name val="游ゴシック"/>
      <family val="2"/>
      <charset val="128"/>
      <scheme val="minor"/>
    </font>
    <font>
      <b/>
      <sz val="14"/>
      <name val="HGPｺﾞｼｯｸM"/>
      <family val="3"/>
      <charset val="128"/>
    </font>
    <font>
      <b/>
      <sz val="14"/>
      <color rgb="FF000000"/>
      <name val="HGPｺﾞｼｯｸM"/>
      <family val="3"/>
      <charset val="128"/>
    </font>
    <font>
      <sz val="10"/>
      <color rgb="FF000000"/>
      <name val="メイリオ"/>
      <family val="3"/>
      <charset val="128"/>
    </font>
    <font>
      <sz val="48"/>
      <name val="HGPｺﾞｼｯｸM"/>
      <family val="3"/>
      <charset val="128"/>
    </font>
    <font>
      <b/>
      <sz val="11"/>
      <name val="游ゴシック"/>
      <family val="3"/>
      <charset val="128"/>
    </font>
    <font>
      <sz val="20"/>
      <color theme="1"/>
      <name val="HGPｺﾞｼｯｸM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9B7A8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00CC"/>
        <bgColor indexed="64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1">
      <alignment vertical="center"/>
    </xf>
  </cellStyleXfs>
  <cellXfs count="17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3" fillId="9" borderId="15" xfId="0" applyFont="1" applyFill="1" applyBorder="1">
      <alignment vertical="center"/>
    </xf>
    <xf numFmtId="0" fontId="15" fillId="15" borderId="16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8" fillId="0" borderId="0" xfId="0" applyFont="1">
      <alignment vertical="center"/>
    </xf>
    <xf numFmtId="0" fontId="11" fillId="0" borderId="17" xfId="0" applyFont="1" applyBorder="1">
      <alignment vertical="center"/>
    </xf>
    <xf numFmtId="0" fontId="15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0" fillId="7" borderId="5" xfId="0" applyFont="1" applyFill="1" applyBorder="1" applyAlignment="1">
      <alignment horizontal="center" vertical="center" textRotation="255" wrapText="1"/>
    </xf>
    <xf numFmtId="0" fontId="20" fillId="7" borderId="6" xfId="0" applyFont="1" applyFill="1" applyBorder="1" applyAlignment="1">
      <alignment horizontal="center" vertical="center" textRotation="255" wrapText="1"/>
    </xf>
    <xf numFmtId="0" fontId="14" fillId="0" borderId="0" xfId="0" applyFont="1">
      <alignment vertical="center"/>
    </xf>
    <xf numFmtId="0" fontId="20" fillId="7" borderId="10" xfId="0" applyFont="1" applyFill="1" applyBorder="1" applyAlignment="1">
      <alignment horizontal="center" vertical="center" textRotation="255" wrapText="1"/>
    </xf>
    <xf numFmtId="0" fontId="20" fillId="7" borderId="9" xfId="0" applyFont="1" applyFill="1" applyBorder="1" applyAlignment="1">
      <alignment horizontal="center" vertical="center" textRotation="255" wrapText="1"/>
    </xf>
    <xf numFmtId="0" fontId="20" fillId="10" borderId="10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16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3" fillId="0" borderId="20" xfId="0" applyFont="1" applyBorder="1">
      <alignment vertical="center"/>
    </xf>
    <xf numFmtId="0" fontId="20" fillId="14" borderId="10" xfId="0" applyFont="1" applyFill="1" applyBorder="1" applyAlignment="1">
      <alignment horizontal="center" vertical="center" textRotation="255" wrapText="1"/>
    </xf>
    <xf numFmtId="0" fontId="20" fillId="14" borderId="9" xfId="0" applyFont="1" applyFill="1" applyBorder="1" applyAlignment="1">
      <alignment horizontal="center" vertical="center" textRotation="255" wrapText="1"/>
    </xf>
    <xf numFmtId="0" fontId="7" fillId="2" borderId="3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4" xfId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3" fillId="2" borderId="3" xfId="1" applyFont="1" applyBorder="1" applyAlignment="1">
      <alignment horizontal="center" vertical="center"/>
    </xf>
    <xf numFmtId="0" fontId="0" fillId="0" borderId="0" xfId="0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9" xfId="0" applyBorder="1" applyAlignment="1"/>
    <xf numFmtId="0" fontId="0" fillId="0" borderId="14" xfId="0" applyBorder="1" applyAlignment="1"/>
    <xf numFmtId="0" fontId="0" fillId="0" borderId="13" xfId="0" applyBorder="1" applyAlignment="1"/>
    <xf numFmtId="0" fontId="20" fillId="8" borderId="22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20" fillId="11" borderId="24" xfId="0" applyFont="1" applyFill="1" applyBorder="1" applyAlignment="1">
      <alignment horizontal="center" vertical="center" textRotation="255" wrapText="1"/>
    </xf>
    <xf numFmtId="0" fontId="20" fillId="7" borderId="23" xfId="0" applyFont="1" applyFill="1" applyBorder="1" applyAlignment="1">
      <alignment horizontal="center" vertical="center" wrapText="1"/>
    </xf>
    <xf numFmtId="0" fontId="20" fillId="12" borderId="22" xfId="0" applyFont="1" applyFill="1" applyBorder="1" applyAlignment="1">
      <alignment horizontal="center" vertical="center" wrapText="1"/>
    </xf>
    <xf numFmtId="0" fontId="20" fillId="10" borderId="27" xfId="0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 wrapText="1"/>
    </xf>
    <xf numFmtId="0" fontId="20" fillId="13" borderId="22" xfId="0" applyFont="1" applyFill="1" applyBorder="1" applyAlignment="1">
      <alignment horizontal="center" vertical="center" wrapText="1"/>
    </xf>
    <xf numFmtId="0" fontId="20" fillId="14" borderId="26" xfId="0" applyFont="1" applyFill="1" applyBorder="1" applyAlignment="1">
      <alignment horizontal="center" vertical="center" textRotation="255" wrapText="1"/>
    </xf>
    <xf numFmtId="0" fontId="20" fillId="5" borderId="28" xfId="0" applyFont="1" applyFill="1" applyBorder="1" applyAlignment="1">
      <alignment horizontal="center" vertical="center" textRotation="255" wrapText="1"/>
    </xf>
    <xf numFmtId="0" fontId="20" fillId="13" borderId="22" xfId="0" applyFont="1" applyFill="1" applyBorder="1" applyAlignment="1">
      <alignment vertical="center" textRotation="255" wrapText="1"/>
    </xf>
    <xf numFmtId="0" fontId="20" fillId="9" borderId="22" xfId="0" applyFont="1" applyFill="1" applyBorder="1" applyAlignment="1">
      <alignment vertical="center" wrapText="1"/>
    </xf>
    <xf numFmtId="0" fontId="20" fillId="12" borderId="26" xfId="0" applyFont="1" applyFill="1" applyBorder="1" applyAlignment="1">
      <alignment vertical="center" textRotation="255"/>
    </xf>
    <xf numFmtId="0" fontId="20" fillId="8" borderId="22" xfId="0" applyFont="1" applyFill="1" applyBorder="1" applyAlignment="1">
      <alignment vertical="center" wrapText="1"/>
    </xf>
    <xf numFmtId="0" fontId="20" fillId="14" borderId="26" xfId="0" applyFont="1" applyFill="1" applyBorder="1" applyAlignment="1">
      <alignment vertical="center" textRotation="255"/>
    </xf>
    <xf numFmtId="0" fontId="20" fillId="5" borderId="21" xfId="0" applyFont="1" applyFill="1" applyBorder="1" applyAlignment="1">
      <alignment vertical="center" wrapText="1"/>
    </xf>
    <xf numFmtId="0" fontId="20" fillId="11" borderId="25" xfId="0" applyFont="1" applyFill="1" applyBorder="1" applyAlignment="1">
      <alignment vertical="center" textRotation="255" wrapText="1"/>
    </xf>
    <xf numFmtId="0" fontId="20" fillId="7" borderId="23" xfId="0" applyFont="1" applyFill="1" applyBorder="1" applyAlignment="1">
      <alignment vertical="center" textRotation="255" wrapText="1"/>
    </xf>
    <xf numFmtId="0" fontId="26" fillId="0" borderId="0" xfId="0" applyFont="1" applyAlignment="1">
      <alignment horizontal="center" vertical="center"/>
    </xf>
    <xf numFmtId="0" fontId="0" fillId="0" borderId="8" xfId="0" applyBorder="1" applyAlignment="1"/>
    <xf numFmtId="0" fontId="4" fillId="0" borderId="29" xfId="0" applyFont="1" applyBorder="1" applyAlignment="1">
      <alignment horizontal="center" vertical="center"/>
    </xf>
    <xf numFmtId="55" fontId="21" fillId="0" borderId="29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55" fontId="21" fillId="0" borderId="30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55" fontId="21" fillId="0" borderId="36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20" fillId="7" borderId="24" xfId="0" applyFont="1" applyFill="1" applyBorder="1" applyAlignment="1">
      <alignment vertical="center" wrapText="1"/>
    </xf>
    <xf numFmtId="0" fontId="20" fillId="5" borderId="22" xfId="0" applyFont="1" applyFill="1" applyBorder="1" applyAlignment="1">
      <alignment vertical="center" wrapText="1"/>
    </xf>
    <xf numFmtId="0" fontId="20" fillId="8" borderId="2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/>
    </xf>
    <xf numFmtId="0" fontId="4" fillId="0" borderId="36" xfId="1" applyFont="1" applyFill="1" applyBorder="1" applyAlignment="1">
      <alignment horizontal="center" vertical="center" wrapText="1"/>
    </xf>
    <xf numFmtId="178" fontId="4" fillId="0" borderId="29" xfId="0" applyNumberFormat="1" applyFont="1" applyBorder="1" applyAlignment="1">
      <alignment horizontal="center" vertical="center"/>
    </xf>
    <xf numFmtId="178" fontId="4" fillId="0" borderId="30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0" fontId="27" fillId="0" borderId="0" xfId="0" applyFont="1" applyAlignment="1"/>
    <xf numFmtId="0" fontId="0" fillId="0" borderId="19" xfId="0" applyBorder="1" applyAlignment="1"/>
    <xf numFmtId="0" fontId="4" fillId="0" borderId="33" xfId="0" applyFont="1" applyBorder="1" applyAlignment="1">
      <alignment horizontal="center" vertical="center"/>
    </xf>
    <xf numFmtId="0" fontId="0" fillId="0" borderId="30" xfId="0" applyBorder="1" applyAlignment="1"/>
    <xf numFmtId="0" fontId="7" fillId="2" borderId="2" xfId="1" applyFont="1" applyBorder="1" applyAlignment="1">
      <alignment horizontal="center" vertical="center"/>
    </xf>
    <xf numFmtId="0" fontId="0" fillId="0" borderId="3" xfId="0" applyBorder="1" applyAlignment="1"/>
    <xf numFmtId="0" fontId="7" fillId="2" borderId="3" xfId="1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0" fillId="0" borderId="8" xfId="0" applyBorder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0" fillId="0" borderId="29" xfId="0" applyBorder="1" applyAlignment="1"/>
    <xf numFmtId="0" fontId="4" fillId="6" borderId="18" xfId="0" applyFont="1" applyFill="1" applyBorder="1" applyAlignment="1">
      <alignment horizontal="center" vertical="center"/>
    </xf>
    <xf numFmtId="0" fontId="0" fillId="0" borderId="4" xfId="0" applyBorder="1" applyAlignment="1"/>
    <xf numFmtId="0" fontId="4" fillId="0" borderId="35" xfId="0" applyFont="1" applyBorder="1" applyAlignment="1">
      <alignment horizontal="center" vertical="center"/>
    </xf>
    <xf numFmtId="0" fontId="0" fillId="0" borderId="36" xfId="0" applyBorder="1" applyAlignment="1"/>
    <xf numFmtId="177" fontId="2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3" fillId="24" borderId="0" xfId="0" applyFont="1" applyFill="1" applyAlignment="1">
      <alignment horizontal="left" vertical="center"/>
    </xf>
    <xf numFmtId="0" fontId="13" fillId="9" borderId="15" xfId="0" applyFont="1" applyFill="1" applyBorder="1" applyAlignment="1">
      <alignment horizontal="right" vertical="center"/>
    </xf>
    <xf numFmtId="0" fontId="0" fillId="0" borderId="15" xfId="0" applyBorder="1" applyAlignment="1"/>
    <xf numFmtId="0" fontId="13" fillId="23" borderId="0" xfId="0" applyFont="1" applyFill="1" applyAlignment="1">
      <alignment horizontal="right" vertical="center"/>
    </xf>
    <xf numFmtId="0" fontId="14" fillId="9" borderId="15" xfId="0" applyFont="1" applyFill="1" applyBorder="1" applyAlignment="1">
      <alignment horizontal="center" vertical="center"/>
    </xf>
    <xf numFmtId="0" fontId="13" fillId="21" borderId="0" xfId="0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3" fillId="21" borderId="0" xfId="0" applyFont="1" applyFill="1" applyAlignment="1">
      <alignment horizontal="center" vertical="center"/>
    </xf>
    <xf numFmtId="0" fontId="15" fillId="15" borderId="16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15" borderId="16" xfId="0" applyFont="1" applyFill="1" applyBorder="1" applyAlignment="1">
      <alignment horizontal="right" vertical="center"/>
    </xf>
    <xf numFmtId="0" fontId="13" fillId="17" borderId="0" xfId="0" applyFont="1" applyFill="1" applyAlignment="1">
      <alignment horizontal="right" vertical="center"/>
    </xf>
    <xf numFmtId="0" fontId="13" fillId="17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right" vertical="center"/>
    </xf>
    <xf numFmtId="0" fontId="13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13" fillId="22" borderId="0" xfId="0" applyFont="1" applyFill="1" applyAlignment="1">
      <alignment horizontal="right" vertical="center"/>
    </xf>
    <xf numFmtId="0" fontId="13" fillId="20" borderId="0" xfId="0" applyFont="1" applyFill="1" applyAlignment="1">
      <alignment horizontal="right" vertical="center"/>
    </xf>
    <xf numFmtId="0" fontId="13" fillId="22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3" fillId="24" borderId="0" xfId="0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24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left" vertical="center"/>
    </xf>
    <xf numFmtId="0" fontId="13" fillId="23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3" fillId="18" borderId="0" xfId="0" applyFont="1" applyFill="1" applyAlignment="1">
      <alignment horizontal="right" vertical="center"/>
    </xf>
    <xf numFmtId="0" fontId="13" fillId="21" borderId="0" xfId="0" applyFont="1" applyFill="1" applyAlignment="1">
      <alignment horizontal="left" vertical="center"/>
    </xf>
    <xf numFmtId="0" fontId="13" fillId="22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0" fontId="13" fillId="23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right" vertical="center"/>
    </xf>
    <xf numFmtId="0" fontId="13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28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3" borderId="0" xfId="0" applyFont="1" applyFill="1">
      <alignment vertical="center"/>
    </xf>
    <xf numFmtId="0" fontId="28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28" fillId="3" borderId="0" xfId="0" applyFont="1" applyFill="1" applyAlignment="1">
      <alignment vertical="center" wrapText="1"/>
    </xf>
    <xf numFmtId="0" fontId="28" fillId="4" borderId="0" xfId="0" applyFont="1" applyFill="1" applyAlignment="1">
      <alignment vertical="center" wrapText="1"/>
    </xf>
    <xf numFmtId="0" fontId="0" fillId="0" borderId="0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3" fillId="0" borderId="30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6" xfId="0" applyFont="1" applyBorder="1">
      <alignment vertical="center"/>
    </xf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38</xdr:row>
      <xdr:rowOff>0</xdr:rowOff>
    </xdr:from>
    <xdr:to>
      <xdr:col>104</xdr:col>
      <xdr:colOff>281940</xdr:colOff>
      <xdr:row>189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5540" y="9136380"/>
          <a:ext cx="37513260" cy="34785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11</xdr:col>
      <xdr:colOff>217714</xdr:colOff>
      <xdr:row>10</xdr:row>
      <xdr:rowOff>-1</xdr:rowOff>
    </xdr:from>
    <xdr:to>
      <xdr:col>24</xdr:col>
      <xdr:colOff>301507</xdr:colOff>
      <xdr:row>33</xdr:row>
      <xdr:rowOff>106942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2449285"/>
          <a:ext cx="6147136" cy="5702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9"/>
  <sheetViews>
    <sheetView tabSelected="1" workbookViewId="0">
      <selection sqref="A1:XFD1048576"/>
    </sheetView>
  </sheetViews>
  <sheetFormatPr defaultRowHeight="18" x14ac:dyDescent="0.45"/>
  <cols>
    <col min="1" max="1" width="23.09765625" style="43" customWidth="1"/>
    <col min="3" max="4" width="16.3984375" style="43" customWidth="1"/>
    <col min="6" max="6" width="25.8984375" style="43" customWidth="1"/>
  </cols>
  <sheetData>
    <row r="1" spans="1:13" x14ac:dyDescent="0.4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x14ac:dyDescent="0.45">
      <c r="A2"/>
      <c r="C2"/>
      <c r="D2"/>
      <c r="F2"/>
    </row>
    <row r="3" spans="1:13" x14ac:dyDescent="0.45">
      <c r="A3"/>
      <c r="C3"/>
      <c r="D3"/>
      <c r="F3"/>
    </row>
    <row r="4" spans="1:13" x14ac:dyDescent="0.45">
      <c r="A4"/>
      <c r="C4"/>
      <c r="D4"/>
      <c r="F4"/>
    </row>
    <row r="5" spans="1:13" x14ac:dyDescent="0.45">
      <c r="A5"/>
      <c r="C5"/>
      <c r="D5"/>
      <c r="F5"/>
    </row>
    <row r="6" spans="1:13" x14ac:dyDescent="0.45">
      <c r="A6"/>
      <c r="C6"/>
      <c r="D6"/>
      <c r="F6"/>
    </row>
    <row r="7" spans="1:13" x14ac:dyDescent="0.45">
      <c r="A7"/>
      <c r="C7"/>
      <c r="D7"/>
      <c r="F7"/>
    </row>
    <row r="8" spans="1:13" x14ac:dyDescent="0.45">
      <c r="A8"/>
      <c r="C8"/>
      <c r="D8"/>
      <c r="F8"/>
    </row>
    <row r="9" spans="1:13" x14ac:dyDescent="0.45">
      <c r="A9"/>
      <c r="C9"/>
      <c r="D9"/>
      <c r="F9"/>
    </row>
    <row r="10" spans="1:13" x14ac:dyDescent="0.45">
      <c r="A10"/>
      <c r="C10"/>
      <c r="D10"/>
      <c r="F10"/>
    </row>
    <row r="11" spans="1:13" x14ac:dyDescent="0.45">
      <c r="A11"/>
      <c r="C11"/>
      <c r="D11"/>
      <c r="F11"/>
    </row>
    <row r="12" spans="1:13" x14ac:dyDescent="0.45">
      <c r="A12"/>
      <c r="C12"/>
      <c r="D12"/>
      <c r="F12"/>
    </row>
    <row r="13" spans="1:13" x14ac:dyDescent="0.45">
      <c r="A13"/>
      <c r="C13"/>
      <c r="D13"/>
      <c r="F13"/>
    </row>
    <row r="14" spans="1:13" x14ac:dyDescent="0.45">
      <c r="A14"/>
      <c r="C14"/>
      <c r="D14"/>
      <c r="F14"/>
    </row>
    <row r="15" spans="1:13" x14ac:dyDescent="0.45">
      <c r="A15"/>
      <c r="C15"/>
      <c r="D15"/>
      <c r="F15"/>
    </row>
    <row r="16" spans="1:13" x14ac:dyDescent="0.45">
      <c r="A16"/>
      <c r="C16"/>
      <c r="D16"/>
      <c r="F16"/>
    </row>
    <row r="17" spans="1:6" x14ac:dyDescent="0.45">
      <c r="A17"/>
      <c r="C17"/>
      <c r="D17"/>
      <c r="F17"/>
    </row>
    <row r="18" spans="1:6" x14ac:dyDescent="0.45">
      <c r="A18"/>
      <c r="C18"/>
      <c r="D18"/>
      <c r="F18"/>
    </row>
    <row r="19" spans="1:6" x14ac:dyDescent="0.45">
      <c r="A19"/>
      <c r="C19"/>
      <c r="D19"/>
      <c r="F19"/>
    </row>
    <row r="20" spans="1:6" x14ac:dyDescent="0.45">
      <c r="A20"/>
      <c r="C20"/>
      <c r="D20"/>
      <c r="F20"/>
    </row>
    <row r="21" spans="1:6" x14ac:dyDescent="0.45">
      <c r="A21"/>
      <c r="C21"/>
      <c r="D21"/>
      <c r="F21"/>
    </row>
    <row r="22" spans="1:6" x14ac:dyDescent="0.45">
      <c r="A22"/>
      <c r="C22"/>
      <c r="D22"/>
      <c r="F22"/>
    </row>
    <row r="23" spans="1:6" x14ac:dyDescent="0.45">
      <c r="A23"/>
      <c r="C23"/>
      <c r="D23"/>
      <c r="F23"/>
    </row>
    <row r="24" spans="1:6" x14ac:dyDescent="0.45">
      <c r="A24"/>
      <c r="C24"/>
      <c r="D24"/>
      <c r="F24"/>
    </row>
    <row r="25" spans="1:6" x14ac:dyDescent="0.45">
      <c r="A25"/>
      <c r="C25"/>
      <c r="D25"/>
      <c r="F25"/>
    </row>
    <row r="26" spans="1:6" x14ac:dyDescent="0.45">
      <c r="A26"/>
      <c r="C26"/>
      <c r="D26"/>
      <c r="F26"/>
    </row>
    <row r="27" spans="1:6" x14ac:dyDescent="0.45">
      <c r="A27"/>
      <c r="C27"/>
      <c r="D27"/>
      <c r="F27"/>
    </row>
    <row r="28" spans="1:6" x14ac:dyDescent="0.45">
      <c r="A28"/>
      <c r="C28"/>
      <c r="D28"/>
      <c r="F28"/>
    </row>
    <row r="29" spans="1:6" x14ac:dyDescent="0.45">
      <c r="A29"/>
      <c r="C29"/>
      <c r="D29"/>
      <c r="F29"/>
    </row>
    <row r="30" spans="1:6" x14ac:dyDescent="0.45">
      <c r="A30"/>
      <c r="C30"/>
      <c r="D30"/>
      <c r="F30"/>
    </row>
    <row r="31" spans="1:6" x14ac:dyDescent="0.45">
      <c r="A31"/>
      <c r="C31"/>
      <c r="D31"/>
      <c r="F31"/>
    </row>
    <row r="32" spans="1:6" x14ac:dyDescent="0.45">
      <c r="A32"/>
      <c r="C32"/>
      <c r="D32"/>
      <c r="F32"/>
    </row>
    <row r="33" spans="1:6" x14ac:dyDescent="0.45">
      <c r="A33"/>
      <c r="C33"/>
      <c r="D33"/>
      <c r="F33"/>
    </row>
    <row r="34" spans="1:6" x14ac:dyDescent="0.45">
      <c r="A34"/>
      <c r="C34"/>
      <c r="D34"/>
      <c r="F34"/>
    </row>
    <row r="35" spans="1:6" x14ac:dyDescent="0.45">
      <c r="A35"/>
      <c r="C35"/>
      <c r="D35"/>
      <c r="F35"/>
    </row>
    <row r="36" spans="1:6" x14ac:dyDescent="0.45">
      <c r="A36"/>
      <c r="C36"/>
      <c r="D36"/>
      <c r="F36"/>
    </row>
    <row r="37" spans="1:6" x14ac:dyDescent="0.45">
      <c r="A37"/>
      <c r="C37"/>
      <c r="D37"/>
      <c r="F37"/>
    </row>
    <row r="38" spans="1:6" x14ac:dyDescent="0.45">
      <c r="A38"/>
      <c r="C38"/>
      <c r="D38"/>
      <c r="F38"/>
    </row>
    <row r="39" spans="1:6" x14ac:dyDescent="0.45">
      <c r="A39"/>
      <c r="C39"/>
      <c r="D39"/>
      <c r="F39"/>
    </row>
    <row r="40" spans="1:6" x14ac:dyDescent="0.45">
      <c r="A40"/>
      <c r="C40"/>
      <c r="D40"/>
      <c r="F40"/>
    </row>
    <row r="41" spans="1:6" x14ac:dyDescent="0.45">
      <c r="A41"/>
      <c r="C41"/>
      <c r="D41"/>
      <c r="F41"/>
    </row>
    <row r="42" spans="1:6" x14ac:dyDescent="0.45">
      <c r="A42"/>
      <c r="C42"/>
      <c r="D42"/>
      <c r="F42"/>
    </row>
    <row r="43" spans="1:6" x14ac:dyDescent="0.45">
      <c r="A43"/>
      <c r="C43"/>
      <c r="D43"/>
      <c r="F43"/>
    </row>
    <row r="44" spans="1:6" x14ac:dyDescent="0.45">
      <c r="A44"/>
      <c r="C44"/>
      <c r="D44"/>
      <c r="F44"/>
    </row>
    <row r="45" spans="1:6" x14ac:dyDescent="0.45">
      <c r="A45"/>
      <c r="C45"/>
      <c r="D45"/>
      <c r="F45"/>
    </row>
    <row r="46" spans="1:6" x14ac:dyDescent="0.45">
      <c r="A46"/>
      <c r="C46"/>
      <c r="D46"/>
      <c r="F46"/>
    </row>
    <row r="47" spans="1:6" x14ac:dyDescent="0.45">
      <c r="A47"/>
      <c r="C47"/>
      <c r="D47"/>
      <c r="F47"/>
    </row>
    <row r="48" spans="1:6" x14ac:dyDescent="0.45">
      <c r="A48"/>
      <c r="C48"/>
      <c r="D48"/>
      <c r="F48"/>
    </row>
    <row r="49" spans="1:6" x14ac:dyDescent="0.45">
      <c r="A49"/>
      <c r="C49"/>
      <c r="D49"/>
      <c r="F49"/>
    </row>
    <row r="50" spans="1:6" x14ac:dyDescent="0.45">
      <c r="A50"/>
      <c r="C50"/>
      <c r="D50"/>
      <c r="F50"/>
    </row>
    <row r="51" spans="1:6" x14ac:dyDescent="0.45">
      <c r="A51"/>
      <c r="C51"/>
      <c r="D51"/>
      <c r="F51"/>
    </row>
    <row r="52" spans="1:6" x14ac:dyDescent="0.45">
      <c r="A52"/>
      <c r="C52"/>
      <c r="D52"/>
      <c r="F52"/>
    </row>
    <row r="53" spans="1:6" x14ac:dyDescent="0.45">
      <c r="A53"/>
      <c r="C53"/>
      <c r="D53"/>
      <c r="F53"/>
    </row>
    <row r="54" spans="1:6" x14ac:dyDescent="0.45">
      <c r="A54"/>
      <c r="C54"/>
      <c r="D54"/>
      <c r="F54"/>
    </row>
    <row r="55" spans="1:6" x14ac:dyDescent="0.45">
      <c r="A55"/>
      <c r="C55"/>
      <c r="D55"/>
      <c r="F55"/>
    </row>
    <row r="56" spans="1:6" x14ac:dyDescent="0.45">
      <c r="A56"/>
      <c r="C56"/>
      <c r="D56"/>
      <c r="F56"/>
    </row>
    <row r="57" spans="1:6" x14ac:dyDescent="0.45">
      <c r="A57"/>
      <c r="C57"/>
      <c r="D57"/>
      <c r="F57"/>
    </row>
    <row r="58" spans="1:6" x14ac:dyDescent="0.45">
      <c r="A58"/>
      <c r="C58"/>
      <c r="D58"/>
      <c r="F58"/>
    </row>
    <row r="59" spans="1:6" x14ac:dyDescent="0.45">
      <c r="A59"/>
      <c r="C59"/>
      <c r="D59"/>
      <c r="F59"/>
    </row>
    <row r="60" spans="1:6" x14ac:dyDescent="0.45">
      <c r="A60"/>
      <c r="C60"/>
      <c r="D60"/>
      <c r="F60"/>
    </row>
    <row r="61" spans="1:6" x14ac:dyDescent="0.45">
      <c r="A61"/>
      <c r="C61"/>
      <c r="D61"/>
      <c r="F61"/>
    </row>
    <row r="62" spans="1:6" x14ac:dyDescent="0.45">
      <c r="A62"/>
      <c r="C62"/>
      <c r="D62"/>
      <c r="F62"/>
    </row>
    <row r="63" spans="1:6" x14ac:dyDescent="0.45">
      <c r="A63"/>
      <c r="C63"/>
      <c r="D63"/>
      <c r="F63"/>
    </row>
    <row r="64" spans="1:6" x14ac:dyDescent="0.45">
      <c r="A64"/>
      <c r="C64"/>
      <c r="D64"/>
      <c r="F64"/>
    </row>
    <row r="65" spans="1:6" x14ac:dyDescent="0.45">
      <c r="A65"/>
      <c r="C65"/>
      <c r="D65"/>
      <c r="F65"/>
    </row>
    <row r="66" spans="1:6" x14ac:dyDescent="0.45">
      <c r="A66"/>
      <c r="C66"/>
      <c r="D66"/>
      <c r="F66"/>
    </row>
    <row r="67" spans="1:6" x14ac:dyDescent="0.45">
      <c r="A67"/>
      <c r="C67"/>
      <c r="D67"/>
      <c r="F67"/>
    </row>
    <row r="68" spans="1:6" x14ac:dyDescent="0.45">
      <c r="A68"/>
      <c r="C68"/>
      <c r="D68"/>
      <c r="F68"/>
    </row>
    <row r="69" spans="1:6" x14ac:dyDescent="0.45">
      <c r="A69"/>
      <c r="C69"/>
      <c r="D69"/>
      <c r="F69"/>
    </row>
    <row r="70" spans="1:6" x14ac:dyDescent="0.45">
      <c r="A70"/>
      <c r="C70"/>
      <c r="D70"/>
      <c r="F70"/>
    </row>
    <row r="71" spans="1:6" x14ac:dyDescent="0.45">
      <c r="A71"/>
      <c r="C71"/>
      <c r="D71"/>
      <c r="F71"/>
    </row>
    <row r="72" spans="1:6" x14ac:dyDescent="0.45">
      <c r="A72"/>
      <c r="C72"/>
      <c r="D72"/>
      <c r="F72"/>
    </row>
    <row r="73" spans="1:6" x14ac:dyDescent="0.45">
      <c r="A73"/>
      <c r="C73"/>
      <c r="D73"/>
      <c r="F73"/>
    </row>
    <row r="74" spans="1:6" x14ac:dyDescent="0.45">
      <c r="A74"/>
      <c r="C74"/>
      <c r="D74"/>
      <c r="F74"/>
    </row>
    <row r="75" spans="1:6" x14ac:dyDescent="0.45">
      <c r="A75"/>
      <c r="C75"/>
      <c r="D75"/>
      <c r="F75"/>
    </row>
    <row r="76" spans="1:6" x14ac:dyDescent="0.45">
      <c r="A76"/>
      <c r="C76"/>
      <c r="D76"/>
      <c r="F76"/>
    </row>
    <row r="77" spans="1:6" x14ac:dyDescent="0.45">
      <c r="A77"/>
      <c r="C77"/>
      <c r="D77"/>
      <c r="F77"/>
    </row>
    <row r="78" spans="1:6" x14ac:dyDescent="0.45">
      <c r="A78"/>
      <c r="C78"/>
      <c r="D78"/>
      <c r="F78"/>
    </row>
    <row r="79" spans="1:6" x14ac:dyDescent="0.45">
      <c r="A79"/>
      <c r="C79"/>
      <c r="D79"/>
      <c r="F79"/>
    </row>
    <row r="80" spans="1:6" x14ac:dyDescent="0.45">
      <c r="A80"/>
      <c r="C80"/>
      <c r="D80"/>
      <c r="F80"/>
    </row>
    <row r="81" spans="1:6" x14ac:dyDescent="0.45">
      <c r="A81"/>
      <c r="C81"/>
      <c r="D81"/>
      <c r="F81"/>
    </row>
    <row r="82" spans="1:6" x14ac:dyDescent="0.45">
      <c r="A82"/>
      <c r="C82"/>
      <c r="D82"/>
      <c r="F82"/>
    </row>
    <row r="83" spans="1:6" x14ac:dyDescent="0.45">
      <c r="A83"/>
      <c r="C83"/>
      <c r="D83"/>
      <c r="F83"/>
    </row>
    <row r="84" spans="1:6" x14ac:dyDescent="0.45">
      <c r="A84"/>
      <c r="C84"/>
      <c r="D84"/>
      <c r="F84"/>
    </row>
    <row r="85" spans="1:6" x14ac:dyDescent="0.45">
      <c r="A85"/>
      <c r="C85"/>
      <c r="D85"/>
      <c r="F85"/>
    </row>
    <row r="86" spans="1:6" x14ac:dyDescent="0.45">
      <c r="A86"/>
      <c r="C86"/>
      <c r="D86"/>
      <c r="F86"/>
    </row>
    <row r="87" spans="1:6" x14ac:dyDescent="0.45">
      <c r="A87"/>
      <c r="C87"/>
      <c r="D87"/>
      <c r="F87"/>
    </row>
    <row r="88" spans="1:6" x14ac:dyDescent="0.45">
      <c r="A88"/>
      <c r="C88"/>
      <c r="D88"/>
      <c r="F88"/>
    </row>
    <row r="89" spans="1:6" x14ac:dyDescent="0.45">
      <c r="A89"/>
      <c r="C89"/>
      <c r="D89"/>
      <c r="F89"/>
    </row>
    <row r="90" spans="1:6" x14ac:dyDescent="0.45">
      <c r="A90"/>
      <c r="C90"/>
      <c r="D90"/>
      <c r="F90"/>
    </row>
    <row r="91" spans="1:6" x14ac:dyDescent="0.45">
      <c r="A91"/>
      <c r="C91"/>
      <c r="D91"/>
      <c r="F91"/>
    </row>
    <row r="92" spans="1:6" x14ac:dyDescent="0.45">
      <c r="A92"/>
      <c r="C92"/>
      <c r="D92"/>
      <c r="F92"/>
    </row>
    <row r="93" spans="1:6" x14ac:dyDescent="0.45">
      <c r="A93"/>
      <c r="C93"/>
      <c r="D93"/>
      <c r="F93"/>
    </row>
    <row r="94" spans="1:6" x14ac:dyDescent="0.45">
      <c r="A94"/>
      <c r="C94"/>
      <c r="D94"/>
      <c r="F94"/>
    </row>
    <row r="95" spans="1:6" x14ac:dyDescent="0.45">
      <c r="A95"/>
      <c r="C95"/>
      <c r="D95"/>
      <c r="F95"/>
    </row>
    <row r="96" spans="1:6" x14ac:dyDescent="0.45">
      <c r="A96"/>
      <c r="C96"/>
      <c r="D96"/>
      <c r="F96"/>
    </row>
    <row r="97" spans="1:6" x14ac:dyDescent="0.45">
      <c r="A97"/>
      <c r="C97"/>
      <c r="D97"/>
      <c r="F97"/>
    </row>
    <row r="98" spans="1:6" x14ac:dyDescent="0.45">
      <c r="A98"/>
      <c r="C98"/>
      <c r="D98"/>
      <c r="F98"/>
    </row>
    <row r="99" spans="1:6" x14ac:dyDescent="0.45">
      <c r="A99"/>
      <c r="C99"/>
      <c r="D99"/>
      <c r="F99"/>
    </row>
    <row r="100" spans="1:6" x14ac:dyDescent="0.45">
      <c r="A100"/>
      <c r="C100"/>
      <c r="D100"/>
      <c r="F100"/>
    </row>
    <row r="101" spans="1:6" x14ac:dyDescent="0.45">
      <c r="A101"/>
      <c r="C101"/>
      <c r="D101"/>
      <c r="F101"/>
    </row>
    <row r="102" spans="1:6" x14ac:dyDescent="0.45">
      <c r="A102"/>
      <c r="C102"/>
      <c r="D102"/>
      <c r="F102"/>
    </row>
    <row r="103" spans="1:6" x14ac:dyDescent="0.45">
      <c r="A103"/>
      <c r="C103"/>
      <c r="D103"/>
      <c r="F103"/>
    </row>
    <row r="104" spans="1:6" x14ac:dyDescent="0.45">
      <c r="A104"/>
      <c r="C104"/>
      <c r="D104"/>
      <c r="F104"/>
    </row>
    <row r="105" spans="1:6" x14ac:dyDescent="0.45">
      <c r="A105"/>
      <c r="C105"/>
      <c r="D105"/>
      <c r="F105"/>
    </row>
    <row r="106" spans="1:6" x14ac:dyDescent="0.45">
      <c r="A106"/>
      <c r="C106"/>
      <c r="D106"/>
      <c r="F106"/>
    </row>
    <row r="107" spans="1:6" x14ac:dyDescent="0.45">
      <c r="A107"/>
      <c r="C107"/>
      <c r="D107"/>
      <c r="F107"/>
    </row>
    <row r="108" spans="1:6" x14ac:dyDescent="0.45">
      <c r="A108"/>
      <c r="C108"/>
      <c r="D108"/>
      <c r="F108"/>
    </row>
    <row r="109" spans="1:6" x14ac:dyDescent="0.45">
      <c r="A109"/>
      <c r="C109"/>
      <c r="D109"/>
      <c r="F109"/>
    </row>
    <row r="110" spans="1:6" x14ac:dyDescent="0.45">
      <c r="A110"/>
      <c r="C110"/>
      <c r="D110"/>
      <c r="F110"/>
    </row>
    <row r="111" spans="1:6" x14ac:dyDescent="0.45">
      <c r="A111"/>
      <c r="C111"/>
      <c r="D111"/>
      <c r="F111"/>
    </row>
    <row r="112" spans="1:6" x14ac:dyDescent="0.45">
      <c r="A112"/>
      <c r="C112"/>
      <c r="D112"/>
      <c r="F112"/>
    </row>
    <row r="113" spans="1:6" x14ac:dyDescent="0.45">
      <c r="A113"/>
      <c r="C113"/>
      <c r="D113"/>
      <c r="F113"/>
    </row>
    <row r="114" spans="1:6" x14ac:dyDescent="0.45">
      <c r="A114"/>
      <c r="C114"/>
      <c r="D114"/>
      <c r="F114"/>
    </row>
    <row r="115" spans="1:6" x14ac:dyDescent="0.45">
      <c r="A115"/>
      <c r="C115"/>
      <c r="D115"/>
      <c r="F115"/>
    </row>
    <row r="116" spans="1:6" x14ac:dyDescent="0.45">
      <c r="A116"/>
      <c r="C116"/>
      <c r="D116"/>
      <c r="F116"/>
    </row>
    <row r="117" spans="1:6" x14ac:dyDescent="0.45">
      <c r="A117"/>
      <c r="C117"/>
      <c r="D117"/>
      <c r="F117"/>
    </row>
    <row r="118" spans="1:6" x14ac:dyDescent="0.45">
      <c r="A118"/>
      <c r="C118"/>
      <c r="D118"/>
      <c r="F118"/>
    </row>
    <row r="119" spans="1:6" x14ac:dyDescent="0.45">
      <c r="A119"/>
      <c r="C119"/>
      <c r="D119"/>
      <c r="F119"/>
    </row>
    <row r="120" spans="1:6" x14ac:dyDescent="0.45">
      <c r="A120"/>
      <c r="C120"/>
      <c r="D120"/>
      <c r="F120"/>
    </row>
    <row r="121" spans="1:6" x14ac:dyDescent="0.45">
      <c r="A121"/>
      <c r="C121"/>
      <c r="D121"/>
      <c r="F121"/>
    </row>
    <row r="122" spans="1:6" x14ac:dyDescent="0.45">
      <c r="A122"/>
      <c r="C122"/>
      <c r="D122"/>
      <c r="F122"/>
    </row>
    <row r="123" spans="1:6" x14ac:dyDescent="0.45">
      <c r="A123"/>
      <c r="C123"/>
      <c r="D123"/>
      <c r="F123"/>
    </row>
    <row r="124" spans="1:6" x14ac:dyDescent="0.45">
      <c r="A124"/>
      <c r="C124"/>
      <c r="D124"/>
      <c r="F124"/>
    </row>
    <row r="125" spans="1:6" x14ac:dyDescent="0.45">
      <c r="A125"/>
      <c r="C125"/>
      <c r="D125"/>
      <c r="F125"/>
    </row>
    <row r="126" spans="1:6" x14ac:dyDescent="0.45">
      <c r="A126"/>
      <c r="C126"/>
      <c r="D126"/>
      <c r="F126"/>
    </row>
    <row r="127" spans="1:6" x14ac:dyDescent="0.45">
      <c r="A127"/>
      <c r="C127"/>
      <c r="D127"/>
      <c r="F127"/>
    </row>
    <row r="128" spans="1:6" x14ac:dyDescent="0.45">
      <c r="A128"/>
      <c r="C128"/>
      <c r="D128"/>
      <c r="F128"/>
    </row>
    <row r="129" spans="1:6" x14ac:dyDescent="0.45">
      <c r="A129"/>
      <c r="C129"/>
      <c r="D129"/>
      <c r="F129"/>
    </row>
    <row r="130" spans="1:6" x14ac:dyDescent="0.45">
      <c r="A130"/>
      <c r="C130"/>
      <c r="D130"/>
      <c r="F130"/>
    </row>
    <row r="131" spans="1:6" x14ac:dyDescent="0.45">
      <c r="A131"/>
      <c r="C131"/>
      <c r="D131"/>
      <c r="F131"/>
    </row>
    <row r="132" spans="1:6" x14ac:dyDescent="0.45">
      <c r="A132"/>
      <c r="C132"/>
      <c r="D132"/>
      <c r="F132"/>
    </row>
    <row r="133" spans="1:6" x14ac:dyDescent="0.45">
      <c r="A133"/>
      <c r="C133"/>
      <c r="D133"/>
      <c r="F133"/>
    </row>
    <row r="134" spans="1:6" x14ac:dyDescent="0.45">
      <c r="A134"/>
      <c r="C134"/>
      <c r="D134"/>
      <c r="F134"/>
    </row>
    <row r="135" spans="1:6" x14ac:dyDescent="0.45">
      <c r="A135"/>
      <c r="C135"/>
      <c r="D135"/>
      <c r="F135"/>
    </row>
    <row r="136" spans="1:6" x14ac:dyDescent="0.45">
      <c r="A136"/>
      <c r="C136"/>
      <c r="D136"/>
      <c r="F136"/>
    </row>
    <row r="137" spans="1:6" x14ac:dyDescent="0.45">
      <c r="A137"/>
      <c r="C137"/>
      <c r="D137"/>
      <c r="F137"/>
    </row>
    <row r="138" spans="1:6" x14ac:dyDescent="0.45">
      <c r="A138"/>
      <c r="C138"/>
      <c r="D138"/>
      <c r="F138"/>
    </row>
    <row r="139" spans="1:6" x14ac:dyDescent="0.45">
      <c r="A139"/>
      <c r="C139"/>
      <c r="D139"/>
      <c r="F139"/>
    </row>
    <row r="140" spans="1:6" x14ac:dyDescent="0.45">
      <c r="A140"/>
      <c r="C140"/>
      <c r="D140"/>
      <c r="F140"/>
    </row>
    <row r="141" spans="1:6" x14ac:dyDescent="0.45">
      <c r="A141"/>
      <c r="C141"/>
      <c r="D141"/>
      <c r="F141"/>
    </row>
    <row r="142" spans="1:6" x14ac:dyDescent="0.45">
      <c r="A142"/>
      <c r="C142"/>
      <c r="D142"/>
      <c r="F142"/>
    </row>
    <row r="143" spans="1:6" x14ac:dyDescent="0.45">
      <c r="A143"/>
      <c r="C143"/>
      <c r="D143"/>
      <c r="F143"/>
    </row>
    <row r="144" spans="1:6" x14ac:dyDescent="0.45">
      <c r="A144"/>
      <c r="C144"/>
      <c r="D144"/>
      <c r="F144"/>
    </row>
    <row r="145" spans="1:6" x14ac:dyDescent="0.45">
      <c r="A145"/>
      <c r="C145"/>
      <c r="D145"/>
      <c r="F145"/>
    </row>
    <row r="146" spans="1:6" x14ac:dyDescent="0.45">
      <c r="A146"/>
      <c r="C146"/>
      <c r="D146"/>
      <c r="F146"/>
    </row>
    <row r="147" spans="1:6" x14ac:dyDescent="0.45">
      <c r="A147"/>
      <c r="C147"/>
      <c r="D147"/>
      <c r="F147"/>
    </row>
    <row r="148" spans="1:6" x14ac:dyDescent="0.45">
      <c r="A148"/>
      <c r="C148"/>
      <c r="D148"/>
      <c r="F148"/>
    </row>
    <row r="149" spans="1:6" x14ac:dyDescent="0.45">
      <c r="A149"/>
      <c r="C149"/>
      <c r="D149"/>
      <c r="F149"/>
    </row>
    <row r="150" spans="1:6" x14ac:dyDescent="0.45">
      <c r="A150"/>
      <c r="C150"/>
      <c r="D150"/>
      <c r="F150"/>
    </row>
    <row r="151" spans="1:6" x14ac:dyDescent="0.45">
      <c r="A151"/>
      <c r="C151"/>
      <c r="D151"/>
      <c r="F151"/>
    </row>
    <row r="152" spans="1:6" x14ac:dyDescent="0.45">
      <c r="A152"/>
      <c r="C152"/>
      <c r="D152"/>
      <c r="F152"/>
    </row>
    <row r="153" spans="1:6" x14ac:dyDescent="0.45">
      <c r="A153"/>
      <c r="C153"/>
      <c r="D153"/>
      <c r="F153"/>
    </row>
    <row r="154" spans="1:6" x14ac:dyDescent="0.45">
      <c r="A154"/>
      <c r="C154"/>
      <c r="D154"/>
      <c r="F154"/>
    </row>
    <row r="155" spans="1:6" x14ac:dyDescent="0.45">
      <c r="A155"/>
      <c r="C155"/>
      <c r="D155"/>
      <c r="F155"/>
    </row>
    <row r="156" spans="1:6" x14ac:dyDescent="0.45">
      <c r="A156"/>
      <c r="C156"/>
      <c r="D156"/>
      <c r="F156"/>
    </row>
    <row r="157" spans="1:6" x14ac:dyDescent="0.45">
      <c r="A157"/>
      <c r="C157"/>
      <c r="D157"/>
      <c r="F157"/>
    </row>
    <row r="158" spans="1:6" x14ac:dyDescent="0.45">
      <c r="A158"/>
      <c r="C158"/>
      <c r="D158"/>
      <c r="F158"/>
    </row>
    <row r="159" spans="1:6" x14ac:dyDescent="0.45">
      <c r="A159"/>
      <c r="C159"/>
      <c r="D159"/>
      <c r="F159"/>
    </row>
    <row r="160" spans="1:6" x14ac:dyDescent="0.45">
      <c r="A160"/>
      <c r="C160"/>
      <c r="D160"/>
      <c r="F160"/>
    </row>
    <row r="161" spans="1:6" x14ac:dyDescent="0.45">
      <c r="A161"/>
      <c r="C161"/>
      <c r="D161"/>
      <c r="F161"/>
    </row>
    <row r="162" spans="1:6" x14ac:dyDescent="0.45">
      <c r="A162"/>
      <c r="C162"/>
      <c r="D162"/>
      <c r="F162"/>
    </row>
    <row r="163" spans="1:6" x14ac:dyDescent="0.45">
      <c r="A163"/>
      <c r="C163"/>
      <c r="D163"/>
      <c r="F163"/>
    </row>
    <row r="164" spans="1:6" x14ac:dyDescent="0.45">
      <c r="A164"/>
      <c r="C164"/>
      <c r="D164"/>
      <c r="F164"/>
    </row>
    <row r="165" spans="1:6" x14ac:dyDescent="0.45">
      <c r="A165"/>
      <c r="C165"/>
      <c r="D165"/>
      <c r="F165"/>
    </row>
    <row r="166" spans="1:6" x14ac:dyDescent="0.45">
      <c r="A166"/>
      <c r="C166"/>
      <c r="D166"/>
      <c r="F166"/>
    </row>
    <row r="167" spans="1:6" x14ac:dyDescent="0.45">
      <c r="A167"/>
      <c r="C167"/>
      <c r="D167"/>
      <c r="F167"/>
    </row>
    <row r="168" spans="1:6" x14ac:dyDescent="0.45">
      <c r="A168"/>
      <c r="C168"/>
      <c r="D168"/>
      <c r="F168"/>
    </row>
    <row r="169" spans="1:6" x14ac:dyDescent="0.45">
      <c r="A169"/>
      <c r="C169"/>
      <c r="D169"/>
      <c r="F169"/>
    </row>
    <row r="170" spans="1:6" x14ac:dyDescent="0.45">
      <c r="A170"/>
      <c r="C170"/>
      <c r="D170"/>
      <c r="F170"/>
    </row>
    <row r="171" spans="1:6" x14ac:dyDescent="0.45">
      <c r="A171"/>
      <c r="C171"/>
      <c r="D171"/>
      <c r="F171"/>
    </row>
    <row r="172" spans="1:6" x14ac:dyDescent="0.45">
      <c r="A172"/>
      <c r="C172"/>
      <c r="D172"/>
      <c r="F172"/>
    </row>
    <row r="173" spans="1:6" x14ac:dyDescent="0.45">
      <c r="A173"/>
      <c r="C173"/>
      <c r="D173"/>
      <c r="F173"/>
    </row>
    <row r="174" spans="1:6" x14ac:dyDescent="0.45">
      <c r="A174"/>
      <c r="C174"/>
      <c r="D174"/>
      <c r="F174"/>
    </row>
    <row r="175" spans="1:6" x14ac:dyDescent="0.45">
      <c r="A175"/>
      <c r="C175"/>
      <c r="D175"/>
      <c r="F175"/>
    </row>
    <row r="176" spans="1:6" x14ac:dyDescent="0.45">
      <c r="A176"/>
      <c r="C176"/>
      <c r="D176"/>
      <c r="F176"/>
    </row>
    <row r="177" spans="1:6" x14ac:dyDescent="0.45">
      <c r="A177"/>
      <c r="C177"/>
      <c r="D177"/>
      <c r="F177"/>
    </row>
    <row r="178" spans="1:6" x14ac:dyDescent="0.45">
      <c r="A178"/>
      <c r="C178"/>
      <c r="D178"/>
      <c r="F178"/>
    </row>
    <row r="179" spans="1:6" x14ac:dyDescent="0.45">
      <c r="A179"/>
      <c r="C179"/>
      <c r="D179"/>
      <c r="F179"/>
    </row>
    <row r="180" spans="1:6" x14ac:dyDescent="0.45">
      <c r="A180"/>
      <c r="C180"/>
      <c r="D180"/>
      <c r="F180"/>
    </row>
    <row r="181" spans="1:6" x14ac:dyDescent="0.45">
      <c r="A181"/>
      <c r="C181"/>
      <c r="D181"/>
      <c r="F181"/>
    </row>
    <row r="182" spans="1:6" x14ac:dyDescent="0.45">
      <c r="A182"/>
      <c r="C182"/>
      <c r="D182"/>
      <c r="F182"/>
    </row>
    <row r="183" spans="1:6" x14ac:dyDescent="0.45">
      <c r="A183"/>
      <c r="C183"/>
      <c r="D183"/>
      <c r="F183"/>
    </row>
    <row r="184" spans="1:6" x14ac:dyDescent="0.45">
      <c r="A184"/>
      <c r="C184"/>
      <c r="D184"/>
      <c r="F184"/>
    </row>
    <row r="185" spans="1:6" x14ac:dyDescent="0.45">
      <c r="A185"/>
      <c r="C185"/>
      <c r="D185"/>
      <c r="F185"/>
    </row>
    <row r="186" spans="1:6" x14ac:dyDescent="0.45">
      <c r="A186"/>
      <c r="C186"/>
      <c r="D186"/>
      <c r="F186"/>
    </row>
    <row r="187" spans="1:6" x14ac:dyDescent="0.45">
      <c r="A187"/>
      <c r="C187"/>
      <c r="D187"/>
      <c r="F187"/>
    </row>
    <row r="188" spans="1:6" x14ac:dyDescent="0.45">
      <c r="A188"/>
      <c r="C188"/>
      <c r="D188"/>
      <c r="F188"/>
    </row>
    <row r="189" spans="1:6" x14ac:dyDescent="0.45">
      <c r="A189"/>
      <c r="C189"/>
      <c r="D189"/>
      <c r="F189"/>
    </row>
    <row r="190" spans="1:6" x14ac:dyDescent="0.45">
      <c r="A190"/>
      <c r="C190"/>
      <c r="D190"/>
      <c r="F190"/>
    </row>
    <row r="191" spans="1:6" x14ac:dyDescent="0.45">
      <c r="A191"/>
      <c r="C191"/>
      <c r="D191"/>
      <c r="F191"/>
    </row>
    <row r="192" spans="1:6" x14ac:dyDescent="0.45">
      <c r="A192"/>
      <c r="C192"/>
      <c r="D192"/>
      <c r="F192"/>
    </row>
    <row r="193" spans="1:6" x14ac:dyDescent="0.45">
      <c r="A193"/>
      <c r="C193"/>
      <c r="D193"/>
      <c r="F193"/>
    </row>
    <row r="194" spans="1:6" x14ac:dyDescent="0.45">
      <c r="A194"/>
      <c r="C194"/>
      <c r="D194"/>
      <c r="F194"/>
    </row>
    <row r="195" spans="1:6" x14ac:dyDescent="0.45">
      <c r="A195"/>
      <c r="C195"/>
      <c r="D195"/>
      <c r="F195"/>
    </row>
    <row r="196" spans="1:6" x14ac:dyDescent="0.45">
      <c r="A196"/>
      <c r="C196"/>
      <c r="D196"/>
      <c r="F196"/>
    </row>
    <row r="197" spans="1:6" x14ac:dyDescent="0.45">
      <c r="A197"/>
      <c r="C197"/>
      <c r="D197"/>
      <c r="F197"/>
    </row>
    <row r="198" spans="1:6" x14ac:dyDescent="0.45">
      <c r="A198"/>
      <c r="C198"/>
      <c r="D198"/>
      <c r="F198"/>
    </row>
    <row r="199" spans="1:6" x14ac:dyDescent="0.45">
      <c r="A199"/>
      <c r="C199"/>
      <c r="D199"/>
      <c r="F199"/>
    </row>
    <row r="200" spans="1:6" x14ac:dyDescent="0.45">
      <c r="A200"/>
      <c r="C200"/>
      <c r="D200"/>
      <c r="F200"/>
    </row>
    <row r="201" spans="1:6" x14ac:dyDescent="0.45">
      <c r="A201"/>
      <c r="C201"/>
      <c r="D201"/>
      <c r="F201"/>
    </row>
    <row r="202" spans="1:6" x14ac:dyDescent="0.45">
      <c r="A202"/>
      <c r="C202"/>
      <c r="D202"/>
      <c r="F202"/>
    </row>
    <row r="203" spans="1:6" x14ac:dyDescent="0.45">
      <c r="A203"/>
      <c r="C203"/>
      <c r="D203"/>
      <c r="F203"/>
    </row>
    <row r="204" spans="1:6" x14ac:dyDescent="0.45">
      <c r="A204"/>
      <c r="C204"/>
      <c r="D204"/>
      <c r="F204"/>
    </row>
    <row r="205" spans="1:6" x14ac:dyDescent="0.45">
      <c r="A205"/>
      <c r="C205"/>
      <c r="D205"/>
      <c r="F205"/>
    </row>
    <row r="206" spans="1:6" x14ac:dyDescent="0.45">
      <c r="A206"/>
      <c r="C206"/>
      <c r="D206"/>
      <c r="F206"/>
    </row>
    <row r="207" spans="1:6" x14ac:dyDescent="0.45">
      <c r="A207"/>
      <c r="C207"/>
      <c r="D207"/>
      <c r="F207"/>
    </row>
    <row r="208" spans="1:6" x14ac:dyDescent="0.45">
      <c r="A208"/>
      <c r="C208"/>
      <c r="D208"/>
      <c r="F208"/>
    </row>
    <row r="209" spans="1:6" x14ac:dyDescent="0.45">
      <c r="A209"/>
      <c r="C209"/>
      <c r="D209"/>
      <c r="F209"/>
    </row>
    <row r="210" spans="1:6" x14ac:dyDescent="0.45">
      <c r="A210"/>
      <c r="C210"/>
      <c r="D210"/>
      <c r="F210"/>
    </row>
    <row r="211" spans="1:6" x14ac:dyDescent="0.45">
      <c r="A211"/>
      <c r="C211"/>
      <c r="D211"/>
      <c r="F211"/>
    </row>
    <row r="212" spans="1:6" x14ac:dyDescent="0.45">
      <c r="A212"/>
      <c r="C212"/>
      <c r="D212"/>
      <c r="F212"/>
    </row>
    <row r="213" spans="1:6" x14ac:dyDescent="0.45">
      <c r="A213"/>
      <c r="C213"/>
      <c r="D213"/>
      <c r="F213"/>
    </row>
    <row r="214" spans="1:6" x14ac:dyDescent="0.45">
      <c r="A214"/>
      <c r="C214"/>
      <c r="D214"/>
      <c r="F214"/>
    </row>
    <row r="215" spans="1:6" x14ac:dyDescent="0.45">
      <c r="A215"/>
      <c r="C215"/>
      <c r="D215"/>
      <c r="F215"/>
    </row>
    <row r="216" spans="1:6" x14ac:dyDescent="0.45">
      <c r="A216"/>
      <c r="C216"/>
      <c r="D216"/>
      <c r="F216"/>
    </row>
    <row r="217" spans="1:6" x14ac:dyDescent="0.45">
      <c r="A217"/>
      <c r="C217"/>
      <c r="D217"/>
      <c r="F217"/>
    </row>
    <row r="218" spans="1:6" x14ac:dyDescent="0.45">
      <c r="A218"/>
      <c r="C218"/>
      <c r="D218"/>
      <c r="F218"/>
    </row>
    <row r="219" spans="1:6" x14ac:dyDescent="0.45">
      <c r="A219"/>
      <c r="C219"/>
      <c r="D219"/>
      <c r="F219"/>
    </row>
    <row r="220" spans="1:6" x14ac:dyDescent="0.45">
      <c r="A220"/>
      <c r="C220"/>
      <c r="D220"/>
      <c r="F220"/>
    </row>
    <row r="221" spans="1:6" x14ac:dyDescent="0.45">
      <c r="A221"/>
      <c r="C221"/>
      <c r="D221"/>
      <c r="F221"/>
    </row>
    <row r="222" spans="1:6" x14ac:dyDescent="0.45">
      <c r="A222"/>
      <c r="C222"/>
      <c r="D222"/>
      <c r="F222"/>
    </row>
    <row r="223" spans="1:6" x14ac:dyDescent="0.45">
      <c r="A223"/>
      <c r="C223"/>
      <c r="D223"/>
      <c r="F223"/>
    </row>
    <row r="224" spans="1:6" x14ac:dyDescent="0.45">
      <c r="A224"/>
      <c r="C224"/>
      <c r="D224"/>
      <c r="F224"/>
    </row>
    <row r="225" spans="1:6" x14ac:dyDescent="0.45">
      <c r="A225"/>
      <c r="C225"/>
      <c r="D225"/>
      <c r="F225"/>
    </row>
    <row r="226" spans="1:6" x14ac:dyDescent="0.45">
      <c r="A226"/>
      <c r="C226"/>
      <c r="D226"/>
      <c r="F226"/>
    </row>
    <row r="227" spans="1:6" x14ac:dyDescent="0.45">
      <c r="A227"/>
      <c r="C227"/>
      <c r="D227"/>
      <c r="F227"/>
    </row>
    <row r="228" spans="1:6" x14ac:dyDescent="0.45">
      <c r="A228"/>
      <c r="C228"/>
      <c r="D228"/>
      <c r="F228"/>
    </row>
    <row r="229" spans="1:6" x14ac:dyDescent="0.45">
      <c r="A229"/>
      <c r="C229"/>
      <c r="D229"/>
      <c r="F229"/>
    </row>
    <row r="230" spans="1:6" x14ac:dyDescent="0.45">
      <c r="A230"/>
      <c r="C230"/>
      <c r="D230"/>
      <c r="F230"/>
    </row>
    <row r="231" spans="1:6" x14ac:dyDescent="0.45">
      <c r="A231"/>
      <c r="C231"/>
      <c r="D231"/>
      <c r="F231"/>
    </row>
    <row r="232" spans="1:6" x14ac:dyDescent="0.45">
      <c r="A232"/>
      <c r="C232"/>
      <c r="D232"/>
      <c r="F232"/>
    </row>
    <row r="233" spans="1:6" x14ac:dyDescent="0.45">
      <c r="A233"/>
      <c r="C233"/>
      <c r="D233"/>
      <c r="F233"/>
    </row>
    <row r="234" spans="1:6" x14ac:dyDescent="0.45">
      <c r="A234"/>
      <c r="C234"/>
      <c r="D234"/>
      <c r="F234"/>
    </row>
    <row r="235" spans="1:6" x14ac:dyDescent="0.45">
      <c r="A235"/>
      <c r="C235"/>
      <c r="D235"/>
      <c r="F235"/>
    </row>
    <row r="236" spans="1:6" x14ac:dyDescent="0.45">
      <c r="A236"/>
      <c r="C236"/>
      <c r="D236"/>
      <c r="F236"/>
    </row>
    <row r="237" spans="1:6" x14ac:dyDescent="0.45">
      <c r="A237"/>
      <c r="C237"/>
      <c r="D237"/>
      <c r="F237"/>
    </row>
    <row r="238" spans="1:6" x14ac:dyDescent="0.45">
      <c r="A238"/>
      <c r="C238"/>
      <c r="D238"/>
      <c r="F238"/>
    </row>
    <row r="239" spans="1:6" x14ac:dyDescent="0.45">
      <c r="A239"/>
      <c r="C239"/>
      <c r="D239"/>
      <c r="F239"/>
    </row>
    <row r="240" spans="1:6" x14ac:dyDescent="0.45">
      <c r="A240"/>
      <c r="C240"/>
      <c r="D240"/>
      <c r="F240"/>
    </row>
    <row r="241" spans="1:6" x14ac:dyDescent="0.45">
      <c r="A241"/>
      <c r="C241"/>
      <c r="D241"/>
      <c r="F241"/>
    </row>
    <row r="242" spans="1:6" x14ac:dyDescent="0.45">
      <c r="A242"/>
      <c r="C242"/>
      <c r="D242"/>
      <c r="F242"/>
    </row>
    <row r="243" spans="1:6" x14ac:dyDescent="0.45">
      <c r="A243"/>
      <c r="C243"/>
      <c r="D243"/>
      <c r="F243"/>
    </row>
    <row r="244" spans="1:6" x14ac:dyDescent="0.45">
      <c r="A244"/>
      <c r="C244"/>
      <c r="D244"/>
      <c r="F244"/>
    </row>
    <row r="245" spans="1:6" x14ac:dyDescent="0.45">
      <c r="A245"/>
      <c r="C245"/>
      <c r="D245"/>
      <c r="F245"/>
    </row>
    <row r="246" spans="1:6" x14ac:dyDescent="0.45">
      <c r="A246"/>
      <c r="C246"/>
      <c r="D246"/>
      <c r="F246"/>
    </row>
    <row r="247" spans="1:6" x14ac:dyDescent="0.45">
      <c r="A247"/>
      <c r="C247"/>
      <c r="D247"/>
      <c r="F247"/>
    </row>
    <row r="248" spans="1:6" x14ac:dyDescent="0.45">
      <c r="A248"/>
      <c r="C248"/>
      <c r="D248"/>
      <c r="F248"/>
    </row>
    <row r="249" spans="1:6" x14ac:dyDescent="0.45">
      <c r="A249"/>
      <c r="C249"/>
      <c r="D249"/>
      <c r="F249"/>
    </row>
    <row r="250" spans="1:6" x14ac:dyDescent="0.45">
      <c r="A250"/>
      <c r="C250"/>
      <c r="D250"/>
      <c r="F250"/>
    </row>
    <row r="251" spans="1:6" x14ac:dyDescent="0.45">
      <c r="A251"/>
      <c r="C251"/>
      <c r="D251"/>
      <c r="F251"/>
    </row>
    <row r="252" spans="1:6" x14ac:dyDescent="0.45">
      <c r="A252"/>
      <c r="C252"/>
      <c r="D252"/>
      <c r="F252"/>
    </row>
    <row r="253" spans="1:6" x14ac:dyDescent="0.45">
      <c r="A253"/>
      <c r="C253"/>
      <c r="D253"/>
      <c r="F253"/>
    </row>
    <row r="254" spans="1:6" x14ac:dyDescent="0.45">
      <c r="A254"/>
      <c r="C254"/>
      <c r="D254"/>
      <c r="F254"/>
    </row>
    <row r="255" spans="1:6" x14ac:dyDescent="0.45">
      <c r="A255"/>
      <c r="C255"/>
      <c r="D255"/>
      <c r="F255"/>
    </row>
    <row r="256" spans="1:6" x14ac:dyDescent="0.45">
      <c r="A256"/>
      <c r="C256"/>
      <c r="D256"/>
      <c r="F256"/>
    </row>
    <row r="257" spans="1:6" x14ac:dyDescent="0.45">
      <c r="A257"/>
      <c r="C257"/>
      <c r="D257"/>
      <c r="F257"/>
    </row>
    <row r="258" spans="1:6" x14ac:dyDescent="0.45">
      <c r="A258"/>
      <c r="C258"/>
      <c r="D258"/>
      <c r="F258"/>
    </row>
    <row r="259" spans="1:6" x14ac:dyDescent="0.45">
      <c r="A259"/>
      <c r="C259"/>
      <c r="D259"/>
      <c r="F259"/>
    </row>
    <row r="260" spans="1:6" x14ac:dyDescent="0.45">
      <c r="A260"/>
      <c r="C260"/>
      <c r="D260"/>
      <c r="F260"/>
    </row>
    <row r="261" spans="1:6" x14ac:dyDescent="0.45">
      <c r="A261"/>
      <c r="C261"/>
      <c r="D261"/>
      <c r="F261"/>
    </row>
    <row r="262" spans="1:6" x14ac:dyDescent="0.45">
      <c r="A262"/>
      <c r="C262"/>
      <c r="D262"/>
      <c r="F262"/>
    </row>
    <row r="263" spans="1:6" x14ac:dyDescent="0.45">
      <c r="A263"/>
      <c r="C263"/>
      <c r="D263"/>
      <c r="F263"/>
    </row>
    <row r="264" spans="1:6" x14ac:dyDescent="0.45">
      <c r="A264"/>
      <c r="C264"/>
      <c r="D264"/>
      <c r="F264"/>
    </row>
    <row r="265" spans="1:6" x14ac:dyDescent="0.45">
      <c r="A265"/>
      <c r="C265"/>
      <c r="D265"/>
      <c r="F265"/>
    </row>
    <row r="266" spans="1:6" x14ac:dyDescent="0.45">
      <c r="A266"/>
      <c r="C266"/>
      <c r="D266"/>
      <c r="F266"/>
    </row>
    <row r="267" spans="1:6" x14ac:dyDescent="0.45">
      <c r="A267"/>
      <c r="C267"/>
      <c r="D267"/>
      <c r="F267"/>
    </row>
    <row r="268" spans="1:6" x14ac:dyDescent="0.45">
      <c r="A268"/>
      <c r="C268"/>
      <c r="D268"/>
      <c r="F268"/>
    </row>
    <row r="269" spans="1:6" x14ac:dyDescent="0.45">
      <c r="A269"/>
      <c r="C269"/>
      <c r="D269"/>
      <c r="F269"/>
    </row>
    <row r="270" spans="1:6" x14ac:dyDescent="0.45">
      <c r="A270"/>
      <c r="C270"/>
      <c r="D270"/>
      <c r="F270"/>
    </row>
    <row r="271" spans="1:6" x14ac:dyDescent="0.45">
      <c r="A271"/>
      <c r="C271"/>
      <c r="D271"/>
      <c r="F271"/>
    </row>
    <row r="272" spans="1:6" x14ac:dyDescent="0.45">
      <c r="A272"/>
      <c r="C272"/>
      <c r="D272"/>
      <c r="F272"/>
    </row>
    <row r="273" spans="1:6" x14ac:dyDescent="0.45">
      <c r="A273"/>
      <c r="C273"/>
      <c r="D273"/>
      <c r="F273"/>
    </row>
    <row r="274" spans="1:6" x14ac:dyDescent="0.45">
      <c r="A274"/>
      <c r="C274"/>
      <c r="D274"/>
      <c r="F274"/>
    </row>
    <row r="275" spans="1:6" x14ac:dyDescent="0.45">
      <c r="A275"/>
      <c r="C275"/>
      <c r="D275"/>
      <c r="F275"/>
    </row>
    <row r="276" spans="1:6" x14ac:dyDescent="0.45">
      <c r="A276"/>
      <c r="C276"/>
      <c r="D276"/>
      <c r="F276"/>
    </row>
    <row r="277" spans="1:6" x14ac:dyDescent="0.45">
      <c r="A277"/>
      <c r="C277"/>
      <c r="D277"/>
      <c r="F277"/>
    </row>
    <row r="278" spans="1:6" x14ac:dyDescent="0.45">
      <c r="A278"/>
      <c r="C278"/>
      <c r="D278"/>
      <c r="F278"/>
    </row>
    <row r="279" spans="1:6" x14ac:dyDescent="0.45">
      <c r="A279"/>
      <c r="C279"/>
      <c r="D279"/>
      <c r="F279"/>
    </row>
    <row r="280" spans="1:6" x14ac:dyDescent="0.45">
      <c r="A280"/>
      <c r="C280"/>
      <c r="D280"/>
      <c r="F280"/>
    </row>
    <row r="281" spans="1:6" x14ac:dyDescent="0.45">
      <c r="A281"/>
      <c r="C281"/>
      <c r="D281"/>
      <c r="F281"/>
    </row>
    <row r="282" spans="1:6" x14ac:dyDescent="0.45">
      <c r="A282"/>
      <c r="C282"/>
      <c r="D282"/>
      <c r="F282"/>
    </row>
    <row r="283" spans="1:6" x14ac:dyDescent="0.45">
      <c r="A283"/>
      <c r="C283"/>
      <c r="D283"/>
      <c r="F283"/>
    </row>
    <row r="284" spans="1:6" x14ac:dyDescent="0.45">
      <c r="A284"/>
      <c r="C284"/>
      <c r="D284"/>
      <c r="F284"/>
    </row>
    <row r="285" spans="1:6" x14ac:dyDescent="0.45">
      <c r="A285"/>
      <c r="C285"/>
      <c r="D285"/>
      <c r="F285"/>
    </row>
    <row r="286" spans="1:6" x14ac:dyDescent="0.45">
      <c r="A286"/>
      <c r="C286"/>
      <c r="D286"/>
      <c r="F286"/>
    </row>
    <row r="287" spans="1:6" x14ac:dyDescent="0.45">
      <c r="A287"/>
      <c r="C287"/>
      <c r="D287"/>
      <c r="F287"/>
    </row>
    <row r="288" spans="1:6" x14ac:dyDescent="0.45">
      <c r="A288"/>
      <c r="C288"/>
      <c r="D288"/>
      <c r="F288"/>
    </row>
    <row r="289" spans="1:6" x14ac:dyDescent="0.45">
      <c r="A289"/>
      <c r="C289"/>
      <c r="D289"/>
      <c r="F289"/>
    </row>
    <row r="290" spans="1:6" x14ac:dyDescent="0.45">
      <c r="A290"/>
      <c r="C290"/>
      <c r="D290"/>
      <c r="F290"/>
    </row>
    <row r="291" spans="1:6" x14ac:dyDescent="0.45">
      <c r="A291"/>
      <c r="C291"/>
      <c r="D291"/>
      <c r="F291"/>
    </row>
    <row r="292" spans="1:6" x14ac:dyDescent="0.45">
      <c r="A292"/>
      <c r="C292"/>
      <c r="D292"/>
      <c r="F292"/>
    </row>
    <row r="293" spans="1:6" x14ac:dyDescent="0.45">
      <c r="A293"/>
      <c r="C293"/>
      <c r="D293"/>
      <c r="F293"/>
    </row>
    <row r="294" spans="1:6" x14ac:dyDescent="0.45">
      <c r="A294"/>
      <c r="C294"/>
      <c r="D294"/>
      <c r="F294"/>
    </row>
    <row r="295" spans="1:6" x14ac:dyDescent="0.45">
      <c r="A295"/>
      <c r="C295"/>
      <c r="D295"/>
      <c r="F295"/>
    </row>
    <row r="296" spans="1:6" x14ac:dyDescent="0.45">
      <c r="A296"/>
      <c r="C296"/>
      <c r="D296"/>
      <c r="F296"/>
    </row>
    <row r="297" spans="1:6" x14ac:dyDescent="0.45">
      <c r="A297"/>
      <c r="C297"/>
      <c r="D297"/>
      <c r="F297"/>
    </row>
    <row r="298" spans="1:6" x14ac:dyDescent="0.45">
      <c r="A298"/>
      <c r="C298"/>
      <c r="D298"/>
      <c r="F298"/>
    </row>
    <row r="299" spans="1:6" x14ac:dyDescent="0.45">
      <c r="A299"/>
      <c r="C299"/>
      <c r="D299"/>
      <c r="F299"/>
    </row>
    <row r="300" spans="1:6" x14ac:dyDescent="0.45">
      <c r="A300"/>
      <c r="C300"/>
      <c r="D300"/>
      <c r="F300"/>
    </row>
    <row r="301" spans="1:6" x14ac:dyDescent="0.45">
      <c r="A301"/>
      <c r="C301"/>
      <c r="D301"/>
      <c r="F301"/>
    </row>
    <row r="302" spans="1:6" x14ac:dyDescent="0.45">
      <c r="A302"/>
      <c r="C302"/>
      <c r="D302"/>
      <c r="F302"/>
    </row>
    <row r="303" spans="1:6" x14ac:dyDescent="0.45">
      <c r="A303"/>
      <c r="C303"/>
      <c r="D303"/>
      <c r="F303"/>
    </row>
    <row r="304" spans="1:6" x14ac:dyDescent="0.45">
      <c r="A304"/>
      <c r="C304"/>
      <c r="D304"/>
      <c r="F304"/>
    </row>
    <row r="305" spans="1:6" x14ac:dyDescent="0.45">
      <c r="A305"/>
      <c r="C305"/>
      <c r="D305"/>
      <c r="F305"/>
    </row>
    <row r="306" spans="1:6" x14ac:dyDescent="0.45">
      <c r="A306"/>
      <c r="C306"/>
      <c r="D306"/>
      <c r="F306"/>
    </row>
    <row r="307" spans="1:6" x14ac:dyDescent="0.45">
      <c r="A307"/>
      <c r="C307"/>
      <c r="D307"/>
      <c r="F307"/>
    </row>
    <row r="308" spans="1:6" x14ac:dyDescent="0.45">
      <c r="A308"/>
      <c r="C308"/>
      <c r="D308"/>
      <c r="F308"/>
    </row>
    <row r="309" spans="1:6" x14ac:dyDescent="0.45">
      <c r="A309"/>
      <c r="C309"/>
      <c r="D309"/>
      <c r="F309"/>
    </row>
    <row r="310" spans="1:6" x14ac:dyDescent="0.45">
      <c r="A310"/>
      <c r="C310"/>
      <c r="D310"/>
      <c r="F310"/>
    </row>
    <row r="311" spans="1:6" x14ac:dyDescent="0.45">
      <c r="A311"/>
      <c r="C311"/>
      <c r="D311"/>
      <c r="F311"/>
    </row>
    <row r="312" spans="1:6" x14ac:dyDescent="0.45">
      <c r="A312"/>
      <c r="C312"/>
      <c r="D312"/>
      <c r="F312"/>
    </row>
    <row r="313" spans="1:6" x14ac:dyDescent="0.45">
      <c r="A313"/>
      <c r="C313"/>
      <c r="D313"/>
      <c r="F313"/>
    </row>
    <row r="314" spans="1:6" x14ac:dyDescent="0.45">
      <c r="A314"/>
      <c r="C314"/>
      <c r="D314"/>
      <c r="F314"/>
    </row>
    <row r="315" spans="1:6" x14ac:dyDescent="0.45">
      <c r="A315"/>
      <c r="C315"/>
      <c r="D315"/>
      <c r="F315"/>
    </row>
    <row r="316" spans="1:6" x14ac:dyDescent="0.45">
      <c r="A316"/>
      <c r="C316"/>
      <c r="D316"/>
      <c r="F316"/>
    </row>
    <row r="317" spans="1:6" x14ac:dyDescent="0.45">
      <c r="A317"/>
      <c r="C317"/>
      <c r="D317"/>
      <c r="F317"/>
    </row>
    <row r="318" spans="1:6" x14ac:dyDescent="0.45">
      <c r="A318"/>
      <c r="C318"/>
      <c r="D318"/>
      <c r="F318"/>
    </row>
    <row r="319" spans="1:6" x14ac:dyDescent="0.45">
      <c r="A319"/>
      <c r="C319"/>
      <c r="D319"/>
      <c r="F319"/>
    </row>
    <row r="320" spans="1:6" x14ac:dyDescent="0.45">
      <c r="A320"/>
      <c r="C320"/>
      <c r="D320"/>
      <c r="F320"/>
    </row>
    <row r="321" spans="1:6" x14ac:dyDescent="0.45">
      <c r="A321"/>
      <c r="C321"/>
      <c r="D321"/>
      <c r="F321"/>
    </row>
    <row r="322" spans="1:6" x14ac:dyDescent="0.45">
      <c r="A322"/>
      <c r="C322"/>
      <c r="D322"/>
      <c r="F322"/>
    </row>
    <row r="323" spans="1:6" x14ac:dyDescent="0.45">
      <c r="A323"/>
      <c r="C323"/>
      <c r="D323"/>
      <c r="F323"/>
    </row>
    <row r="324" spans="1:6" x14ac:dyDescent="0.45">
      <c r="A324"/>
      <c r="C324"/>
      <c r="D324"/>
      <c r="F324"/>
    </row>
    <row r="325" spans="1:6" x14ac:dyDescent="0.45">
      <c r="A325"/>
      <c r="C325"/>
      <c r="D325"/>
      <c r="F325"/>
    </row>
    <row r="326" spans="1:6" x14ac:dyDescent="0.45">
      <c r="A326"/>
      <c r="C326"/>
      <c r="D326"/>
      <c r="F326"/>
    </row>
    <row r="327" spans="1:6" x14ac:dyDescent="0.45">
      <c r="A327"/>
      <c r="C327"/>
      <c r="D327"/>
      <c r="F327"/>
    </row>
    <row r="328" spans="1:6" x14ac:dyDescent="0.45">
      <c r="A328"/>
      <c r="C328"/>
      <c r="D328"/>
      <c r="F328"/>
    </row>
    <row r="329" spans="1:6" x14ac:dyDescent="0.45">
      <c r="A329"/>
      <c r="C329"/>
      <c r="D329"/>
      <c r="F329"/>
    </row>
    <row r="330" spans="1:6" x14ac:dyDescent="0.45">
      <c r="A330"/>
      <c r="C330"/>
      <c r="D330"/>
      <c r="F330"/>
    </row>
    <row r="331" spans="1:6" x14ac:dyDescent="0.45">
      <c r="A331"/>
      <c r="C331"/>
      <c r="D331"/>
      <c r="F331"/>
    </row>
    <row r="332" spans="1:6" x14ac:dyDescent="0.45">
      <c r="A332"/>
      <c r="C332"/>
      <c r="D332"/>
      <c r="F332"/>
    </row>
    <row r="333" spans="1:6" x14ac:dyDescent="0.45">
      <c r="A333"/>
      <c r="C333"/>
      <c r="D333"/>
      <c r="F333"/>
    </row>
    <row r="334" spans="1:6" x14ac:dyDescent="0.45">
      <c r="A334"/>
      <c r="C334"/>
      <c r="D334"/>
      <c r="F334"/>
    </row>
    <row r="335" spans="1:6" x14ac:dyDescent="0.45">
      <c r="A335"/>
      <c r="C335"/>
      <c r="D335"/>
      <c r="F335"/>
    </row>
    <row r="336" spans="1:6" x14ac:dyDescent="0.45">
      <c r="A336"/>
      <c r="C336"/>
      <c r="D336"/>
      <c r="F336"/>
    </row>
    <row r="337" spans="1:6" x14ac:dyDescent="0.45">
      <c r="A337"/>
      <c r="C337"/>
      <c r="D337"/>
      <c r="F337"/>
    </row>
    <row r="338" spans="1:6" x14ac:dyDescent="0.45">
      <c r="A338"/>
      <c r="C338"/>
      <c r="D338"/>
      <c r="F338"/>
    </row>
    <row r="339" spans="1:6" x14ac:dyDescent="0.45">
      <c r="A339"/>
      <c r="C339"/>
      <c r="D339"/>
      <c r="F339"/>
    </row>
    <row r="340" spans="1:6" x14ac:dyDescent="0.45">
      <c r="A340"/>
      <c r="C340"/>
      <c r="D340"/>
      <c r="F340"/>
    </row>
    <row r="341" spans="1:6" x14ac:dyDescent="0.45">
      <c r="A341"/>
      <c r="C341"/>
      <c r="D341"/>
      <c r="F341"/>
    </row>
    <row r="342" spans="1:6" x14ac:dyDescent="0.45">
      <c r="A342"/>
      <c r="C342"/>
      <c r="D342"/>
      <c r="F342"/>
    </row>
    <row r="343" spans="1:6" x14ac:dyDescent="0.45">
      <c r="A343"/>
      <c r="C343"/>
      <c r="D343"/>
      <c r="F343"/>
    </row>
    <row r="344" spans="1:6" x14ac:dyDescent="0.45">
      <c r="A344"/>
      <c r="C344"/>
      <c r="D344"/>
      <c r="F344"/>
    </row>
    <row r="345" spans="1:6" x14ac:dyDescent="0.45">
      <c r="A345"/>
      <c r="C345"/>
      <c r="D345"/>
      <c r="F345"/>
    </row>
    <row r="346" spans="1:6" x14ac:dyDescent="0.45">
      <c r="A346"/>
      <c r="C346"/>
      <c r="D346"/>
      <c r="F346"/>
    </row>
    <row r="347" spans="1:6" x14ac:dyDescent="0.45">
      <c r="A347"/>
      <c r="C347"/>
      <c r="D347"/>
      <c r="F347"/>
    </row>
    <row r="348" spans="1:6" x14ac:dyDescent="0.45">
      <c r="A348"/>
      <c r="C348"/>
      <c r="D348"/>
      <c r="F348"/>
    </row>
    <row r="349" spans="1:6" x14ac:dyDescent="0.45">
      <c r="A349"/>
      <c r="C349"/>
      <c r="D349"/>
      <c r="F349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FF"/>
    <pageSetUpPr fitToPage="1"/>
  </sheetPr>
  <dimension ref="A1:AI372"/>
  <sheetViews>
    <sheetView zoomScale="70" zoomScaleNormal="70" workbookViewId="0">
      <selection activeCell="H17" sqref="H17"/>
    </sheetView>
  </sheetViews>
  <sheetFormatPr defaultColWidth="3" defaultRowHeight="34.799999999999997" customHeight="1" x14ac:dyDescent="0.45"/>
  <cols>
    <col min="1" max="5" width="3" style="1" customWidth="1"/>
    <col min="6" max="6" width="34.5" style="2" bestFit="1" customWidth="1"/>
    <col min="7" max="7" width="44" style="2" customWidth="1"/>
    <col min="8" max="8" width="55.296875" style="2" customWidth="1"/>
    <col min="9" max="9" width="9.19921875" style="2" bestFit="1" customWidth="1"/>
    <col min="10" max="10" width="17.19921875" style="17" bestFit="1" customWidth="1"/>
    <col min="11" max="11" width="22.5" style="32" bestFit="1" customWidth="1"/>
    <col min="12" max="14" width="7.59765625" style="1" customWidth="1"/>
    <col min="15" max="15" width="10.3984375" style="1" customWidth="1"/>
    <col min="16" max="16" width="15.8984375" style="1" customWidth="1"/>
    <col min="17" max="17" width="3" style="1" customWidth="1"/>
    <col min="18" max="18" width="5.09765625" style="1" bestFit="1" customWidth="1"/>
    <col min="19" max="21" width="3" style="1" customWidth="1"/>
    <col min="22" max="16384" width="3" style="1"/>
  </cols>
  <sheetData>
    <row r="1" spans="1:17" ht="34.799999999999997" customHeight="1" x14ac:dyDescent="0.45">
      <c r="A1" s="116" t="s">
        <v>28</v>
      </c>
      <c r="B1" s="105"/>
      <c r="C1" s="105"/>
      <c r="D1" s="105"/>
      <c r="E1" s="105"/>
      <c r="F1" s="106"/>
      <c r="G1" s="106"/>
      <c r="H1" s="106"/>
      <c r="I1" s="106"/>
      <c r="J1" s="107"/>
      <c r="K1" s="108"/>
      <c r="L1" s="105"/>
      <c r="M1" s="105"/>
      <c r="N1" s="105"/>
      <c r="O1" s="105"/>
      <c r="P1" s="105"/>
      <c r="Q1" s="105"/>
    </row>
    <row r="2" spans="1:17" ht="34.799999999999997" customHeight="1" x14ac:dyDescent="0.45">
      <c r="A2" s="105"/>
      <c r="B2" s="105"/>
      <c r="C2" s="105"/>
      <c r="D2" s="105"/>
      <c r="E2" s="105"/>
      <c r="F2" s="106"/>
      <c r="G2" s="106"/>
      <c r="H2" s="106"/>
      <c r="I2" s="106"/>
      <c r="J2" s="107"/>
      <c r="K2" s="108"/>
      <c r="L2" s="105"/>
      <c r="M2" s="105"/>
      <c r="N2" s="105"/>
      <c r="O2" s="105"/>
      <c r="P2" s="105"/>
      <c r="Q2" s="105"/>
    </row>
    <row r="3" spans="1:17" ht="34.799999999999997" customHeight="1" x14ac:dyDescent="0.45">
      <c r="B3" s="4"/>
      <c r="C3" s="4"/>
      <c r="D3" s="4"/>
      <c r="E3" s="4"/>
      <c r="F3" s="86"/>
      <c r="G3" s="86"/>
      <c r="H3" s="86"/>
      <c r="I3" s="86"/>
      <c r="J3" s="69"/>
      <c r="O3" s="115">
        <v>46029</v>
      </c>
      <c r="P3" s="105"/>
      <c r="Q3" s="22"/>
    </row>
    <row r="4" spans="1:17" ht="34.799999999999997" customHeight="1" x14ac:dyDescent="0.45">
      <c r="G4" s="160" t="s">
        <v>170</v>
      </c>
      <c r="H4" s="161"/>
      <c r="I4" s="161"/>
      <c r="J4" s="162"/>
      <c r="K4" s="168">
        <f>'地図版 '!N6</f>
        <v>0</v>
      </c>
      <c r="L4" s="163"/>
      <c r="M4" s="40" t="s">
        <v>29</v>
      </c>
    </row>
    <row r="5" spans="1:17" ht="34.799999999999997" customHeight="1" x14ac:dyDescent="0.45">
      <c r="G5" s="164" t="s">
        <v>171</v>
      </c>
      <c r="H5" s="165"/>
      <c r="I5" s="165"/>
      <c r="J5" s="166"/>
      <c r="K5" s="169">
        <f>'地図版 '!N4</f>
        <v>0</v>
      </c>
      <c r="L5" s="167"/>
      <c r="M5" s="41" t="s">
        <v>29</v>
      </c>
    </row>
    <row r="6" spans="1:17" ht="34.799999999999997" customHeight="1" x14ac:dyDescent="0.45">
      <c r="G6" s="160" t="s">
        <v>172</v>
      </c>
      <c r="H6" s="161"/>
      <c r="I6" s="161"/>
      <c r="J6" s="162"/>
      <c r="K6" s="168">
        <f>'地図版 '!N5</f>
        <v>0</v>
      </c>
      <c r="L6" s="163"/>
      <c r="M6" s="40" t="s">
        <v>29</v>
      </c>
    </row>
    <row r="7" spans="1:17" ht="34.799999999999997" customHeight="1" x14ac:dyDescent="0.45">
      <c r="G7" s="160" t="s">
        <v>173</v>
      </c>
      <c r="H7" s="161"/>
      <c r="I7" s="161"/>
      <c r="J7" s="162"/>
      <c r="K7" s="168">
        <f>'地図版 '!N3</f>
        <v>0</v>
      </c>
      <c r="L7" s="163"/>
      <c r="M7" s="40" t="s">
        <v>29</v>
      </c>
    </row>
    <row r="8" spans="1:17" ht="34.799999999999997" customHeight="1" x14ac:dyDescent="0.45">
      <c r="G8" s="164" t="s">
        <v>174</v>
      </c>
      <c r="H8" s="165"/>
      <c r="I8" s="165"/>
      <c r="J8" s="166"/>
      <c r="K8" s="169">
        <f>'地図版 '!N8</f>
        <v>0</v>
      </c>
      <c r="L8" s="167"/>
      <c r="M8" s="41" t="s">
        <v>29</v>
      </c>
    </row>
    <row r="9" spans="1:17" ht="14.4" customHeight="1" x14ac:dyDescent="0.45"/>
    <row r="10" spans="1:17" ht="25.8" customHeight="1" x14ac:dyDescent="0.45">
      <c r="B10" s="103" t="s">
        <v>30</v>
      </c>
      <c r="C10" s="104"/>
      <c r="D10" s="104"/>
      <c r="E10" s="104"/>
      <c r="F10" s="104"/>
      <c r="G10" s="104"/>
      <c r="H10" s="104"/>
      <c r="N10" s="38" t="s">
        <v>29</v>
      </c>
    </row>
    <row r="11" spans="1:17" ht="34.799999999999997" customHeight="1" x14ac:dyDescent="0.45">
      <c r="B11" s="111"/>
      <c r="C11" s="112"/>
      <c r="D11" s="102" t="s">
        <v>31</v>
      </c>
      <c r="E11" s="101"/>
      <c r="F11" s="37" t="s">
        <v>32</v>
      </c>
      <c r="G11" s="37" t="s">
        <v>1</v>
      </c>
      <c r="H11" s="37" t="s">
        <v>0</v>
      </c>
      <c r="I11" s="37" t="s">
        <v>33</v>
      </c>
      <c r="J11" s="42" t="s">
        <v>2</v>
      </c>
      <c r="K11" s="102" t="s">
        <v>34</v>
      </c>
      <c r="L11" s="101"/>
      <c r="M11" s="101"/>
      <c r="N11" s="101"/>
      <c r="O11" s="37"/>
      <c r="P11" s="39"/>
    </row>
    <row r="12" spans="1:17" ht="34.799999999999997" customHeight="1" x14ac:dyDescent="0.45">
      <c r="B12" s="83" t="s">
        <v>36</v>
      </c>
      <c r="C12" s="97"/>
      <c r="D12" s="109" t="str">
        <f>IF(H12&lt;&gt;"",1,"")</f>
        <v/>
      </c>
      <c r="E12" s="110"/>
      <c r="F12" s="71" t="str" cm="1">
        <f t="array" ref="F12">IFERROR(INDEX(Kintoneデータ抽出!A:A, _xlfn.AGGREGATE(15, 6, ROW(Kintoneデータ抽出!$K$2:$K$5000) / ((Kintoneデータ抽出!$K$2:$K$5000="小規模") + (Kintoneデータ抽出!$K$2:$K$5000="認可")), ROW(A1))), "")</f>
        <v/>
      </c>
      <c r="G12" s="73" t="str">
        <f t="array" ref="G12">IFERROR(INDEX(Kintoneデータ抽出!D:D, _xlfn.AGGREGATE(15, 6, ROW(Kintoneデータ抽出!$K$2:$K$5000) / ((Kintoneデータ抽出!$K$2:$K$5000="小規模") + (Kintoneデータ抽出!$K$2:$K$5000="認可")), ROW(A1))), "")</f>
        <v/>
      </c>
      <c r="H12" s="73" t="str">
        <f t="array" ref="H12">IFERROR(INDEX(Kintoneデータ抽出!C:C, _xlfn.AGGREGATE(15, 6, ROW(Kintoneデータ抽出!$K$2:$K$5000) / ((Kintoneデータ抽出!$K$2:$K$5000="小規模") + (Kintoneデータ抽出!$K$2:$K$5000="認可")), ROW(A1))), "")</f>
        <v/>
      </c>
      <c r="I12" s="73" t="str">
        <f t="array" ref="I12">IFERROR(IF(INDEX(Kintoneデータ抽出!G:G, _xlfn.AGGREGATE(15, 6, ROW(Kintoneデータ抽出!$K$2:$K$5000) / ((Kintoneデータ抽出!$K$2:$K$5000="小規模") + (Kintoneデータ抽出!$K$2:$K$5000="認可")), ROW(A1)))&lt;&gt;"",INDEX(Kintoneデータ抽出!G:G, _xlfn.AGGREGATE(15, 6, ROW(Kintoneデータ抽出!$K$2:$K$5000) / ((Kintoneデータ抽出!$K$2:$K$5000="小規模") + (Kintoneデータ抽出!$K$2:$K$5000="認可")), ROW(A1)))&amp;"名",""), "")</f>
        <v/>
      </c>
      <c r="J12" s="72" t="str">
        <f t="array" ref="J12">IFERROR(IF(INDEX(Kintoneデータ抽出!E:E, _xlfn.AGGREGATE(15, 6, ROW(Kintoneデータ抽出!$K$2:$K$5000) / ((Kintoneデータ抽出!$K$2:$K$5000="小規模") + (Kintoneデータ抽出!$K$2:$K$5000="認可")), ROW(A1)))&lt;&gt;"",
YEAR(INDEX(Kintoneデータ抽出!E:E, _xlfn.AGGREGATE(15, 6, ROW(Kintoneデータ抽出!$K$2:$K$5000) / ((Kintoneデータ抽出!$K$2:$K$5000="小規模") + (Kintoneデータ抽出!$K$2:$K$5000="認可")), ROW(A1))))&amp;"年"
&amp;MONTH(INDEX(Kintoneデータ抽出!E:E, _xlfn.AGGREGATE(15, 6, ROW(Kintoneデータ抽出!$K$2:$K$5000) / ((Kintoneデータ抽出!$K$2:$K$5000="小規模") + (Kintoneデータ抽出!$K$2:$K$5000="認可")), ROW(A1))))&amp;"月"
&amp;DAY(INDEX(Kintoneデータ抽出!E:E, _xlfn.AGGREGATE(15, 6, ROW(Kintoneデータ抽出!$K$2:$K$5000) / ((Kintoneデータ抽出!$K$2:$K$5000="小規模") + (Kintoneデータ抽出!$K$2:$K$5000="認可")), ROW(A1))))&amp;"日",""), "")</f>
        <v/>
      </c>
      <c r="K12" s="73" t="str" cm="1">
        <f t="array" ref="K12">IFERROR(IF(INDEX(Kintoneデータ抽出!F:F, _xlfn.AGGREGATE(15, 6, ROW(Kintoneデータ抽出!$K$2:$K$5000) / ((Kintoneデータ抽出!$K$2:$K$5000="小規模") + (Kintoneデータ抽出!$K$2:$K$5000="認可")), ROW(A1)))&lt;&gt;"",
VLOOKUP(INDEX(Kintoneデータ抽出!F:F, _xlfn.AGGREGATE(15, 6, ROW(Kintoneデータ抽出!$K$2:$K$5000) / ((Kintoneデータ抽出!$K$2:$K$5000="小規模") + (Kintoneデータ抽出!$K$2:$K$5000="認可")), ROW(A1))),基本開園日の表記!$A$2:$B$13,2,FALSE),""), "")</f>
        <v/>
      </c>
      <c r="L12" s="71" t="str">
        <f t="array" ref="L12">IFERROR(IF(INDEX(Kintoneデータ抽出!F:F, _xlfn.AGGREGATE(15, 6, ROW(Kintoneデータ抽出!$K$2:$K$5000) / ((Kintoneデータ抽出!$K$2:$K$5000="小規模") + (Kintoneデータ抽出!$K$2:$K$5000="認可")), ROW(A1)))&lt;&gt;"",
IF(COUNTIF(INDEX(Kintoneデータ抽出!F:F, _xlfn.AGGREGATE(15, 6, ROW(Kintoneデータ抽出!$K$2:$K$5000) / ((Kintoneデータ抽出!$K$2:$K$5000="小規模") + (Kintoneデータ抽出!$K$2:$K$5000="認可")), ROW(A1))),"*あり*"),"夜間",""),""), "")</f>
        <v/>
      </c>
      <c r="M12" s="71" t="str">
        <f t="array" ref="M12">IFERROR(IF(INDEX(Kintoneデータ抽出!I:I, _xlfn.AGGREGATE(15, 6, ROW(Kintoneデータ抽出!$K$2:$K$5000) / ((Kintoneデータ抽出!$K$2:$K$5000="小規模") + (Kintoneデータ抽出!$K$2:$K$5000="認可")), ROW(A1)))&lt;&gt;"",
IF(COUNTIF(INDEX(Kintoneデータ抽出!I:I, _xlfn.AGGREGATE(15, 6, ROW(Kintoneデータ抽出!$K$2:$K$5000) / ((Kintoneデータ抽出!$K$2:$K$5000="小規模") + (Kintoneデータ抽出!$K$2:$K$5000="認可")), ROW(A1))),"*あり*"),"学童",""),""), "")</f>
        <v/>
      </c>
      <c r="N12" s="71" t="str">
        <f t="array" ref="N12">IFERROR(IF(INDEX(Kintoneデータ抽出!H:H, _xlfn.AGGREGATE(15, 6, ROW(Kintoneデータ抽出!$K$2:$K$5000) / ((Kintoneデータ抽出!$K$2:$K$5000="小規模") + (Kintoneデータ抽出!$K$2:$K$5000="認可")), ROW(A1)))&lt;&gt;"",
IF(COUNTIF(INDEX(Kintoneデータ抽出!H:H, _xlfn.AGGREGATE(15, 6, ROW(Kintoneデータ抽出!$K$2:$K$5000) / ((Kintoneデータ抽出!$K$2:$K$5000="小規模") + (Kintoneデータ抽出!$K$2:$K$5000="認可")), ROW(A1))),"*あり*"),"病児",""),""), "")</f>
        <v/>
      </c>
      <c r="O12" s="71" t="str" cm="1">
        <f t="array" ref="O12">IFERROR(
IF(INDEX(Kintoneデータ抽出!M:M, _xlfn.AGGREGATE(15, 6, ROW(Kintoneデータ抽出!$K$2:$K$5000) / ((Kintoneデータ抽出!$K$2:$K$5000="小規模") + (Kintoneデータ抽出!$K$2:$K$5000="認可")), ROW(A1)))&lt;&gt;0,INDEX(Kintoneデータ抽出!M:M, _xlfn.AGGREGATE(15, 6, ROW(Kintoneデータ抽出!$K$2:$K$5000) / ((Kintoneデータ抽出!$K$2:$K$5000="小規模") + (Kintoneデータ抽出!$K$2:$K$5000="認可")), ROW(A1))),""), "")</f>
        <v/>
      </c>
      <c r="P12" s="74" t="str">
        <f t="array" ref="P12">IFERROR(IF(INDEX(Kintoneデータ抽出!L:L, _xlfn.AGGREGATE(15, 6, ROW(Kintoneデータ抽出!$K$2:$K$5000) / ((Kintoneデータ抽出!$K$2:$K$5000="院内")), ROW(A1)))&lt;&gt;"",
IF(COUNTIF(INDEX(Kintoneデータ抽出!L:L, _xlfn.AGGREGATE(15, 6, ROW(Kintoneデータ抽出!$K$2:$K$5000) / ((Kintoneデータ抽出!$K$2:$K$5000="院内")), ROW(A1))),"*企業主導型以外*"),"",
IF(COUNTIF(INDEX(Kintoneデータ抽出!L:L, _xlfn.AGGREGATE(15, 6, ROW(Kintoneデータ抽出!$K$2:$K$5000) / ((Kintoneデータ抽出!$K$2:$K$5000="院内")), ROW(A1))),"*その他*"),"",
IF(COUNTIF(INDEX(Kintoneデータ抽出!L:L, _xlfn.AGGREGATE(15, 6, ROW(Kintoneデータ抽出!$K$2:$K$5000) / ((Kintoneデータ抽出!$K$2:$K$5000="院内")), ROW(A1))),"*新制度*"),"新制度","企業主導型"))),""), "")</f>
        <v/>
      </c>
    </row>
    <row r="13" spans="1:17" ht="34.799999999999997" customHeight="1" x14ac:dyDescent="0.45">
      <c r="B13" s="45"/>
      <c r="C13" s="170"/>
      <c r="D13" s="98" t="str">
        <f t="shared" ref="D13:D32" si="0">IF(H13&lt;&gt;"",D12+1,"")</f>
        <v/>
      </c>
      <c r="E13" s="99"/>
      <c r="F13" s="75" t="str">
        <f t="array" ref="F13">IFERROR(INDEX(Kintoneデータ抽出!A:A, _xlfn.AGGREGATE(15, 6, ROW(Kintoneデータ抽出!$K$2:$K$5000) / ((Kintoneデータ抽出!$K$2:$K$5000="小規模") + (Kintoneデータ抽出!$K$2:$K$5000="認可")), ROW(A2))), "")</f>
        <v/>
      </c>
      <c r="G13" s="77" t="str">
        <f t="array" ref="G13">IFERROR(INDEX(Kintoneデータ抽出!D:D, _xlfn.AGGREGATE(15, 6, ROW(Kintoneデータ抽出!$K$2:$K$5000) / ((Kintoneデータ抽出!$K$2:$K$5000="小規模") + (Kintoneデータ抽出!$K$2:$K$5000="認可")), ROW(A2))), "")</f>
        <v/>
      </c>
      <c r="H13" s="77" t="str">
        <f t="array" ref="H13">IFERROR(INDEX(Kintoneデータ抽出!C:C, _xlfn.AGGREGATE(15, 6, ROW(Kintoneデータ抽出!$K$2:$K$5000) / ((Kintoneデータ抽出!$K$2:$K$5000="小規模") + (Kintoneデータ抽出!$K$2:$K$5000="認可")), ROW(A2))), "")</f>
        <v/>
      </c>
      <c r="I13" s="77" t="str">
        <f t="array" ref="I13">IFERROR(IF(INDEX(Kintoneデータ抽出!G:G, _xlfn.AGGREGATE(15, 6, ROW(Kintoneデータ抽出!$K$2:$K$5000) / ((Kintoneデータ抽出!$K$2:$K$5000="小規模") + (Kintoneデータ抽出!$K$2:$K$5000="認可")), ROW(A2)))&lt;&gt;"",INDEX(Kintoneデータ抽出!G:G, _xlfn.AGGREGATE(15, 6, ROW(Kintoneデータ抽出!$K$2:$K$5000) / ((Kintoneデータ抽出!$K$2:$K$5000="小規模") + (Kintoneデータ抽出!$K$2:$K$5000="認可")), ROW(A2)))&amp;"名",""), "")</f>
        <v/>
      </c>
      <c r="J13" s="76" t="str">
        <f t="array" ref="J13">IFERROR(IF(INDEX(Kintoneデータ抽出!E:E, _xlfn.AGGREGATE(15, 6, ROW(Kintoneデータ抽出!$K$2:$K$5000) / ((Kintoneデータ抽出!$K$2:$K$5000="小規模") + (Kintoneデータ抽出!$K$2:$K$5000="認可")), ROW(A2)))&lt;&gt;"",
YEAR(INDEX(Kintoneデータ抽出!E:E, _xlfn.AGGREGATE(15, 6, ROW(Kintoneデータ抽出!$K$2:$K$5000) / ((Kintoneデータ抽出!$K$2:$K$5000="小規模") + (Kintoneデータ抽出!$K$2:$K$5000="認可")), ROW(A2))))&amp;"年"
&amp;MONTH(INDEX(Kintoneデータ抽出!E:E, _xlfn.AGGREGATE(15, 6, ROW(Kintoneデータ抽出!$K$2:$K$5000) / ((Kintoneデータ抽出!$K$2:$K$5000="小規模") + (Kintoneデータ抽出!$K$2:$K$5000="認可")), ROW(A2))))&amp;"月"
&amp;DAY(INDEX(Kintoneデータ抽出!E:E, _xlfn.AGGREGATE(15, 6, ROW(Kintoneデータ抽出!$K$2:$K$5000) / ((Kintoneデータ抽出!$K$2:$K$5000="小規模") + (Kintoneデータ抽出!$K$2:$K$5000="認可")), ROW(A2))))&amp;"日",""), "")</f>
        <v/>
      </c>
      <c r="K13" s="77" t="str" cm="1">
        <f t="array" ref="K13">IFERROR(IF(INDEX(Kintoneデータ抽出!F:F, _xlfn.AGGREGATE(15, 6, ROW(Kintoneデータ抽出!$K$2:$K$5000) / ((Kintoneデータ抽出!$K$2:$K$5000="小規模") + (Kintoneデータ抽出!$K$2:$K$5000="認可")), ROW(A2)))&lt;&gt;"",
VLOOKUP(INDEX(Kintoneデータ抽出!F:F, _xlfn.AGGREGATE(15, 6, ROW(Kintoneデータ抽出!$K$2:$K$5000) / ((Kintoneデータ抽出!$K$2:$K$5000="小規模") + (Kintoneデータ抽出!$K$2:$K$5000="認可")), ROW(A2))),基本開園日の表記!$A$2:$B$13,2,FALSE),""), "")</f>
        <v/>
      </c>
      <c r="L13" s="75" t="str">
        <f t="array" ref="L13">IFERROR(IF(INDEX(Kintoneデータ抽出!F:F, _xlfn.AGGREGATE(15, 6, ROW(Kintoneデータ抽出!$K$2:$K$5000) / ((Kintoneデータ抽出!$K$2:$K$5000="小規模") + (Kintoneデータ抽出!$K$2:$K$5000="認可")), ROW(A2)))&lt;&gt;"",
IF(COUNTIF(INDEX(Kintoneデータ抽出!F:F, _xlfn.AGGREGATE(15, 6, ROW(Kintoneデータ抽出!$K$2:$K$5000) / ((Kintoneデータ抽出!$K$2:$K$5000="小規模") + (Kintoneデータ抽出!$K$2:$K$5000="認可")), ROW(A2))),"*あり*"),"夜間",""),""), "")</f>
        <v/>
      </c>
      <c r="M13" s="75" t="str">
        <f t="array" ref="M13">IFERROR(IF(INDEX(Kintoneデータ抽出!I:I, _xlfn.AGGREGATE(15, 6, ROW(Kintoneデータ抽出!$K$2:$K$5000) / ((Kintoneデータ抽出!$K$2:$K$5000="小規模") + (Kintoneデータ抽出!$K$2:$K$5000="認可")), ROW(A2)))&lt;&gt;"",
IF(COUNTIF(INDEX(Kintoneデータ抽出!I:I, _xlfn.AGGREGATE(15, 6, ROW(Kintoneデータ抽出!$K$2:$K$5000) / ((Kintoneデータ抽出!$K$2:$K$5000="小規模") + (Kintoneデータ抽出!$K$2:$K$5000="認可")), ROW(A2))),"*あり*"),"学童",""),""), "")</f>
        <v/>
      </c>
      <c r="N13" s="75" t="str">
        <f t="array" ref="N13">IFERROR(IF(INDEX(Kintoneデータ抽出!H:H, _xlfn.AGGREGATE(15, 6, ROW(Kintoneデータ抽出!$K$2:$K$5000) / ((Kintoneデータ抽出!$K$2:$K$5000="小規模") + (Kintoneデータ抽出!$K$2:$K$5000="認可")), ROW(A2)))&lt;&gt;"",
IF(COUNTIF(INDEX(Kintoneデータ抽出!H:H, _xlfn.AGGREGATE(15, 6, ROW(Kintoneデータ抽出!$K$2:$K$5000) / ((Kintoneデータ抽出!$K$2:$K$5000="小規模") + (Kintoneデータ抽出!$K$2:$K$5000="認可")), ROW(A2))),"*あり*"),"病児",""),""), "")</f>
        <v/>
      </c>
      <c r="O13" s="75" t="str" cm="1">
        <f t="array" ref="O13">IFERROR(
IF(INDEX(Kintoneデータ抽出!M:M, _xlfn.AGGREGATE(15, 6, ROW(Kintoneデータ抽出!$K$2:$K$5000) / ((Kintoneデータ抽出!$K$2:$K$5000="小規模") + (Kintoneデータ抽出!$K$2:$K$5000="認可")), ROW(A2)))&lt;&gt;0,INDEX(Kintoneデータ抽出!M:M, _xlfn.AGGREGATE(15, 6, ROW(Kintoneデータ抽出!$K$2:$K$5000) / ((Kintoneデータ抽出!$K$2:$K$5000="小規模") + (Kintoneデータ抽出!$K$2:$K$5000="認可")), ROW(A2))),""), "")</f>
        <v/>
      </c>
      <c r="P13" s="78" t="str">
        <f t="array" ref="P13">IFERROR(IF(INDEX(Kintoneデータ抽出!L:L, _xlfn.AGGREGATE(15, 6, ROW(Kintoneデータ抽出!$K$2:$K$5000) / ((Kintoneデータ抽出!$K$2:$K$5000="院内")), ROW(A2)))&lt;&gt;"",
IF(COUNTIF(INDEX(Kintoneデータ抽出!L:L, _xlfn.AGGREGATE(15, 6, ROW(Kintoneデータ抽出!$K$2:$K$5000) / ((Kintoneデータ抽出!$K$2:$K$5000="院内")), ROW(A2))),"*企業主導型以外*"),"",
IF(COUNTIF(INDEX(Kintoneデータ抽出!L:L, _xlfn.AGGREGATE(15, 6, ROW(Kintoneデータ抽出!$K$2:$K$5000) / ((Kintoneデータ抽出!$K$2:$K$5000="院内")), ROW(A2))),"*その他*"),"",
IF(COUNTIF(INDEX(Kintoneデータ抽出!L:L, _xlfn.AGGREGATE(15, 6, ROW(Kintoneデータ抽出!$K$2:$K$5000) / ((Kintoneデータ抽出!$K$2:$K$5000="院内")), ROW(A2))),"*新制度*"),"新制度","企業主導型"))),""), "")</f>
        <v/>
      </c>
    </row>
    <row r="14" spans="1:17" ht="34.799999999999997" customHeight="1" x14ac:dyDescent="0.45">
      <c r="B14" s="45"/>
      <c r="C14" s="170"/>
      <c r="D14" s="98" t="str">
        <f t="shared" si="0"/>
        <v/>
      </c>
      <c r="E14" s="99"/>
      <c r="F14" s="75" t="str">
        <f t="array" ref="F14">IFERROR(INDEX(Kintoneデータ抽出!A:A, _xlfn.AGGREGATE(15, 6, ROW(Kintoneデータ抽出!$K$2:$K$5000) / ((Kintoneデータ抽出!$K$2:$K$5000="小規模") + (Kintoneデータ抽出!$K$2:$K$5000="認可")), ROW(A3))), "")</f>
        <v/>
      </c>
      <c r="G14" s="77" t="str">
        <f t="array" ref="G14">IFERROR(INDEX(Kintoneデータ抽出!D:D, _xlfn.AGGREGATE(15, 6, ROW(Kintoneデータ抽出!$K$2:$K$5000) / ((Kintoneデータ抽出!$K$2:$K$5000="小規模") + (Kintoneデータ抽出!$K$2:$K$5000="認可")), ROW(A3))), "")</f>
        <v/>
      </c>
      <c r="H14" s="77" t="str">
        <f t="array" ref="H14">IFERROR(INDEX(Kintoneデータ抽出!C:C, _xlfn.AGGREGATE(15, 6, ROW(Kintoneデータ抽出!$K$2:$K$5000) / ((Kintoneデータ抽出!$K$2:$K$5000="小規模") + (Kintoneデータ抽出!$K$2:$K$5000="認可")), ROW(A3))), "")</f>
        <v/>
      </c>
      <c r="I14" s="77" t="str">
        <f t="array" ref="I14">IFERROR(IF(INDEX(Kintoneデータ抽出!G:G, _xlfn.AGGREGATE(15, 6, ROW(Kintoneデータ抽出!$K$2:$K$5000) / ((Kintoneデータ抽出!$K$2:$K$5000="小規模") + (Kintoneデータ抽出!$K$2:$K$5000="認可")), ROW(A3)))&lt;&gt;"",INDEX(Kintoneデータ抽出!G:G, _xlfn.AGGREGATE(15, 6, ROW(Kintoneデータ抽出!$K$2:$K$5000) / ((Kintoneデータ抽出!$K$2:$K$5000="小規模") + (Kintoneデータ抽出!$K$2:$K$5000="認可")), ROW(A3)))&amp;"名",""), "")</f>
        <v/>
      </c>
      <c r="J14" s="76" t="str">
        <f t="array" ref="J14">IFERROR(IF(INDEX(Kintoneデータ抽出!E:E, _xlfn.AGGREGATE(15, 6, ROW(Kintoneデータ抽出!$K$2:$K$5000) / ((Kintoneデータ抽出!$K$2:$K$5000="小規模") + (Kintoneデータ抽出!$K$2:$K$5000="認可")), ROW(A3)))&lt;&gt;"",
YEAR(INDEX(Kintoneデータ抽出!E:E, _xlfn.AGGREGATE(15, 6, ROW(Kintoneデータ抽出!$K$2:$K$5000) / ((Kintoneデータ抽出!$K$2:$K$5000="小規模") + (Kintoneデータ抽出!$K$2:$K$5000="認可")), ROW(A3))))&amp;"年"
&amp;MONTH(INDEX(Kintoneデータ抽出!E:E, _xlfn.AGGREGATE(15, 6, ROW(Kintoneデータ抽出!$K$2:$K$5000) / ((Kintoneデータ抽出!$K$2:$K$5000="小規模") + (Kintoneデータ抽出!$K$2:$K$5000="認可")), ROW(A3))))&amp;"月"
&amp;DAY(INDEX(Kintoneデータ抽出!E:E, _xlfn.AGGREGATE(15, 6, ROW(Kintoneデータ抽出!$K$2:$K$5000) / ((Kintoneデータ抽出!$K$2:$K$5000="小規模") + (Kintoneデータ抽出!$K$2:$K$5000="認可")), ROW(A3))))&amp;"日",""), "")</f>
        <v/>
      </c>
      <c r="K14" s="77" t="str" cm="1">
        <f t="array" ref="K14">IFERROR(IF(INDEX(Kintoneデータ抽出!F:F, _xlfn.AGGREGATE(15, 6, ROW(Kintoneデータ抽出!$K$2:$K$5000) / ((Kintoneデータ抽出!$K$2:$K$5000="小規模") + (Kintoneデータ抽出!$K$2:$K$5000="認可")), ROW(A3)))&lt;&gt;"",
VLOOKUP(INDEX(Kintoneデータ抽出!F:F, _xlfn.AGGREGATE(15, 6, ROW(Kintoneデータ抽出!$K$2:$K$5000) / ((Kintoneデータ抽出!$K$2:$K$5000="小規模") + (Kintoneデータ抽出!$K$2:$K$5000="認可")), ROW(A3))),基本開園日の表記!$A$2:$B$13,2,FALSE),""), "")</f>
        <v/>
      </c>
      <c r="L14" s="75" t="str">
        <f t="array" ref="L14">IFERROR(IF(INDEX(Kintoneデータ抽出!F:F, _xlfn.AGGREGATE(15, 6, ROW(Kintoneデータ抽出!$K$2:$K$5000) / ((Kintoneデータ抽出!$K$2:$K$5000="小規模") + (Kintoneデータ抽出!$K$2:$K$5000="認可")), ROW(A3)))&lt;&gt;"",
IF(COUNTIF(INDEX(Kintoneデータ抽出!F:F, _xlfn.AGGREGATE(15, 6, ROW(Kintoneデータ抽出!$K$2:$K$5000) / ((Kintoneデータ抽出!$K$2:$K$5000="小規模") + (Kintoneデータ抽出!$K$2:$K$5000="認可")), ROW(A3))),"*あり*"),"夜間",""),""), "")</f>
        <v/>
      </c>
      <c r="M14" s="75" t="str">
        <f t="array" ref="M14">IFERROR(IF(INDEX(Kintoneデータ抽出!I:I, _xlfn.AGGREGATE(15, 6, ROW(Kintoneデータ抽出!$K$2:$K$5000) / ((Kintoneデータ抽出!$K$2:$K$5000="小規模") + (Kintoneデータ抽出!$K$2:$K$5000="認可")), ROW(A3)))&lt;&gt;"",
IF(COUNTIF(INDEX(Kintoneデータ抽出!I:I, _xlfn.AGGREGATE(15, 6, ROW(Kintoneデータ抽出!$K$2:$K$5000) / ((Kintoneデータ抽出!$K$2:$K$5000="小規模") + (Kintoneデータ抽出!$K$2:$K$5000="認可")), ROW(A3))),"*あり*"),"学童",""),""), "")</f>
        <v/>
      </c>
      <c r="N14" s="75" t="str">
        <f t="array" ref="N14">IFERROR(IF(INDEX(Kintoneデータ抽出!H:H, _xlfn.AGGREGATE(15, 6, ROW(Kintoneデータ抽出!$K$2:$K$5000) / ((Kintoneデータ抽出!$K$2:$K$5000="小規模") + (Kintoneデータ抽出!$K$2:$K$5000="認可")), ROW(A3)))&lt;&gt;"",
IF(COUNTIF(INDEX(Kintoneデータ抽出!H:H, _xlfn.AGGREGATE(15, 6, ROW(Kintoneデータ抽出!$K$2:$K$5000) / ((Kintoneデータ抽出!$K$2:$K$5000="小規模") + (Kintoneデータ抽出!$K$2:$K$5000="認可")), ROW(A3))),"*あり*"),"病児",""),""), "")</f>
        <v/>
      </c>
      <c r="O14" s="75" t="str" cm="1">
        <f t="array" ref="O14">IFERROR(
IF(INDEX(Kintoneデータ抽出!M:M, _xlfn.AGGREGATE(15, 6, ROW(Kintoneデータ抽出!$K$2:$K$5000) / ((Kintoneデータ抽出!$K$2:$K$5000="小規模") + (Kintoneデータ抽出!$K$2:$K$5000="認可")), ROW(A3)))&lt;&gt;0,INDEX(Kintoneデータ抽出!M:M, _xlfn.AGGREGATE(15, 6, ROW(Kintoneデータ抽出!$K$2:$K$5000) / ((Kintoneデータ抽出!$K$2:$K$5000="小規模") + (Kintoneデータ抽出!$K$2:$K$5000="認可")), ROW(A3))),""), "")</f>
        <v/>
      </c>
      <c r="P14" s="78" t="str">
        <f t="array" ref="P14">IFERROR(IF(INDEX(Kintoneデータ抽出!L:L, _xlfn.AGGREGATE(15, 6, ROW(Kintoneデータ抽出!$K$2:$K$5000) / ((Kintoneデータ抽出!$K$2:$K$5000="院内")), ROW(A3)))&lt;&gt;"",
IF(COUNTIF(INDEX(Kintoneデータ抽出!L:L, _xlfn.AGGREGATE(15, 6, ROW(Kintoneデータ抽出!$K$2:$K$5000) / ((Kintoneデータ抽出!$K$2:$K$5000="院内")), ROW(A3))),"*企業主導型以外*"),"",
IF(COUNTIF(INDEX(Kintoneデータ抽出!L:L, _xlfn.AGGREGATE(15, 6, ROW(Kintoneデータ抽出!$K$2:$K$5000) / ((Kintoneデータ抽出!$K$2:$K$5000="院内")), ROW(A3))),"*その他*"),"",
IF(COUNTIF(INDEX(Kintoneデータ抽出!L:L, _xlfn.AGGREGATE(15, 6, ROW(Kintoneデータ抽出!$K$2:$K$5000) / ((Kintoneデータ抽出!$K$2:$K$5000="院内")), ROW(A3))),"*新制度*"),"新制度","企業主導型"))),""), "")</f>
        <v/>
      </c>
    </row>
    <row r="15" spans="1:17" ht="34.799999999999997" customHeight="1" x14ac:dyDescent="0.45">
      <c r="B15" s="45"/>
      <c r="C15" s="170"/>
      <c r="D15" s="98" t="str">
        <f t="shared" si="0"/>
        <v/>
      </c>
      <c r="E15" s="99"/>
      <c r="F15" s="75" t="str">
        <f t="array" ref="F15">IFERROR(INDEX(Kintoneデータ抽出!A:A, _xlfn.AGGREGATE(15, 6, ROW(Kintoneデータ抽出!$K$2:$K$5000) / ((Kintoneデータ抽出!$K$2:$K$5000="小規模") + (Kintoneデータ抽出!$K$2:$K$5000="認可")), ROW(A4))), "")</f>
        <v/>
      </c>
      <c r="G15" s="77" t="str">
        <f t="array" ref="G15">IFERROR(INDEX(Kintoneデータ抽出!D:D, _xlfn.AGGREGATE(15, 6, ROW(Kintoneデータ抽出!$K$2:$K$5000) / ((Kintoneデータ抽出!$K$2:$K$5000="小規模") + (Kintoneデータ抽出!$K$2:$K$5000="認可")), ROW(A4))), "")</f>
        <v/>
      </c>
      <c r="H15" s="77" t="str">
        <f t="array" ref="H15">IFERROR(INDEX(Kintoneデータ抽出!C:C, _xlfn.AGGREGATE(15, 6, ROW(Kintoneデータ抽出!$K$2:$K$5000) / ((Kintoneデータ抽出!$K$2:$K$5000="小規模") + (Kintoneデータ抽出!$K$2:$K$5000="認可")), ROW(A4))), "")</f>
        <v/>
      </c>
      <c r="I15" s="77" t="str">
        <f t="array" ref="I15">IFERROR(IF(INDEX(Kintoneデータ抽出!G:G, _xlfn.AGGREGATE(15, 6, ROW(Kintoneデータ抽出!$K$2:$K$5000) / ((Kintoneデータ抽出!$K$2:$K$5000="小規模") + (Kintoneデータ抽出!$K$2:$K$5000="認可")), ROW(A4)))&lt;&gt;"",INDEX(Kintoneデータ抽出!G:G, _xlfn.AGGREGATE(15, 6, ROW(Kintoneデータ抽出!$K$2:$K$5000) / ((Kintoneデータ抽出!$K$2:$K$5000="小規模") + (Kintoneデータ抽出!$K$2:$K$5000="認可")), ROW(A4)))&amp;"名",""), "")</f>
        <v/>
      </c>
      <c r="J15" s="76" t="str">
        <f t="array" ref="J15">IFERROR(IF(INDEX(Kintoneデータ抽出!E:E, _xlfn.AGGREGATE(15, 6, ROW(Kintoneデータ抽出!$K$2:$K$5000) / ((Kintoneデータ抽出!$K$2:$K$5000="小規模") + (Kintoneデータ抽出!$K$2:$K$5000="認可")), ROW(A4)))&lt;&gt;"",
YEAR(INDEX(Kintoneデータ抽出!E:E, _xlfn.AGGREGATE(15, 6, ROW(Kintoneデータ抽出!$K$2:$K$5000) / ((Kintoneデータ抽出!$K$2:$K$5000="小規模") + (Kintoneデータ抽出!$K$2:$K$5000="認可")), ROW(A4))))&amp;"年"
&amp;MONTH(INDEX(Kintoneデータ抽出!E:E, _xlfn.AGGREGATE(15, 6, ROW(Kintoneデータ抽出!$K$2:$K$5000) / ((Kintoneデータ抽出!$K$2:$K$5000="小規模") + (Kintoneデータ抽出!$K$2:$K$5000="認可")), ROW(A4))))&amp;"月"
&amp;DAY(INDEX(Kintoneデータ抽出!E:E, _xlfn.AGGREGATE(15, 6, ROW(Kintoneデータ抽出!$K$2:$K$5000) / ((Kintoneデータ抽出!$K$2:$K$5000="小規模") + (Kintoneデータ抽出!$K$2:$K$5000="認可")), ROW(A4))))&amp;"日",""), "")</f>
        <v/>
      </c>
      <c r="K15" s="77" t="str" cm="1">
        <f t="array" ref="K15">IFERROR(IF(INDEX(Kintoneデータ抽出!F:F, _xlfn.AGGREGATE(15, 6, ROW(Kintoneデータ抽出!$K$2:$K$5000) / ((Kintoneデータ抽出!$K$2:$K$5000="小規模") + (Kintoneデータ抽出!$K$2:$K$5000="認可")), ROW(A4)))&lt;&gt;"",
VLOOKUP(INDEX(Kintoneデータ抽出!F:F, _xlfn.AGGREGATE(15, 6, ROW(Kintoneデータ抽出!$K$2:$K$5000) / ((Kintoneデータ抽出!$K$2:$K$5000="小規模") + (Kintoneデータ抽出!$K$2:$K$5000="認可")), ROW(A4))),基本開園日の表記!$A$2:$B$13,2,FALSE),""), "")</f>
        <v/>
      </c>
      <c r="L15" s="75" t="str">
        <f t="array" ref="L15">IFERROR(IF(INDEX(Kintoneデータ抽出!F:F, _xlfn.AGGREGATE(15, 6, ROW(Kintoneデータ抽出!$K$2:$K$5000) / ((Kintoneデータ抽出!$K$2:$K$5000="小規模") + (Kintoneデータ抽出!$K$2:$K$5000="認可")), ROW(A4)))&lt;&gt;"",
IF(COUNTIF(INDEX(Kintoneデータ抽出!F:F, _xlfn.AGGREGATE(15, 6, ROW(Kintoneデータ抽出!$K$2:$K$5000) / ((Kintoneデータ抽出!$K$2:$K$5000="小規模") + (Kintoneデータ抽出!$K$2:$K$5000="認可")), ROW(A4))),"*あり*"),"夜間",""),""), "")</f>
        <v/>
      </c>
      <c r="M15" s="75" t="str">
        <f t="array" ref="M15">IFERROR(IF(INDEX(Kintoneデータ抽出!I:I, _xlfn.AGGREGATE(15, 6, ROW(Kintoneデータ抽出!$K$2:$K$5000) / ((Kintoneデータ抽出!$K$2:$K$5000="小規模") + (Kintoneデータ抽出!$K$2:$K$5000="認可")), ROW(A4)))&lt;&gt;"",
IF(COUNTIF(INDEX(Kintoneデータ抽出!I:I, _xlfn.AGGREGATE(15, 6, ROW(Kintoneデータ抽出!$K$2:$K$5000) / ((Kintoneデータ抽出!$K$2:$K$5000="小規模") + (Kintoneデータ抽出!$K$2:$K$5000="認可")), ROW(A4))),"*あり*"),"学童",""),""), "")</f>
        <v/>
      </c>
      <c r="N15" s="75" t="str">
        <f t="array" ref="N15">IFERROR(IF(INDEX(Kintoneデータ抽出!H:H, _xlfn.AGGREGATE(15, 6, ROW(Kintoneデータ抽出!$K$2:$K$5000) / ((Kintoneデータ抽出!$K$2:$K$5000="小規模") + (Kintoneデータ抽出!$K$2:$K$5000="認可")), ROW(A4)))&lt;&gt;"",
IF(COUNTIF(INDEX(Kintoneデータ抽出!H:H, _xlfn.AGGREGATE(15, 6, ROW(Kintoneデータ抽出!$K$2:$K$5000) / ((Kintoneデータ抽出!$K$2:$K$5000="小規模") + (Kintoneデータ抽出!$K$2:$K$5000="認可")), ROW(A4))),"*あり*"),"病児",""),""), "")</f>
        <v/>
      </c>
      <c r="O15" s="75" t="str" cm="1">
        <f t="array" ref="O15">IFERROR(
IF(INDEX(Kintoneデータ抽出!M:M, _xlfn.AGGREGATE(15, 6, ROW(Kintoneデータ抽出!$K$2:$K$5000) / ((Kintoneデータ抽出!$K$2:$K$5000="小規模") + (Kintoneデータ抽出!$K$2:$K$5000="認可")), ROW(A4)))&lt;&gt;0,INDEX(Kintoneデータ抽出!M:M, _xlfn.AGGREGATE(15, 6, ROW(Kintoneデータ抽出!$K$2:$K$5000) / ((Kintoneデータ抽出!$K$2:$K$5000="小規模") + (Kintoneデータ抽出!$K$2:$K$5000="認可")), ROW(A4))),""), "")</f>
        <v/>
      </c>
      <c r="P15" s="78" t="str">
        <f t="array" ref="P15">IFERROR(IF(INDEX(Kintoneデータ抽出!L:L, _xlfn.AGGREGATE(15, 6, ROW(Kintoneデータ抽出!$K$2:$K$5000) / ((Kintoneデータ抽出!$K$2:$K$5000="院内")), ROW(A4)))&lt;&gt;"",
IF(COUNTIF(INDEX(Kintoneデータ抽出!L:L, _xlfn.AGGREGATE(15, 6, ROW(Kintoneデータ抽出!$K$2:$K$5000) / ((Kintoneデータ抽出!$K$2:$K$5000="院内")), ROW(A4))),"*企業主導型以外*"),"",
IF(COUNTIF(INDEX(Kintoneデータ抽出!L:L, _xlfn.AGGREGATE(15, 6, ROW(Kintoneデータ抽出!$K$2:$K$5000) / ((Kintoneデータ抽出!$K$2:$K$5000="院内")), ROW(A4))),"*その他*"),"",
IF(COUNTIF(INDEX(Kintoneデータ抽出!L:L, _xlfn.AGGREGATE(15, 6, ROW(Kintoneデータ抽出!$K$2:$K$5000) / ((Kintoneデータ抽出!$K$2:$K$5000="院内")), ROW(A4))),"*新制度*"),"新制度","企業主導型"))),""), "")</f>
        <v/>
      </c>
    </row>
    <row r="16" spans="1:17" ht="34.799999999999997" customHeight="1" x14ac:dyDescent="0.45">
      <c r="B16" s="47"/>
      <c r="C16" s="171"/>
      <c r="D16" s="98" t="str">
        <f t="shared" si="0"/>
        <v/>
      </c>
      <c r="E16" s="99"/>
      <c r="F16" s="75" t="str">
        <f t="array" ref="F16">IFERROR(INDEX(Kintoneデータ抽出!A:A, _xlfn.AGGREGATE(15, 6, ROW(Kintoneデータ抽出!$K$2:$K$5000) / ((Kintoneデータ抽出!$K$2:$K$5000="小規模") + (Kintoneデータ抽出!$K$2:$K$5000="認可")), ROW(A5))), "")</f>
        <v/>
      </c>
      <c r="G16" s="77" t="str">
        <f t="array" ref="G16">IFERROR(INDEX(Kintoneデータ抽出!D:D, _xlfn.AGGREGATE(15, 6, ROW(Kintoneデータ抽出!$K$2:$K$5000) / ((Kintoneデータ抽出!$K$2:$K$5000="小規模") + (Kintoneデータ抽出!$K$2:$K$5000="認可")), ROW(A5))), "")</f>
        <v/>
      </c>
      <c r="H16" s="77" t="str">
        <f t="array" ref="H16">IFERROR(INDEX(Kintoneデータ抽出!C:C, _xlfn.AGGREGATE(15, 6, ROW(Kintoneデータ抽出!$K$2:$K$5000) / ((Kintoneデータ抽出!$K$2:$K$5000="小規模") + (Kintoneデータ抽出!$K$2:$K$5000="認可")), ROW(A5))), "")</f>
        <v/>
      </c>
      <c r="I16" s="77" t="str">
        <f t="array" ref="I16">IFERROR(IF(INDEX(Kintoneデータ抽出!G:G, _xlfn.AGGREGATE(15, 6, ROW(Kintoneデータ抽出!$K$2:$K$5000) / ((Kintoneデータ抽出!$K$2:$K$5000="小規模") + (Kintoneデータ抽出!$K$2:$K$5000="認可")), ROW(A5)))&lt;&gt;"",INDEX(Kintoneデータ抽出!G:G, _xlfn.AGGREGATE(15, 6, ROW(Kintoneデータ抽出!$K$2:$K$5000) / ((Kintoneデータ抽出!$K$2:$K$5000="小規模") + (Kintoneデータ抽出!$K$2:$K$5000="認可")), ROW(A5)))&amp;"名",""), "")</f>
        <v/>
      </c>
      <c r="J16" s="76" t="str">
        <f t="array" ref="J16">IFERROR(IF(INDEX(Kintoneデータ抽出!E:E, _xlfn.AGGREGATE(15, 6, ROW(Kintoneデータ抽出!$K$2:$K$5000) / ((Kintoneデータ抽出!$K$2:$K$5000="小規模") + (Kintoneデータ抽出!$K$2:$K$5000="認可")), ROW(A5)))&lt;&gt;"",
YEAR(INDEX(Kintoneデータ抽出!E:E, _xlfn.AGGREGATE(15, 6, ROW(Kintoneデータ抽出!$K$2:$K$5000) / ((Kintoneデータ抽出!$K$2:$K$5000="小規模") + (Kintoneデータ抽出!$K$2:$K$5000="認可")), ROW(A5))))&amp;"年"
&amp;MONTH(INDEX(Kintoneデータ抽出!E:E, _xlfn.AGGREGATE(15, 6, ROW(Kintoneデータ抽出!$K$2:$K$5000) / ((Kintoneデータ抽出!$K$2:$K$5000="小規模") + (Kintoneデータ抽出!$K$2:$K$5000="認可")), ROW(A5))))&amp;"月"
&amp;DAY(INDEX(Kintoneデータ抽出!E:E, _xlfn.AGGREGATE(15, 6, ROW(Kintoneデータ抽出!$K$2:$K$5000) / ((Kintoneデータ抽出!$K$2:$K$5000="小規模") + (Kintoneデータ抽出!$K$2:$K$5000="認可")), ROW(A5))))&amp;"日",""), "")</f>
        <v/>
      </c>
      <c r="K16" s="77" t="str" cm="1">
        <f t="array" ref="K16">IFERROR(IF(INDEX(Kintoneデータ抽出!F:F, _xlfn.AGGREGATE(15, 6, ROW(Kintoneデータ抽出!$K$2:$K$5000) / ((Kintoneデータ抽出!$K$2:$K$5000="小規模") + (Kintoneデータ抽出!$K$2:$K$5000="認可")), ROW(A5)))&lt;&gt;"",
VLOOKUP(INDEX(Kintoneデータ抽出!F:F, _xlfn.AGGREGATE(15, 6, ROW(Kintoneデータ抽出!$K$2:$K$5000) / ((Kintoneデータ抽出!$K$2:$K$5000="小規模") + (Kintoneデータ抽出!$K$2:$K$5000="認可")), ROW(A5))),基本開園日の表記!$A$2:$B$13,2,FALSE),""), "")</f>
        <v/>
      </c>
      <c r="L16" s="75" t="str">
        <f t="array" ref="L16">IFERROR(IF(INDEX(Kintoneデータ抽出!F:F, _xlfn.AGGREGATE(15, 6, ROW(Kintoneデータ抽出!$K$2:$K$5000) / ((Kintoneデータ抽出!$K$2:$K$5000="小規模") + (Kintoneデータ抽出!$K$2:$K$5000="認可")), ROW(A5)))&lt;&gt;"",
IF(COUNTIF(INDEX(Kintoneデータ抽出!F:F, _xlfn.AGGREGATE(15, 6, ROW(Kintoneデータ抽出!$K$2:$K$5000) / ((Kintoneデータ抽出!$K$2:$K$5000="小規模") + (Kintoneデータ抽出!$K$2:$K$5000="認可")), ROW(A5))),"*あり*"),"夜間",""),""), "")</f>
        <v/>
      </c>
      <c r="M16" s="75" t="str">
        <f t="array" ref="M16">IFERROR(IF(INDEX(Kintoneデータ抽出!I:I, _xlfn.AGGREGATE(15, 6, ROW(Kintoneデータ抽出!$K$2:$K$5000) / ((Kintoneデータ抽出!$K$2:$K$5000="小規模") + (Kintoneデータ抽出!$K$2:$K$5000="認可")), ROW(A5)))&lt;&gt;"",
IF(COUNTIF(INDEX(Kintoneデータ抽出!I:I, _xlfn.AGGREGATE(15, 6, ROW(Kintoneデータ抽出!$K$2:$K$5000) / ((Kintoneデータ抽出!$K$2:$K$5000="小規模") + (Kintoneデータ抽出!$K$2:$K$5000="認可")), ROW(A5))),"*あり*"),"学童",""),""), "")</f>
        <v/>
      </c>
      <c r="N16" s="75" t="str">
        <f t="array" ref="N16">IFERROR(IF(INDEX(Kintoneデータ抽出!H:H, _xlfn.AGGREGATE(15, 6, ROW(Kintoneデータ抽出!$K$2:$K$5000) / ((Kintoneデータ抽出!$K$2:$K$5000="小規模") + (Kintoneデータ抽出!$K$2:$K$5000="認可")), ROW(A5)))&lt;&gt;"",
IF(COUNTIF(INDEX(Kintoneデータ抽出!H:H, _xlfn.AGGREGATE(15, 6, ROW(Kintoneデータ抽出!$K$2:$K$5000) / ((Kintoneデータ抽出!$K$2:$K$5000="小規模") + (Kintoneデータ抽出!$K$2:$K$5000="認可")), ROW(A5))),"*あり*"),"病児",""),""), "")</f>
        <v/>
      </c>
      <c r="O16" s="75" t="str" cm="1">
        <f t="array" ref="O16">IFERROR(
IF(INDEX(Kintoneデータ抽出!M:M, _xlfn.AGGREGATE(15, 6, ROW(Kintoneデータ抽出!$K$2:$K$5000) / ((Kintoneデータ抽出!$K$2:$K$5000="小規模") + (Kintoneデータ抽出!$K$2:$K$5000="認可")), ROW(A5)))&lt;&gt;0,INDEX(Kintoneデータ抽出!M:M, _xlfn.AGGREGATE(15, 6, ROW(Kintoneデータ抽出!$K$2:$K$5000) / ((Kintoneデータ抽出!$K$2:$K$5000="小規模") + (Kintoneデータ抽出!$K$2:$K$5000="認可")), ROW(A5))),""), "")</f>
        <v/>
      </c>
      <c r="P16" s="78" t="str">
        <f t="array" ref="P16">IFERROR(IF(INDEX(Kintoneデータ抽出!L:L, _xlfn.AGGREGATE(15, 6, ROW(Kintoneデータ抽出!$K$2:$K$5000) / ((Kintoneデータ抽出!$K$2:$K$5000="院内")), ROW(A5)))&lt;&gt;"",
IF(COUNTIF(INDEX(Kintoneデータ抽出!L:L, _xlfn.AGGREGATE(15, 6, ROW(Kintoneデータ抽出!$K$2:$K$5000) / ((Kintoneデータ抽出!$K$2:$K$5000="院内")), ROW(A5))),"*企業主導型以外*"),"",
IF(COUNTIF(INDEX(Kintoneデータ抽出!L:L, _xlfn.AGGREGATE(15, 6, ROW(Kintoneデータ抽出!$K$2:$K$5000) / ((Kintoneデータ抽出!$K$2:$K$5000="院内")), ROW(A5))),"*その他*"),"",
IF(COUNTIF(INDEX(Kintoneデータ抽出!L:L, _xlfn.AGGREGATE(15, 6, ROW(Kintoneデータ抽出!$K$2:$K$5000) / ((Kintoneデータ抽出!$K$2:$K$5000="院内")), ROW(A5))),"*新制度*"),"新制度","企業主導型"))),""), "")</f>
        <v/>
      </c>
    </row>
    <row r="17" spans="2:16" ht="34.799999999999997" customHeight="1" x14ac:dyDescent="0.45">
      <c r="B17" s="64" t="s">
        <v>37</v>
      </c>
      <c r="C17" s="172"/>
      <c r="D17" s="98" t="str">
        <f t="shared" si="0"/>
        <v/>
      </c>
      <c r="E17" s="99"/>
      <c r="F17" s="75" t="str">
        <f t="array" ref="F17">IFERROR(INDEX(Kintoneデータ抽出!A:A, _xlfn.AGGREGATE(15, 6, ROW(Kintoneデータ抽出!$K$2:$K$5000) / ((Kintoneデータ抽出!$K$2:$K$5000="小規模") + (Kintoneデータ抽出!$K$2:$K$5000="認可")), ROW(A6))), "")</f>
        <v/>
      </c>
      <c r="G17" s="77" t="str">
        <f t="array" ref="G17">IFERROR(INDEX(Kintoneデータ抽出!D:D, _xlfn.AGGREGATE(15, 6, ROW(Kintoneデータ抽出!$K$2:$K$5000) / ((Kintoneデータ抽出!$K$2:$K$5000="小規模") + (Kintoneデータ抽出!$K$2:$K$5000="認可")), ROW(A6))), "")</f>
        <v/>
      </c>
      <c r="H17" s="77" t="str">
        <f t="array" ref="H17">IFERROR(INDEX(Kintoneデータ抽出!C:C, _xlfn.AGGREGATE(15, 6, ROW(Kintoneデータ抽出!$K$2:$K$5000) / ((Kintoneデータ抽出!$K$2:$K$5000="小規模") + (Kintoneデータ抽出!$K$2:$K$5000="認可")), ROW(A6))), "")</f>
        <v/>
      </c>
      <c r="I17" s="77" t="str">
        <f t="array" ref="I17">IFERROR(IF(INDEX(Kintoneデータ抽出!G:G, _xlfn.AGGREGATE(15, 6, ROW(Kintoneデータ抽出!$K$2:$K$5000) / ((Kintoneデータ抽出!$K$2:$K$5000="小規模") + (Kintoneデータ抽出!$K$2:$K$5000="認可")), ROW(A6)))&lt;&gt;"",INDEX(Kintoneデータ抽出!G:G, _xlfn.AGGREGATE(15, 6, ROW(Kintoneデータ抽出!$K$2:$K$5000) / ((Kintoneデータ抽出!$K$2:$K$5000="小規模") + (Kintoneデータ抽出!$K$2:$K$5000="認可")), ROW(A6)))&amp;"名",""), "")</f>
        <v/>
      </c>
      <c r="J17" s="76" t="str">
        <f t="array" ref="J17">IFERROR(IF(INDEX(Kintoneデータ抽出!E:E, _xlfn.AGGREGATE(15, 6, ROW(Kintoneデータ抽出!$K$2:$K$5000) / ((Kintoneデータ抽出!$K$2:$K$5000="小規模") + (Kintoneデータ抽出!$K$2:$K$5000="認可")), ROW(A6)))&lt;&gt;"",
YEAR(INDEX(Kintoneデータ抽出!E:E, _xlfn.AGGREGATE(15, 6, ROW(Kintoneデータ抽出!$K$2:$K$5000) / ((Kintoneデータ抽出!$K$2:$K$5000="小規模") + (Kintoneデータ抽出!$K$2:$K$5000="認可")), ROW(A6))))&amp;"年"
&amp;MONTH(INDEX(Kintoneデータ抽出!E:E, _xlfn.AGGREGATE(15, 6, ROW(Kintoneデータ抽出!$K$2:$K$5000) / ((Kintoneデータ抽出!$K$2:$K$5000="小規模") + (Kintoneデータ抽出!$K$2:$K$5000="認可")), ROW(A6))))&amp;"月"
&amp;DAY(INDEX(Kintoneデータ抽出!E:E, _xlfn.AGGREGATE(15, 6, ROW(Kintoneデータ抽出!$K$2:$K$5000) / ((Kintoneデータ抽出!$K$2:$K$5000="小規模") + (Kintoneデータ抽出!$K$2:$K$5000="認可")), ROW(A6))))&amp;"日",""), "")</f>
        <v/>
      </c>
      <c r="K17" s="77" t="str" cm="1">
        <f t="array" ref="K17">IFERROR(IF(INDEX(Kintoneデータ抽出!F:F, _xlfn.AGGREGATE(15, 6, ROW(Kintoneデータ抽出!$K$2:$K$5000) / ((Kintoneデータ抽出!$K$2:$K$5000="小規模") + (Kintoneデータ抽出!$K$2:$K$5000="認可")), ROW(A6)))&lt;&gt;"",
VLOOKUP(INDEX(Kintoneデータ抽出!F:F, _xlfn.AGGREGATE(15, 6, ROW(Kintoneデータ抽出!$K$2:$K$5000) / ((Kintoneデータ抽出!$K$2:$K$5000="小規模") + (Kintoneデータ抽出!$K$2:$K$5000="認可")), ROW(A6))),基本開園日の表記!$A$2:$B$13,2,FALSE),""), "")</f>
        <v/>
      </c>
      <c r="L17" s="75" t="str">
        <f t="array" ref="L17">IFERROR(IF(INDEX(Kintoneデータ抽出!F:F, _xlfn.AGGREGATE(15, 6, ROW(Kintoneデータ抽出!$K$2:$K$5000) / ((Kintoneデータ抽出!$K$2:$K$5000="小規模") + (Kintoneデータ抽出!$K$2:$K$5000="認可")), ROW(A6)))&lt;&gt;"",
IF(COUNTIF(INDEX(Kintoneデータ抽出!F:F, _xlfn.AGGREGATE(15, 6, ROW(Kintoneデータ抽出!$K$2:$K$5000) / ((Kintoneデータ抽出!$K$2:$K$5000="小規模") + (Kintoneデータ抽出!$K$2:$K$5000="認可")), ROW(A6))),"*あり*"),"夜間",""),""), "")</f>
        <v/>
      </c>
      <c r="M17" s="75" t="str">
        <f t="array" ref="M17">IFERROR(IF(INDEX(Kintoneデータ抽出!I:I, _xlfn.AGGREGATE(15, 6, ROW(Kintoneデータ抽出!$K$2:$K$5000) / ((Kintoneデータ抽出!$K$2:$K$5000="小規模") + (Kintoneデータ抽出!$K$2:$K$5000="認可")), ROW(A6)))&lt;&gt;"",
IF(COUNTIF(INDEX(Kintoneデータ抽出!I:I, _xlfn.AGGREGATE(15, 6, ROW(Kintoneデータ抽出!$K$2:$K$5000) / ((Kintoneデータ抽出!$K$2:$K$5000="小規模") + (Kintoneデータ抽出!$K$2:$K$5000="認可")), ROW(A6))),"*あり*"),"学童",""),""), "")</f>
        <v/>
      </c>
      <c r="N17" s="75" t="str">
        <f t="array" ref="N17">IFERROR(IF(INDEX(Kintoneデータ抽出!H:H, _xlfn.AGGREGATE(15, 6, ROW(Kintoneデータ抽出!$K$2:$K$5000) / ((Kintoneデータ抽出!$K$2:$K$5000="小規模") + (Kintoneデータ抽出!$K$2:$K$5000="認可")), ROW(A6)))&lt;&gt;"",
IF(COUNTIF(INDEX(Kintoneデータ抽出!H:H, _xlfn.AGGREGATE(15, 6, ROW(Kintoneデータ抽出!$K$2:$K$5000) / ((Kintoneデータ抽出!$K$2:$K$5000="小規模") + (Kintoneデータ抽出!$K$2:$K$5000="認可")), ROW(A6))),"*あり*"),"病児",""),""), "")</f>
        <v/>
      </c>
      <c r="O17" s="75" t="str" cm="1">
        <f t="array" ref="O17">IFERROR(
IF(INDEX(Kintoneデータ抽出!M:M, _xlfn.AGGREGATE(15, 6, ROW(Kintoneデータ抽出!$K$2:$K$5000) / ((Kintoneデータ抽出!$K$2:$K$5000="小規模") + (Kintoneデータ抽出!$K$2:$K$5000="認可")), ROW(A6)))&lt;&gt;0,INDEX(Kintoneデータ抽出!M:M, _xlfn.AGGREGATE(15, 6, ROW(Kintoneデータ抽出!$K$2:$K$5000) / ((Kintoneデータ抽出!$K$2:$K$5000="小規模") + (Kintoneデータ抽出!$K$2:$K$5000="認可")), ROW(A6))),""), "")</f>
        <v/>
      </c>
      <c r="P17" s="78" t="str">
        <f t="array" ref="P17">IFERROR(IF(INDEX(Kintoneデータ抽出!L:L, _xlfn.AGGREGATE(15, 6, ROW(Kintoneデータ抽出!$K$2:$K$5000) / ((Kintoneデータ抽出!$K$2:$K$5000="院内")), ROW(A6)))&lt;&gt;"",
IF(COUNTIF(INDEX(Kintoneデータ抽出!L:L, _xlfn.AGGREGATE(15, 6, ROW(Kintoneデータ抽出!$K$2:$K$5000) / ((Kintoneデータ抽出!$K$2:$K$5000="院内")), ROW(A6))),"*企業主導型以外*"),"",
IF(COUNTIF(INDEX(Kintoneデータ抽出!L:L, _xlfn.AGGREGATE(15, 6, ROW(Kintoneデータ抽出!$K$2:$K$5000) / ((Kintoneデータ抽出!$K$2:$K$5000="院内")), ROW(A6))),"*その他*"),"",
IF(COUNTIF(INDEX(Kintoneデータ抽出!L:L, _xlfn.AGGREGATE(15, 6, ROW(Kintoneデータ抽出!$K$2:$K$5000) / ((Kintoneデータ抽出!$K$2:$K$5000="院内")), ROW(A6))),"*新制度*"),"新制度","企業主導型"))),""), "")</f>
        <v/>
      </c>
    </row>
    <row r="18" spans="2:16" ht="34.799999999999997" customHeight="1" x14ac:dyDescent="0.45">
      <c r="B18" s="84" t="s">
        <v>38</v>
      </c>
      <c r="C18" s="172"/>
      <c r="D18" s="98" t="str">
        <f t="shared" si="0"/>
        <v/>
      </c>
      <c r="E18" s="99"/>
      <c r="F18" s="75" t="str">
        <f t="array" ref="F18">IFERROR(INDEX(Kintoneデータ抽出!A:A, _xlfn.AGGREGATE(15, 6, ROW(Kintoneデータ抽出!$K$2:$K$5000) / ((Kintoneデータ抽出!$K$2:$K$5000="小規模") + (Kintoneデータ抽出!$K$2:$K$5000="認可")), ROW(A7))), "")</f>
        <v/>
      </c>
      <c r="G18" s="77" t="str">
        <f t="array" ref="G18">IFERROR(INDEX(Kintoneデータ抽出!D:D, _xlfn.AGGREGATE(15, 6, ROW(Kintoneデータ抽出!$K$2:$K$5000) / ((Kintoneデータ抽出!$K$2:$K$5000="小規模") + (Kintoneデータ抽出!$K$2:$K$5000="認可")), ROW(A7))), "")</f>
        <v/>
      </c>
      <c r="H18" s="77" t="str">
        <f t="array" ref="H18">IFERROR(INDEX(Kintoneデータ抽出!C:C, _xlfn.AGGREGATE(15, 6, ROW(Kintoneデータ抽出!$K$2:$K$5000) / ((Kintoneデータ抽出!$K$2:$K$5000="小規模") + (Kintoneデータ抽出!$K$2:$K$5000="認可")), ROW(A7))), "")</f>
        <v/>
      </c>
      <c r="I18" s="77" t="str">
        <f t="array" ref="I18">IFERROR(IF(INDEX(Kintoneデータ抽出!G:G, _xlfn.AGGREGATE(15, 6, ROW(Kintoneデータ抽出!$K$2:$K$5000) / ((Kintoneデータ抽出!$K$2:$K$5000="小規模") + (Kintoneデータ抽出!$K$2:$K$5000="認可")), ROW(A7)))&lt;&gt;"",INDEX(Kintoneデータ抽出!G:G, _xlfn.AGGREGATE(15, 6, ROW(Kintoneデータ抽出!$K$2:$K$5000) / ((Kintoneデータ抽出!$K$2:$K$5000="小規模") + (Kintoneデータ抽出!$K$2:$K$5000="認可")), ROW(A7)))&amp;"名",""), "")</f>
        <v/>
      </c>
      <c r="J18" s="76" t="str">
        <f t="array" ref="J18">IFERROR(IF(INDEX(Kintoneデータ抽出!E:E, _xlfn.AGGREGATE(15, 6, ROW(Kintoneデータ抽出!$K$2:$K$5000) / ((Kintoneデータ抽出!$K$2:$K$5000="小規模") + (Kintoneデータ抽出!$K$2:$K$5000="認可")), ROW(A7)))&lt;&gt;"",
YEAR(INDEX(Kintoneデータ抽出!E:E, _xlfn.AGGREGATE(15, 6, ROW(Kintoneデータ抽出!$K$2:$K$5000) / ((Kintoneデータ抽出!$K$2:$K$5000="小規模") + (Kintoneデータ抽出!$K$2:$K$5000="認可")), ROW(A7))))&amp;"年"
&amp;MONTH(INDEX(Kintoneデータ抽出!E:E, _xlfn.AGGREGATE(15, 6, ROW(Kintoneデータ抽出!$K$2:$K$5000) / ((Kintoneデータ抽出!$K$2:$K$5000="小規模") + (Kintoneデータ抽出!$K$2:$K$5000="認可")), ROW(A7))))&amp;"月"
&amp;DAY(INDEX(Kintoneデータ抽出!E:E, _xlfn.AGGREGATE(15, 6, ROW(Kintoneデータ抽出!$K$2:$K$5000) / ((Kintoneデータ抽出!$K$2:$K$5000="小規模") + (Kintoneデータ抽出!$K$2:$K$5000="認可")), ROW(A7))))&amp;"日",""), "")</f>
        <v/>
      </c>
      <c r="K18" s="77" t="str" cm="1">
        <f t="array" ref="K18">IFERROR(IF(INDEX(Kintoneデータ抽出!F:F, _xlfn.AGGREGATE(15, 6, ROW(Kintoneデータ抽出!$K$2:$K$5000) / ((Kintoneデータ抽出!$K$2:$K$5000="小規模") + (Kintoneデータ抽出!$K$2:$K$5000="認可")), ROW(A7)))&lt;&gt;"",
VLOOKUP(INDEX(Kintoneデータ抽出!F:F, _xlfn.AGGREGATE(15, 6, ROW(Kintoneデータ抽出!$K$2:$K$5000) / ((Kintoneデータ抽出!$K$2:$K$5000="小規模") + (Kintoneデータ抽出!$K$2:$K$5000="認可")), ROW(A7))),基本開園日の表記!$A$2:$B$13,2,FALSE),""), "")</f>
        <v/>
      </c>
      <c r="L18" s="75" t="str">
        <f t="array" ref="L18">IFERROR(IF(INDEX(Kintoneデータ抽出!F:F, _xlfn.AGGREGATE(15, 6, ROW(Kintoneデータ抽出!$K$2:$K$5000) / ((Kintoneデータ抽出!$K$2:$K$5000="小規模") + (Kintoneデータ抽出!$K$2:$K$5000="認可")), ROW(A7)))&lt;&gt;"",
IF(COUNTIF(INDEX(Kintoneデータ抽出!F:F, _xlfn.AGGREGATE(15, 6, ROW(Kintoneデータ抽出!$K$2:$K$5000) / ((Kintoneデータ抽出!$K$2:$K$5000="小規模") + (Kintoneデータ抽出!$K$2:$K$5000="認可")), ROW(A7))),"*あり*"),"夜間",""),""), "")</f>
        <v/>
      </c>
      <c r="M18" s="75" t="str">
        <f t="array" ref="M18">IFERROR(IF(INDEX(Kintoneデータ抽出!I:I, _xlfn.AGGREGATE(15, 6, ROW(Kintoneデータ抽出!$K$2:$K$5000) / ((Kintoneデータ抽出!$K$2:$K$5000="小規模") + (Kintoneデータ抽出!$K$2:$K$5000="認可")), ROW(A7)))&lt;&gt;"",
IF(COUNTIF(INDEX(Kintoneデータ抽出!I:I, _xlfn.AGGREGATE(15, 6, ROW(Kintoneデータ抽出!$K$2:$K$5000) / ((Kintoneデータ抽出!$K$2:$K$5000="小規模") + (Kintoneデータ抽出!$K$2:$K$5000="認可")), ROW(A7))),"*あり*"),"学童",""),""), "")</f>
        <v/>
      </c>
      <c r="N18" s="75" t="str">
        <f t="array" ref="N18">IFERROR(IF(INDEX(Kintoneデータ抽出!H:H, _xlfn.AGGREGATE(15, 6, ROW(Kintoneデータ抽出!$K$2:$K$5000) / ((Kintoneデータ抽出!$K$2:$K$5000="小規模") + (Kintoneデータ抽出!$K$2:$K$5000="認可")), ROW(A7)))&lt;&gt;"",
IF(COUNTIF(INDEX(Kintoneデータ抽出!H:H, _xlfn.AGGREGATE(15, 6, ROW(Kintoneデータ抽出!$K$2:$K$5000) / ((Kintoneデータ抽出!$K$2:$K$5000="小規模") + (Kintoneデータ抽出!$K$2:$K$5000="認可")), ROW(A7))),"*あり*"),"病児",""),""), "")</f>
        <v/>
      </c>
      <c r="O18" s="75" t="str" cm="1">
        <f t="array" ref="O18">IFERROR(
IF(INDEX(Kintoneデータ抽出!M:M, _xlfn.AGGREGATE(15, 6, ROW(Kintoneデータ抽出!$K$2:$K$5000) / ((Kintoneデータ抽出!$K$2:$K$5000="小規模") + (Kintoneデータ抽出!$K$2:$K$5000="認可")), ROW(A7)))&lt;&gt;0,INDEX(Kintoneデータ抽出!M:M, _xlfn.AGGREGATE(15, 6, ROW(Kintoneデータ抽出!$K$2:$K$5000) / ((Kintoneデータ抽出!$K$2:$K$5000="小規模") + (Kintoneデータ抽出!$K$2:$K$5000="認可")), ROW(A7))),""), "")</f>
        <v/>
      </c>
      <c r="P18" s="78" t="str">
        <f t="array" ref="P18">IFERROR(IF(INDEX(Kintoneデータ抽出!L:L, _xlfn.AGGREGATE(15, 6, ROW(Kintoneデータ抽出!$K$2:$K$5000) / ((Kintoneデータ抽出!$K$2:$K$5000="院内")), ROW(A7)))&lt;&gt;"",
IF(COUNTIF(INDEX(Kintoneデータ抽出!L:L, _xlfn.AGGREGATE(15, 6, ROW(Kintoneデータ抽出!$K$2:$K$5000) / ((Kintoneデータ抽出!$K$2:$K$5000="院内")), ROW(A7))),"*企業主導型以外*"),"",
IF(COUNTIF(INDEX(Kintoneデータ抽出!L:L, _xlfn.AGGREGATE(15, 6, ROW(Kintoneデータ抽出!$K$2:$K$5000) / ((Kintoneデータ抽出!$K$2:$K$5000="院内")), ROW(A7))),"*その他*"),"",
IF(COUNTIF(INDEX(Kintoneデータ抽出!L:L, _xlfn.AGGREGATE(15, 6, ROW(Kintoneデータ抽出!$K$2:$K$5000) / ((Kintoneデータ抽出!$K$2:$K$5000="院内")), ROW(A7))),"*新制度*"),"新制度","企業主導型"))),""), "")</f>
        <v/>
      </c>
    </row>
    <row r="19" spans="2:16" ht="34.799999999999997" customHeight="1" x14ac:dyDescent="0.45">
      <c r="B19" s="85" t="s">
        <v>37</v>
      </c>
      <c r="C19" s="173"/>
      <c r="D19" s="98" t="str">
        <f t="shared" si="0"/>
        <v/>
      </c>
      <c r="E19" s="99"/>
      <c r="F19" s="75" t="str">
        <f t="array" ref="F19">IFERROR(INDEX(Kintoneデータ抽出!A:A, _xlfn.AGGREGATE(15, 6, ROW(Kintoneデータ抽出!$K$2:$K$5000) / ((Kintoneデータ抽出!$K$2:$K$5000="小規模") + (Kintoneデータ抽出!$K$2:$K$5000="認可")), ROW(A8))), "")</f>
        <v/>
      </c>
      <c r="G19" s="77" t="str">
        <f t="array" ref="G19">IFERROR(INDEX(Kintoneデータ抽出!D:D, _xlfn.AGGREGATE(15, 6, ROW(Kintoneデータ抽出!$K$2:$K$5000) / ((Kintoneデータ抽出!$K$2:$K$5000="小規模") + (Kintoneデータ抽出!$K$2:$K$5000="認可")), ROW(A8))), "")</f>
        <v/>
      </c>
      <c r="H19" s="77" t="str">
        <f t="array" ref="H19">IFERROR(INDEX(Kintoneデータ抽出!C:C, _xlfn.AGGREGATE(15, 6, ROW(Kintoneデータ抽出!$K$2:$K$5000) / ((Kintoneデータ抽出!$K$2:$K$5000="小規模") + (Kintoneデータ抽出!$K$2:$K$5000="認可")), ROW(A8))), "")</f>
        <v/>
      </c>
      <c r="I19" s="77" t="str">
        <f t="array" ref="I19">IFERROR(IF(INDEX(Kintoneデータ抽出!G:G, _xlfn.AGGREGATE(15, 6, ROW(Kintoneデータ抽出!$K$2:$K$5000) / ((Kintoneデータ抽出!$K$2:$K$5000="小規模") + (Kintoneデータ抽出!$K$2:$K$5000="認可")), ROW(A8)))&lt;&gt;"",INDEX(Kintoneデータ抽出!G:G, _xlfn.AGGREGATE(15, 6, ROW(Kintoneデータ抽出!$K$2:$K$5000) / ((Kintoneデータ抽出!$K$2:$K$5000="小規模") + (Kintoneデータ抽出!$K$2:$K$5000="認可")), ROW(A8)))&amp;"名",""), "")</f>
        <v/>
      </c>
      <c r="J19" s="76" t="str">
        <f t="array" ref="J19">IFERROR(IF(INDEX(Kintoneデータ抽出!E:E, _xlfn.AGGREGATE(15, 6, ROW(Kintoneデータ抽出!$K$2:$K$5000) / ((Kintoneデータ抽出!$K$2:$K$5000="小規模") + (Kintoneデータ抽出!$K$2:$K$5000="認可")), ROW(A8)))&lt;&gt;"",
YEAR(INDEX(Kintoneデータ抽出!E:E, _xlfn.AGGREGATE(15, 6, ROW(Kintoneデータ抽出!$K$2:$K$5000) / ((Kintoneデータ抽出!$K$2:$K$5000="小規模") + (Kintoneデータ抽出!$K$2:$K$5000="認可")), ROW(A8))))&amp;"年"
&amp;MONTH(INDEX(Kintoneデータ抽出!E:E, _xlfn.AGGREGATE(15, 6, ROW(Kintoneデータ抽出!$K$2:$K$5000) / ((Kintoneデータ抽出!$K$2:$K$5000="小規模") + (Kintoneデータ抽出!$K$2:$K$5000="認可")), ROW(A8))))&amp;"月"
&amp;DAY(INDEX(Kintoneデータ抽出!E:E, _xlfn.AGGREGATE(15, 6, ROW(Kintoneデータ抽出!$K$2:$K$5000) / ((Kintoneデータ抽出!$K$2:$K$5000="小規模") + (Kintoneデータ抽出!$K$2:$K$5000="認可")), ROW(A8))))&amp;"日",""), "")</f>
        <v/>
      </c>
      <c r="K19" s="77" t="str" cm="1">
        <f t="array" ref="K19">IFERROR(IF(INDEX(Kintoneデータ抽出!F:F, _xlfn.AGGREGATE(15, 6, ROW(Kintoneデータ抽出!$K$2:$K$5000) / ((Kintoneデータ抽出!$K$2:$K$5000="小規模") + (Kintoneデータ抽出!$K$2:$K$5000="認可")), ROW(A8)))&lt;&gt;"",
VLOOKUP(INDEX(Kintoneデータ抽出!F:F, _xlfn.AGGREGATE(15, 6, ROW(Kintoneデータ抽出!$K$2:$K$5000) / ((Kintoneデータ抽出!$K$2:$K$5000="小規模") + (Kintoneデータ抽出!$K$2:$K$5000="認可")), ROW(A8))),基本開園日の表記!$A$2:$B$13,2,FALSE),""), "")</f>
        <v/>
      </c>
      <c r="L19" s="75" t="str">
        <f t="array" ref="L19">IFERROR(IF(INDEX(Kintoneデータ抽出!F:F, _xlfn.AGGREGATE(15, 6, ROW(Kintoneデータ抽出!$K$2:$K$5000) / ((Kintoneデータ抽出!$K$2:$K$5000="小規模") + (Kintoneデータ抽出!$K$2:$K$5000="認可")), ROW(A8)))&lt;&gt;"",
IF(COUNTIF(INDEX(Kintoneデータ抽出!F:F, _xlfn.AGGREGATE(15, 6, ROW(Kintoneデータ抽出!$K$2:$K$5000) / ((Kintoneデータ抽出!$K$2:$K$5000="小規模") + (Kintoneデータ抽出!$K$2:$K$5000="認可")), ROW(A8))),"*あり*"),"夜間",""),""), "")</f>
        <v/>
      </c>
      <c r="M19" s="75" t="str">
        <f t="array" ref="M19">IFERROR(IF(INDEX(Kintoneデータ抽出!I:I, _xlfn.AGGREGATE(15, 6, ROW(Kintoneデータ抽出!$K$2:$K$5000) / ((Kintoneデータ抽出!$K$2:$K$5000="小規模") + (Kintoneデータ抽出!$K$2:$K$5000="認可")), ROW(A8)))&lt;&gt;"",
IF(COUNTIF(INDEX(Kintoneデータ抽出!I:I, _xlfn.AGGREGATE(15, 6, ROW(Kintoneデータ抽出!$K$2:$K$5000) / ((Kintoneデータ抽出!$K$2:$K$5000="小規模") + (Kintoneデータ抽出!$K$2:$K$5000="認可")), ROW(A8))),"*あり*"),"学童",""),""), "")</f>
        <v/>
      </c>
      <c r="N19" s="75" t="str">
        <f t="array" ref="N19">IFERROR(IF(INDEX(Kintoneデータ抽出!H:H, _xlfn.AGGREGATE(15, 6, ROW(Kintoneデータ抽出!$K$2:$K$5000) / ((Kintoneデータ抽出!$K$2:$K$5000="小規模") + (Kintoneデータ抽出!$K$2:$K$5000="認可")), ROW(A8)))&lt;&gt;"",
IF(COUNTIF(INDEX(Kintoneデータ抽出!H:H, _xlfn.AGGREGATE(15, 6, ROW(Kintoneデータ抽出!$K$2:$K$5000) / ((Kintoneデータ抽出!$K$2:$K$5000="小規模") + (Kintoneデータ抽出!$K$2:$K$5000="認可")), ROW(A8))),"*あり*"),"病児",""),""), "")</f>
        <v/>
      </c>
      <c r="O19" s="75" t="str" cm="1">
        <f t="array" ref="O19">IFERROR(
IF(INDEX(Kintoneデータ抽出!M:M, _xlfn.AGGREGATE(15, 6, ROW(Kintoneデータ抽出!$K$2:$K$5000) / ((Kintoneデータ抽出!$K$2:$K$5000="小規模") + (Kintoneデータ抽出!$K$2:$K$5000="認可")), ROW(A8)))&lt;&gt;0,INDEX(Kintoneデータ抽出!M:M, _xlfn.AGGREGATE(15, 6, ROW(Kintoneデータ抽出!$K$2:$K$5000) / ((Kintoneデータ抽出!$K$2:$K$5000="小規模") + (Kintoneデータ抽出!$K$2:$K$5000="認可")), ROW(A8))),""), "")</f>
        <v/>
      </c>
      <c r="P19" s="78" t="str">
        <f t="array" ref="P19">IFERROR(IF(INDEX(Kintoneデータ抽出!L:L, _xlfn.AGGREGATE(15, 6, ROW(Kintoneデータ抽出!$K$2:$K$5000) / ((Kintoneデータ抽出!$K$2:$K$5000="院内")), ROW(A8)))&lt;&gt;"",
IF(COUNTIF(INDEX(Kintoneデータ抽出!L:L, _xlfn.AGGREGATE(15, 6, ROW(Kintoneデータ抽出!$K$2:$K$5000) / ((Kintoneデータ抽出!$K$2:$K$5000="院内")), ROW(A8))),"*企業主導型以外*"),"",
IF(COUNTIF(INDEX(Kintoneデータ抽出!L:L, _xlfn.AGGREGATE(15, 6, ROW(Kintoneデータ抽出!$K$2:$K$5000) / ((Kintoneデータ抽出!$K$2:$K$5000="院内")), ROW(A8))),"*その他*"),"",
IF(COUNTIF(INDEX(Kintoneデータ抽出!L:L, _xlfn.AGGREGATE(15, 6, ROW(Kintoneデータ抽出!$K$2:$K$5000) / ((Kintoneデータ抽出!$K$2:$K$5000="院内")), ROW(A8))),"*新制度*"),"新制度","企業主導型"))),""), "")</f>
        <v/>
      </c>
    </row>
    <row r="20" spans="2:16" ht="34.799999999999997" customHeight="1" x14ac:dyDescent="0.45">
      <c r="B20" s="45"/>
      <c r="C20" s="170"/>
      <c r="D20" s="98" t="str">
        <f t="shared" si="0"/>
        <v/>
      </c>
      <c r="E20" s="99"/>
      <c r="F20" s="75" t="str">
        <f t="array" ref="F20">IFERROR(INDEX(Kintoneデータ抽出!A:A, _xlfn.AGGREGATE(15, 6, ROW(Kintoneデータ抽出!$K$2:$K$5000) / ((Kintoneデータ抽出!$K$2:$K$5000="小規模") + (Kintoneデータ抽出!$K$2:$K$5000="認可")), ROW(A9))), "")</f>
        <v/>
      </c>
      <c r="G20" s="77" t="str">
        <f t="array" ref="G20">IFERROR(INDEX(Kintoneデータ抽出!D:D, _xlfn.AGGREGATE(15, 6, ROW(Kintoneデータ抽出!$K$2:$K$5000) / ((Kintoneデータ抽出!$K$2:$K$5000="小規模") + (Kintoneデータ抽出!$K$2:$K$5000="認可")), ROW(A9))), "")</f>
        <v/>
      </c>
      <c r="H20" s="77" t="str">
        <f t="array" ref="H20">IFERROR(INDEX(Kintoneデータ抽出!C:C, _xlfn.AGGREGATE(15, 6, ROW(Kintoneデータ抽出!$K$2:$K$5000) / ((Kintoneデータ抽出!$K$2:$K$5000="小規模") + (Kintoneデータ抽出!$K$2:$K$5000="認可")), ROW(A9))), "")</f>
        <v/>
      </c>
      <c r="I20" s="77" t="str">
        <f t="array" ref="I20">IFERROR(IF(INDEX(Kintoneデータ抽出!G:G, _xlfn.AGGREGATE(15, 6, ROW(Kintoneデータ抽出!$K$2:$K$5000) / ((Kintoneデータ抽出!$K$2:$K$5000="小規模") + (Kintoneデータ抽出!$K$2:$K$5000="認可")), ROW(A9)))&lt;&gt;"",INDEX(Kintoneデータ抽出!G:G, _xlfn.AGGREGATE(15, 6, ROW(Kintoneデータ抽出!$K$2:$K$5000) / ((Kintoneデータ抽出!$K$2:$K$5000="小規模") + (Kintoneデータ抽出!$K$2:$K$5000="認可")), ROW(A9)))&amp;"名",""), "")</f>
        <v/>
      </c>
      <c r="J20" s="76" t="str">
        <f t="array" ref="J20">IFERROR(IF(INDEX(Kintoneデータ抽出!E:E, _xlfn.AGGREGATE(15, 6, ROW(Kintoneデータ抽出!$K$2:$K$5000) / ((Kintoneデータ抽出!$K$2:$K$5000="小規模") + (Kintoneデータ抽出!$K$2:$K$5000="認可")), ROW(A9)))&lt;&gt;"",
YEAR(INDEX(Kintoneデータ抽出!E:E, _xlfn.AGGREGATE(15, 6, ROW(Kintoneデータ抽出!$K$2:$K$5000) / ((Kintoneデータ抽出!$K$2:$K$5000="小規模") + (Kintoneデータ抽出!$K$2:$K$5000="認可")), ROW(A9))))&amp;"年"
&amp;MONTH(INDEX(Kintoneデータ抽出!E:E, _xlfn.AGGREGATE(15, 6, ROW(Kintoneデータ抽出!$K$2:$K$5000) / ((Kintoneデータ抽出!$K$2:$K$5000="小規模") + (Kintoneデータ抽出!$K$2:$K$5000="認可")), ROW(A9))))&amp;"月"
&amp;DAY(INDEX(Kintoneデータ抽出!E:E, _xlfn.AGGREGATE(15, 6, ROW(Kintoneデータ抽出!$K$2:$K$5000) / ((Kintoneデータ抽出!$K$2:$K$5000="小規模") + (Kintoneデータ抽出!$K$2:$K$5000="認可")), ROW(A9))))&amp;"日",""), "")</f>
        <v/>
      </c>
      <c r="K20" s="77" t="str" cm="1">
        <f t="array" ref="K20">IFERROR(IF(INDEX(Kintoneデータ抽出!F:F, _xlfn.AGGREGATE(15, 6, ROW(Kintoneデータ抽出!$K$2:$K$5000) / ((Kintoneデータ抽出!$K$2:$K$5000="小規模") + (Kintoneデータ抽出!$K$2:$K$5000="認可")), ROW(A9)))&lt;&gt;"",
VLOOKUP(INDEX(Kintoneデータ抽出!F:F, _xlfn.AGGREGATE(15, 6, ROW(Kintoneデータ抽出!$K$2:$K$5000) / ((Kintoneデータ抽出!$K$2:$K$5000="小規模") + (Kintoneデータ抽出!$K$2:$K$5000="認可")), ROW(A9))),基本開園日の表記!$A$2:$B$13,2,FALSE),""), "")</f>
        <v/>
      </c>
      <c r="L20" s="75" t="str">
        <f t="array" ref="L20">IFERROR(IF(INDEX(Kintoneデータ抽出!F:F, _xlfn.AGGREGATE(15, 6, ROW(Kintoneデータ抽出!$K$2:$K$5000) / ((Kintoneデータ抽出!$K$2:$K$5000="小規模") + (Kintoneデータ抽出!$K$2:$K$5000="認可")), ROW(A9)))&lt;&gt;"",
IF(COUNTIF(INDEX(Kintoneデータ抽出!F:F, _xlfn.AGGREGATE(15, 6, ROW(Kintoneデータ抽出!$K$2:$K$5000) / ((Kintoneデータ抽出!$K$2:$K$5000="小規模") + (Kintoneデータ抽出!$K$2:$K$5000="認可")), ROW(A9))),"*あり*"),"夜間",""),""), "")</f>
        <v/>
      </c>
      <c r="M20" s="75" t="str">
        <f t="array" ref="M20">IFERROR(IF(INDEX(Kintoneデータ抽出!I:I, _xlfn.AGGREGATE(15, 6, ROW(Kintoneデータ抽出!$K$2:$K$5000) / ((Kintoneデータ抽出!$K$2:$K$5000="小規模") + (Kintoneデータ抽出!$K$2:$K$5000="認可")), ROW(A9)))&lt;&gt;"",
IF(COUNTIF(INDEX(Kintoneデータ抽出!I:I, _xlfn.AGGREGATE(15, 6, ROW(Kintoneデータ抽出!$K$2:$K$5000) / ((Kintoneデータ抽出!$K$2:$K$5000="小規模") + (Kintoneデータ抽出!$K$2:$K$5000="認可")), ROW(A9))),"*あり*"),"学童",""),""), "")</f>
        <v/>
      </c>
      <c r="N20" s="75" t="str">
        <f t="array" ref="N20">IFERROR(IF(INDEX(Kintoneデータ抽出!H:H, _xlfn.AGGREGATE(15, 6, ROW(Kintoneデータ抽出!$K$2:$K$5000) / ((Kintoneデータ抽出!$K$2:$K$5000="小規模") + (Kintoneデータ抽出!$K$2:$K$5000="認可")), ROW(A9)))&lt;&gt;"",
IF(COUNTIF(INDEX(Kintoneデータ抽出!H:H, _xlfn.AGGREGATE(15, 6, ROW(Kintoneデータ抽出!$K$2:$K$5000) / ((Kintoneデータ抽出!$K$2:$K$5000="小規模") + (Kintoneデータ抽出!$K$2:$K$5000="認可")), ROW(A9))),"*あり*"),"病児",""),""), "")</f>
        <v/>
      </c>
      <c r="O20" s="75" t="str" cm="1">
        <f t="array" ref="O20">IFERROR(
IF(INDEX(Kintoneデータ抽出!M:M, _xlfn.AGGREGATE(15, 6, ROW(Kintoneデータ抽出!$K$2:$K$5000) / ((Kintoneデータ抽出!$K$2:$K$5000="小規模") + (Kintoneデータ抽出!$K$2:$K$5000="認可")), ROW(A9)))&lt;&gt;0,INDEX(Kintoneデータ抽出!M:M, _xlfn.AGGREGATE(15, 6, ROW(Kintoneデータ抽出!$K$2:$K$5000) / ((Kintoneデータ抽出!$K$2:$K$5000="小規模") + (Kintoneデータ抽出!$K$2:$K$5000="認可")), ROW(A9))),""), "")</f>
        <v/>
      </c>
      <c r="P20" s="78" t="str">
        <f t="array" ref="P20">IFERROR(IF(INDEX(Kintoneデータ抽出!L:L, _xlfn.AGGREGATE(15, 6, ROW(Kintoneデータ抽出!$K$2:$K$5000) / ((Kintoneデータ抽出!$K$2:$K$5000="院内")), ROW(A9)))&lt;&gt;"",
IF(COUNTIF(INDEX(Kintoneデータ抽出!L:L, _xlfn.AGGREGATE(15, 6, ROW(Kintoneデータ抽出!$K$2:$K$5000) / ((Kintoneデータ抽出!$K$2:$K$5000="院内")), ROW(A9))),"*企業主導型以外*"),"",
IF(COUNTIF(INDEX(Kintoneデータ抽出!L:L, _xlfn.AGGREGATE(15, 6, ROW(Kintoneデータ抽出!$K$2:$K$5000) / ((Kintoneデータ抽出!$K$2:$K$5000="院内")), ROW(A9))),"*その他*"),"",
IF(COUNTIF(INDEX(Kintoneデータ抽出!L:L, _xlfn.AGGREGATE(15, 6, ROW(Kintoneデータ抽出!$K$2:$K$5000) / ((Kintoneデータ抽出!$K$2:$K$5000="院内")), ROW(A9))),"*新制度*"),"新制度","企業主導型"))),""), "")</f>
        <v/>
      </c>
    </row>
    <row r="21" spans="2:16" ht="34.799999999999997" customHeight="1" x14ac:dyDescent="0.45">
      <c r="B21" s="45"/>
      <c r="C21" s="170"/>
      <c r="D21" s="98" t="str">
        <f t="shared" si="0"/>
        <v/>
      </c>
      <c r="E21" s="99"/>
      <c r="F21" s="75" t="str">
        <f t="array" ref="F21">IFERROR(INDEX(Kintoneデータ抽出!A:A, _xlfn.AGGREGATE(15, 6, ROW(Kintoneデータ抽出!$K$2:$K$5000) / ((Kintoneデータ抽出!$K$2:$K$5000="小規模") + (Kintoneデータ抽出!$K$2:$K$5000="認可")), ROW(A10))), "")</f>
        <v/>
      </c>
      <c r="G21" s="77" t="str">
        <f t="array" ref="G21">IFERROR(INDEX(Kintoneデータ抽出!D:D, _xlfn.AGGREGATE(15, 6, ROW(Kintoneデータ抽出!$K$2:$K$5000) / ((Kintoneデータ抽出!$K$2:$K$5000="小規模") + (Kintoneデータ抽出!$K$2:$K$5000="認可")), ROW(A10))), "")</f>
        <v/>
      </c>
      <c r="H21" s="77" t="str">
        <f t="array" ref="H21">IFERROR(INDEX(Kintoneデータ抽出!C:C, _xlfn.AGGREGATE(15, 6, ROW(Kintoneデータ抽出!$K$2:$K$5000) / ((Kintoneデータ抽出!$K$2:$K$5000="小規模") + (Kintoneデータ抽出!$K$2:$K$5000="認可")), ROW(A10))), "")</f>
        <v/>
      </c>
      <c r="I21" s="77" t="str">
        <f t="array" ref="I21">IFERROR(IF(INDEX(Kintoneデータ抽出!G:G, _xlfn.AGGREGATE(15, 6, ROW(Kintoneデータ抽出!$K$2:$K$5000) / ((Kintoneデータ抽出!$K$2:$K$5000="小規模") + (Kintoneデータ抽出!$K$2:$K$5000="認可")), ROW(A10)))&lt;&gt;"",INDEX(Kintoneデータ抽出!G:G, _xlfn.AGGREGATE(15, 6, ROW(Kintoneデータ抽出!$K$2:$K$5000) / ((Kintoneデータ抽出!$K$2:$K$5000="小規模") + (Kintoneデータ抽出!$K$2:$K$5000="認可")), ROW(A10)))&amp;"名",""), "")</f>
        <v/>
      </c>
      <c r="J21" s="76" t="str">
        <f t="array" ref="J21">IFERROR(IF(INDEX(Kintoneデータ抽出!E:E, _xlfn.AGGREGATE(15, 6, ROW(Kintoneデータ抽出!$K$2:$K$5000) / ((Kintoneデータ抽出!$K$2:$K$5000="小規模") + (Kintoneデータ抽出!$K$2:$K$5000="認可")), ROW(A10)))&lt;&gt;"",
YEAR(INDEX(Kintoneデータ抽出!E:E, _xlfn.AGGREGATE(15, 6, ROW(Kintoneデータ抽出!$K$2:$K$5000) / ((Kintoneデータ抽出!$K$2:$K$5000="小規模") + (Kintoneデータ抽出!$K$2:$K$5000="認可")), ROW(A10))))&amp;"年"
&amp;MONTH(INDEX(Kintoneデータ抽出!E:E, _xlfn.AGGREGATE(15, 6, ROW(Kintoneデータ抽出!$K$2:$K$5000) / ((Kintoneデータ抽出!$K$2:$K$5000="小規模") + (Kintoneデータ抽出!$K$2:$K$5000="認可")), ROW(A10))))&amp;"月"
&amp;DAY(INDEX(Kintoneデータ抽出!E:E, _xlfn.AGGREGATE(15, 6, ROW(Kintoneデータ抽出!$K$2:$K$5000) / ((Kintoneデータ抽出!$K$2:$K$5000="小規模") + (Kintoneデータ抽出!$K$2:$K$5000="認可")), ROW(A10))))&amp;"日",""), "")</f>
        <v/>
      </c>
      <c r="K21" s="77" t="str" cm="1">
        <f t="array" ref="K21">IFERROR(IF(INDEX(Kintoneデータ抽出!F:F, _xlfn.AGGREGATE(15, 6, ROW(Kintoneデータ抽出!$K$2:$K$5000) / ((Kintoneデータ抽出!$K$2:$K$5000="小規模") + (Kintoneデータ抽出!$K$2:$K$5000="認可")), ROW(A10)))&lt;&gt;"",
VLOOKUP(INDEX(Kintoneデータ抽出!F:F, _xlfn.AGGREGATE(15, 6, ROW(Kintoneデータ抽出!$K$2:$K$5000) / ((Kintoneデータ抽出!$K$2:$K$5000="小規模") + (Kintoneデータ抽出!$K$2:$K$5000="認可")), ROW(A10))),基本開園日の表記!$A$2:$B$13,2,FALSE),""), "")</f>
        <v/>
      </c>
      <c r="L21" s="75" t="str">
        <f t="array" ref="L21">IFERROR(IF(INDEX(Kintoneデータ抽出!F:F, _xlfn.AGGREGATE(15, 6, ROW(Kintoneデータ抽出!$K$2:$K$5000) / ((Kintoneデータ抽出!$K$2:$K$5000="小規模") + (Kintoneデータ抽出!$K$2:$K$5000="認可")), ROW(A10)))&lt;&gt;"",
IF(COUNTIF(INDEX(Kintoneデータ抽出!F:F, _xlfn.AGGREGATE(15, 6, ROW(Kintoneデータ抽出!$K$2:$K$5000) / ((Kintoneデータ抽出!$K$2:$K$5000="小規模") + (Kintoneデータ抽出!$K$2:$K$5000="認可")), ROW(A10))),"*あり*"),"夜間",""),""), "")</f>
        <v/>
      </c>
      <c r="M21" s="75" t="str">
        <f t="array" ref="M21">IFERROR(IF(INDEX(Kintoneデータ抽出!I:I, _xlfn.AGGREGATE(15, 6, ROW(Kintoneデータ抽出!$K$2:$K$5000) / ((Kintoneデータ抽出!$K$2:$K$5000="小規模") + (Kintoneデータ抽出!$K$2:$K$5000="認可")), ROW(A10)))&lt;&gt;"",
IF(COUNTIF(INDEX(Kintoneデータ抽出!I:I, _xlfn.AGGREGATE(15, 6, ROW(Kintoneデータ抽出!$K$2:$K$5000) / ((Kintoneデータ抽出!$K$2:$K$5000="小規模") + (Kintoneデータ抽出!$K$2:$K$5000="認可")), ROW(A10))),"*あり*"),"学童",""),""), "")</f>
        <v/>
      </c>
      <c r="N21" s="75" t="str">
        <f t="array" ref="N21">IFERROR(IF(INDEX(Kintoneデータ抽出!H:H, _xlfn.AGGREGATE(15, 6, ROW(Kintoneデータ抽出!$K$2:$K$5000) / ((Kintoneデータ抽出!$K$2:$K$5000="小規模") + (Kintoneデータ抽出!$K$2:$K$5000="認可")), ROW(A10)))&lt;&gt;"",
IF(COUNTIF(INDEX(Kintoneデータ抽出!H:H, _xlfn.AGGREGATE(15, 6, ROW(Kintoneデータ抽出!$K$2:$K$5000) / ((Kintoneデータ抽出!$K$2:$K$5000="小規模") + (Kintoneデータ抽出!$K$2:$K$5000="認可")), ROW(A10))),"*あり*"),"病児",""),""), "")</f>
        <v/>
      </c>
      <c r="O21" s="75" t="str" cm="1">
        <f t="array" ref="O21">IFERROR(
IF(INDEX(Kintoneデータ抽出!M:M, _xlfn.AGGREGATE(15, 6, ROW(Kintoneデータ抽出!$K$2:$K$5000) / ((Kintoneデータ抽出!$K$2:$K$5000="小規模") + (Kintoneデータ抽出!$K$2:$K$5000="認可")), ROW(A10)))&lt;&gt;0,INDEX(Kintoneデータ抽出!M:M, _xlfn.AGGREGATE(15, 6, ROW(Kintoneデータ抽出!$K$2:$K$5000) / ((Kintoneデータ抽出!$K$2:$K$5000="小規模") + (Kintoneデータ抽出!$K$2:$K$5000="認可")), ROW(A10))),""), "")</f>
        <v/>
      </c>
      <c r="P21" s="78" t="str">
        <f t="array" ref="P21">IFERROR(IF(INDEX(Kintoneデータ抽出!L:L, _xlfn.AGGREGATE(15, 6, ROW(Kintoneデータ抽出!$K$2:$K$5000) / ((Kintoneデータ抽出!$K$2:$K$5000="院内")), ROW(A10)))&lt;&gt;"",
IF(COUNTIF(INDEX(Kintoneデータ抽出!L:L, _xlfn.AGGREGATE(15, 6, ROW(Kintoneデータ抽出!$K$2:$K$5000) / ((Kintoneデータ抽出!$K$2:$K$5000="院内")), ROW(A10))),"*企業主導型以外*"),"",
IF(COUNTIF(INDEX(Kintoneデータ抽出!L:L, _xlfn.AGGREGATE(15, 6, ROW(Kintoneデータ抽出!$K$2:$K$5000) / ((Kintoneデータ抽出!$K$2:$K$5000="院内")), ROW(A10))),"*その他*"),"",
IF(COUNTIF(INDEX(Kintoneデータ抽出!L:L, _xlfn.AGGREGATE(15, 6, ROW(Kintoneデータ抽出!$K$2:$K$5000) / ((Kintoneデータ抽出!$K$2:$K$5000="院内")), ROW(A10))),"*新制度*"),"新制度","企業主導型"))),""), "")</f>
        <v/>
      </c>
    </row>
    <row r="22" spans="2:16" ht="34.799999999999997" customHeight="1" x14ac:dyDescent="0.45">
      <c r="B22" s="45"/>
      <c r="C22" s="170"/>
      <c r="D22" s="98" t="str">
        <f t="shared" si="0"/>
        <v/>
      </c>
      <c r="E22" s="99"/>
      <c r="F22" s="75" t="str">
        <f t="array" ref="F22">IFERROR(INDEX(Kintoneデータ抽出!A:A, _xlfn.AGGREGATE(15, 6, ROW(Kintoneデータ抽出!$K$2:$K$5000) / ((Kintoneデータ抽出!$K$2:$K$5000="小規模") + (Kintoneデータ抽出!$K$2:$K$5000="認可")), ROW(A11))), "")</f>
        <v/>
      </c>
      <c r="G22" s="77" t="str">
        <f t="array" ref="G22">IFERROR(INDEX(Kintoneデータ抽出!D:D, _xlfn.AGGREGATE(15, 6, ROW(Kintoneデータ抽出!$K$2:$K$5000) / ((Kintoneデータ抽出!$K$2:$K$5000="小規模") + (Kintoneデータ抽出!$K$2:$K$5000="認可")), ROW(A11))), "")</f>
        <v/>
      </c>
      <c r="H22" s="77" t="str">
        <f t="array" ref="H22">IFERROR(INDEX(Kintoneデータ抽出!C:C, _xlfn.AGGREGATE(15, 6, ROW(Kintoneデータ抽出!$K$2:$K$5000) / ((Kintoneデータ抽出!$K$2:$K$5000="小規模") + (Kintoneデータ抽出!$K$2:$K$5000="認可")), ROW(A11))), "")</f>
        <v/>
      </c>
      <c r="I22" s="77" t="str">
        <f t="array" ref="I22">IFERROR(IF(INDEX(Kintoneデータ抽出!G:G, _xlfn.AGGREGATE(15, 6, ROW(Kintoneデータ抽出!$K$2:$K$5000) / ((Kintoneデータ抽出!$K$2:$K$5000="小規模") + (Kintoneデータ抽出!$K$2:$K$5000="認可")), ROW(A11)))&lt;&gt;"",INDEX(Kintoneデータ抽出!G:G, _xlfn.AGGREGATE(15, 6, ROW(Kintoneデータ抽出!$K$2:$K$5000) / ((Kintoneデータ抽出!$K$2:$K$5000="小規模") + (Kintoneデータ抽出!$K$2:$K$5000="認可")), ROW(A11)))&amp;"名",""), "")</f>
        <v/>
      </c>
      <c r="J22" s="76" t="str">
        <f t="array" ref="J22">IFERROR(IF(INDEX(Kintoneデータ抽出!E:E, _xlfn.AGGREGATE(15, 6, ROW(Kintoneデータ抽出!$K$2:$K$5000) / ((Kintoneデータ抽出!$K$2:$K$5000="小規模") + (Kintoneデータ抽出!$K$2:$K$5000="認可")), ROW(A11)))&lt;&gt;"",
YEAR(INDEX(Kintoneデータ抽出!E:E, _xlfn.AGGREGATE(15, 6, ROW(Kintoneデータ抽出!$K$2:$K$5000) / ((Kintoneデータ抽出!$K$2:$K$5000="小規模") + (Kintoneデータ抽出!$K$2:$K$5000="認可")), ROW(A11))))&amp;"年"
&amp;MONTH(INDEX(Kintoneデータ抽出!E:E, _xlfn.AGGREGATE(15, 6, ROW(Kintoneデータ抽出!$K$2:$K$5000) / ((Kintoneデータ抽出!$K$2:$K$5000="小規模") + (Kintoneデータ抽出!$K$2:$K$5000="認可")), ROW(A11))))&amp;"月"
&amp;DAY(INDEX(Kintoneデータ抽出!E:E, _xlfn.AGGREGATE(15, 6, ROW(Kintoneデータ抽出!$K$2:$K$5000) / ((Kintoneデータ抽出!$K$2:$K$5000="小規模") + (Kintoneデータ抽出!$K$2:$K$5000="認可")), ROW(A11))))&amp;"日",""), "")</f>
        <v/>
      </c>
      <c r="K22" s="77" t="str" cm="1">
        <f t="array" ref="K22">IFERROR(IF(INDEX(Kintoneデータ抽出!F:F, _xlfn.AGGREGATE(15, 6, ROW(Kintoneデータ抽出!$K$2:$K$5000) / ((Kintoneデータ抽出!$K$2:$K$5000="小規模") + (Kintoneデータ抽出!$K$2:$K$5000="認可")), ROW(A11)))&lt;&gt;"",
VLOOKUP(INDEX(Kintoneデータ抽出!F:F, _xlfn.AGGREGATE(15, 6, ROW(Kintoneデータ抽出!$K$2:$K$5000) / ((Kintoneデータ抽出!$K$2:$K$5000="小規模") + (Kintoneデータ抽出!$K$2:$K$5000="認可")), ROW(A11))),基本開園日の表記!$A$2:$B$13,2,FALSE),""), "")</f>
        <v/>
      </c>
      <c r="L22" s="75" t="str">
        <f t="array" ref="L22">IFERROR(IF(INDEX(Kintoneデータ抽出!F:F, _xlfn.AGGREGATE(15, 6, ROW(Kintoneデータ抽出!$K$2:$K$5000) / ((Kintoneデータ抽出!$K$2:$K$5000="小規模") + (Kintoneデータ抽出!$K$2:$K$5000="認可")), ROW(A11)))&lt;&gt;"",
IF(COUNTIF(INDEX(Kintoneデータ抽出!F:F, _xlfn.AGGREGATE(15, 6, ROW(Kintoneデータ抽出!$K$2:$K$5000) / ((Kintoneデータ抽出!$K$2:$K$5000="小規模") + (Kintoneデータ抽出!$K$2:$K$5000="認可")), ROW(A11))),"*あり*"),"夜間",""),""), "")</f>
        <v/>
      </c>
      <c r="M22" s="75" t="str">
        <f t="array" ref="M22">IFERROR(IF(INDEX(Kintoneデータ抽出!I:I, _xlfn.AGGREGATE(15, 6, ROW(Kintoneデータ抽出!$K$2:$K$5000) / ((Kintoneデータ抽出!$K$2:$K$5000="小規模") + (Kintoneデータ抽出!$K$2:$K$5000="認可")), ROW(A11)))&lt;&gt;"",
IF(COUNTIF(INDEX(Kintoneデータ抽出!I:I, _xlfn.AGGREGATE(15, 6, ROW(Kintoneデータ抽出!$K$2:$K$5000) / ((Kintoneデータ抽出!$K$2:$K$5000="小規模") + (Kintoneデータ抽出!$K$2:$K$5000="認可")), ROW(A11))),"*あり*"),"学童",""),""), "")</f>
        <v/>
      </c>
      <c r="N22" s="75" t="str">
        <f t="array" ref="N22">IFERROR(IF(INDEX(Kintoneデータ抽出!H:H, _xlfn.AGGREGATE(15, 6, ROW(Kintoneデータ抽出!$K$2:$K$5000) / ((Kintoneデータ抽出!$K$2:$K$5000="小規模") + (Kintoneデータ抽出!$K$2:$K$5000="認可")), ROW(A11)))&lt;&gt;"",
IF(COUNTIF(INDEX(Kintoneデータ抽出!H:H, _xlfn.AGGREGATE(15, 6, ROW(Kintoneデータ抽出!$K$2:$K$5000) / ((Kintoneデータ抽出!$K$2:$K$5000="小規模") + (Kintoneデータ抽出!$K$2:$K$5000="認可")), ROW(A11))),"*あり*"),"病児",""),""), "")</f>
        <v/>
      </c>
      <c r="O22" s="75" t="str" cm="1">
        <f t="array" ref="O22">IFERROR(
IF(INDEX(Kintoneデータ抽出!M:M, _xlfn.AGGREGATE(15, 6, ROW(Kintoneデータ抽出!$K$2:$K$5000) / ((Kintoneデータ抽出!$K$2:$K$5000="小規模") + (Kintoneデータ抽出!$K$2:$K$5000="認可")), ROW(A11)))&lt;&gt;0,INDEX(Kintoneデータ抽出!M:M, _xlfn.AGGREGATE(15, 6, ROW(Kintoneデータ抽出!$K$2:$K$5000) / ((Kintoneデータ抽出!$K$2:$K$5000="小規模") + (Kintoneデータ抽出!$K$2:$K$5000="認可")), ROW(A11))),""), "")</f>
        <v/>
      </c>
      <c r="P22" s="78" t="str">
        <f t="array" ref="P22">IFERROR(IF(INDEX(Kintoneデータ抽出!L:L, _xlfn.AGGREGATE(15, 6, ROW(Kintoneデータ抽出!$K$2:$K$5000) / ((Kintoneデータ抽出!$K$2:$K$5000="院内")), ROW(A11)))&lt;&gt;"",
IF(COUNTIF(INDEX(Kintoneデータ抽出!L:L, _xlfn.AGGREGATE(15, 6, ROW(Kintoneデータ抽出!$K$2:$K$5000) / ((Kintoneデータ抽出!$K$2:$K$5000="院内")), ROW(A11))),"*企業主導型以外*"),"",
IF(COUNTIF(INDEX(Kintoneデータ抽出!L:L, _xlfn.AGGREGATE(15, 6, ROW(Kintoneデータ抽出!$K$2:$K$5000) / ((Kintoneデータ抽出!$K$2:$K$5000="院内")), ROW(A11))),"*その他*"),"",
IF(COUNTIF(INDEX(Kintoneデータ抽出!L:L, _xlfn.AGGREGATE(15, 6, ROW(Kintoneデータ抽出!$K$2:$K$5000) / ((Kintoneデータ抽出!$K$2:$K$5000="院内")), ROW(A11))),"*新制度*"),"新制度","企業主導型"))),""), "")</f>
        <v/>
      </c>
    </row>
    <row r="23" spans="2:16" ht="34.799999999999997" customHeight="1" x14ac:dyDescent="0.45">
      <c r="B23" s="45"/>
      <c r="C23" s="170"/>
      <c r="D23" s="98" t="str">
        <f t="shared" si="0"/>
        <v/>
      </c>
      <c r="E23" s="99"/>
      <c r="F23" s="75" t="str">
        <f t="array" ref="F23">IFERROR(INDEX(Kintoneデータ抽出!A:A, _xlfn.AGGREGATE(15, 6, ROW(Kintoneデータ抽出!$K$2:$K$5000) / ((Kintoneデータ抽出!$K$2:$K$5000="小規模") + (Kintoneデータ抽出!$K$2:$K$5000="認可")), ROW(A12))), "")</f>
        <v/>
      </c>
      <c r="G23" s="77" t="str">
        <f t="array" ref="G23">IFERROR(INDEX(Kintoneデータ抽出!D:D, _xlfn.AGGREGATE(15, 6, ROW(Kintoneデータ抽出!$K$2:$K$5000) / ((Kintoneデータ抽出!$K$2:$K$5000="小規模") + (Kintoneデータ抽出!$K$2:$K$5000="認可")), ROW(A12))), "")</f>
        <v/>
      </c>
      <c r="H23" s="77" t="str">
        <f t="array" ref="H23">IFERROR(INDEX(Kintoneデータ抽出!C:C, _xlfn.AGGREGATE(15, 6, ROW(Kintoneデータ抽出!$K$2:$K$5000) / ((Kintoneデータ抽出!$K$2:$K$5000="小規模") + (Kintoneデータ抽出!$K$2:$K$5000="認可")), ROW(A12))), "")</f>
        <v/>
      </c>
      <c r="I23" s="77" t="str">
        <f t="array" ref="I23">IFERROR(IF(INDEX(Kintoneデータ抽出!G:G, _xlfn.AGGREGATE(15, 6, ROW(Kintoneデータ抽出!$K$2:$K$5000) / ((Kintoneデータ抽出!$K$2:$K$5000="小規模") + (Kintoneデータ抽出!$K$2:$K$5000="認可")), ROW(A12)))&lt;&gt;"",INDEX(Kintoneデータ抽出!G:G, _xlfn.AGGREGATE(15, 6, ROW(Kintoneデータ抽出!$K$2:$K$5000) / ((Kintoneデータ抽出!$K$2:$K$5000="小規模") + (Kintoneデータ抽出!$K$2:$K$5000="認可")), ROW(A12)))&amp;"名",""), "")</f>
        <v/>
      </c>
      <c r="J23" s="76" t="str">
        <f t="array" ref="J23">IFERROR(IF(INDEX(Kintoneデータ抽出!E:E, _xlfn.AGGREGATE(15, 6, ROW(Kintoneデータ抽出!$K$2:$K$5000) / ((Kintoneデータ抽出!$K$2:$K$5000="小規模") + (Kintoneデータ抽出!$K$2:$K$5000="認可")), ROW(A12)))&lt;&gt;"",
YEAR(INDEX(Kintoneデータ抽出!E:E, _xlfn.AGGREGATE(15, 6, ROW(Kintoneデータ抽出!$K$2:$K$5000) / ((Kintoneデータ抽出!$K$2:$K$5000="小規模") + (Kintoneデータ抽出!$K$2:$K$5000="認可")), ROW(A12))))&amp;"年"
&amp;MONTH(INDEX(Kintoneデータ抽出!E:E, _xlfn.AGGREGATE(15, 6, ROW(Kintoneデータ抽出!$K$2:$K$5000) / ((Kintoneデータ抽出!$K$2:$K$5000="小規模") + (Kintoneデータ抽出!$K$2:$K$5000="認可")), ROW(A12))))&amp;"月"
&amp;DAY(INDEX(Kintoneデータ抽出!E:E, _xlfn.AGGREGATE(15, 6, ROW(Kintoneデータ抽出!$K$2:$K$5000) / ((Kintoneデータ抽出!$K$2:$K$5000="小規模") + (Kintoneデータ抽出!$K$2:$K$5000="認可")), ROW(A12))))&amp;"日",""), "")</f>
        <v/>
      </c>
      <c r="K23" s="77" t="str" cm="1">
        <f t="array" ref="K23">IFERROR(IF(INDEX(Kintoneデータ抽出!F:F, _xlfn.AGGREGATE(15, 6, ROW(Kintoneデータ抽出!$K$2:$K$5000) / ((Kintoneデータ抽出!$K$2:$K$5000="小規模") + (Kintoneデータ抽出!$K$2:$K$5000="認可")), ROW(A12)))&lt;&gt;"",
VLOOKUP(INDEX(Kintoneデータ抽出!F:F, _xlfn.AGGREGATE(15, 6, ROW(Kintoneデータ抽出!$K$2:$K$5000) / ((Kintoneデータ抽出!$K$2:$K$5000="小規模") + (Kintoneデータ抽出!$K$2:$K$5000="認可")), ROW(A12))),基本開園日の表記!$A$2:$B$13,2,FALSE),""), "")</f>
        <v/>
      </c>
      <c r="L23" s="75" t="str">
        <f t="array" ref="L23">IFERROR(IF(INDEX(Kintoneデータ抽出!F:F, _xlfn.AGGREGATE(15, 6, ROW(Kintoneデータ抽出!$K$2:$K$5000) / ((Kintoneデータ抽出!$K$2:$K$5000="小規模") + (Kintoneデータ抽出!$K$2:$K$5000="認可")), ROW(A12)))&lt;&gt;"",
IF(COUNTIF(INDEX(Kintoneデータ抽出!F:F, _xlfn.AGGREGATE(15, 6, ROW(Kintoneデータ抽出!$K$2:$K$5000) / ((Kintoneデータ抽出!$K$2:$K$5000="小規模") + (Kintoneデータ抽出!$K$2:$K$5000="認可")), ROW(A12))),"*あり*"),"夜間",""),""), "")</f>
        <v/>
      </c>
      <c r="M23" s="75" t="str">
        <f t="array" ref="M23">IFERROR(IF(INDEX(Kintoneデータ抽出!I:I, _xlfn.AGGREGATE(15, 6, ROW(Kintoneデータ抽出!$K$2:$K$5000) / ((Kintoneデータ抽出!$K$2:$K$5000="小規模") + (Kintoneデータ抽出!$K$2:$K$5000="認可")), ROW(A12)))&lt;&gt;"",
IF(COUNTIF(INDEX(Kintoneデータ抽出!I:I, _xlfn.AGGREGATE(15, 6, ROW(Kintoneデータ抽出!$K$2:$K$5000) / ((Kintoneデータ抽出!$K$2:$K$5000="小規模") + (Kintoneデータ抽出!$K$2:$K$5000="認可")), ROW(A12))),"*あり*"),"学童",""),""), "")</f>
        <v/>
      </c>
      <c r="N23" s="75" t="str">
        <f t="array" ref="N23">IFERROR(IF(INDEX(Kintoneデータ抽出!H:H, _xlfn.AGGREGATE(15, 6, ROW(Kintoneデータ抽出!$K$2:$K$5000) / ((Kintoneデータ抽出!$K$2:$K$5000="小規模") + (Kintoneデータ抽出!$K$2:$K$5000="認可")), ROW(A12)))&lt;&gt;"",
IF(COUNTIF(INDEX(Kintoneデータ抽出!H:H, _xlfn.AGGREGATE(15, 6, ROW(Kintoneデータ抽出!$K$2:$K$5000) / ((Kintoneデータ抽出!$K$2:$K$5000="小規模") + (Kintoneデータ抽出!$K$2:$K$5000="認可")), ROW(A12))),"*あり*"),"病児",""),""), "")</f>
        <v/>
      </c>
      <c r="O23" s="75" t="str" cm="1">
        <f t="array" ref="O23">IFERROR(
IF(INDEX(Kintoneデータ抽出!M:M, _xlfn.AGGREGATE(15, 6, ROW(Kintoneデータ抽出!$K$2:$K$5000) / ((Kintoneデータ抽出!$K$2:$K$5000="小規模") + (Kintoneデータ抽出!$K$2:$K$5000="認可")), ROW(A12)))&lt;&gt;0,INDEX(Kintoneデータ抽出!M:M, _xlfn.AGGREGATE(15, 6, ROW(Kintoneデータ抽出!$K$2:$K$5000) / ((Kintoneデータ抽出!$K$2:$K$5000="小規模") + (Kintoneデータ抽出!$K$2:$K$5000="認可")), ROW(A12))),""), "")</f>
        <v/>
      </c>
      <c r="P23" s="78" t="str">
        <f t="array" ref="P23">IFERROR(IF(INDEX(Kintoneデータ抽出!L:L, _xlfn.AGGREGATE(15, 6, ROW(Kintoneデータ抽出!$K$2:$K$5000) / ((Kintoneデータ抽出!$K$2:$K$5000="院内")), ROW(A12)))&lt;&gt;"",
IF(COUNTIF(INDEX(Kintoneデータ抽出!L:L, _xlfn.AGGREGATE(15, 6, ROW(Kintoneデータ抽出!$K$2:$K$5000) / ((Kintoneデータ抽出!$K$2:$K$5000="院内")), ROW(A12))),"*企業主導型以外*"),"",
IF(COUNTIF(INDEX(Kintoneデータ抽出!L:L, _xlfn.AGGREGATE(15, 6, ROW(Kintoneデータ抽出!$K$2:$K$5000) / ((Kintoneデータ抽出!$K$2:$K$5000="院内")), ROW(A12))),"*その他*"),"",
IF(COUNTIF(INDEX(Kintoneデータ抽出!L:L, _xlfn.AGGREGATE(15, 6, ROW(Kintoneデータ抽出!$K$2:$K$5000) / ((Kintoneデータ抽出!$K$2:$K$5000="院内")), ROW(A12))),"*新制度*"),"新制度","企業主導型"))),""), "")</f>
        <v/>
      </c>
    </row>
    <row r="24" spans="2:16" ht="34.799999999999997" customHeight="1" x14ac:dyDescent="0.45">
      <c r="B24" s="45"/>
      <c r="C24" s="170"/>
      <c r="D24" s="98" t="str">
        <f t="shared" si="0"/>
        <v/>
      </c>
      <c r="E24" s="99"/>
      <c r="F24" s="75" t="str">
        <f t="array" ref="F24">IFERROR(INDEX(Kintoneデータ抽出!A:A, _xlfn.AGGREGATE(15, 6, ROW(Kintoneデータ抽出!$K$2:$K$5000) / ((Kintoneデータ抽出!$K$2:$K$5000="小規模") + (Kintoneデータ抽出!$K$2:$K$5000="認可")), ROW(A13))), "")</f>
        <v/>
      </c>
      <c r="G24" s="77" t="str">
        <f t="array" ref="G24">IFERROR(INDEX(Kintoneデータ抽出!D:D, _xlfn.AGGREGATE(15, 6, ROW(Kintoneデータ抽出!$K$2:$K$5000) / ((Kintoneデータ抽出!$K$2:$K$5000="小規模") + (Kintoneデータ抽出!$K$2:$K$5000="認可")), ROW(A13))), "")</f>
        <v/>
      </c>
      <c r="H24" s="77" t="str">
        <f t="array" ref="H24">IFERROR(INDEX(Kintoneデータ抽出!C:C, _xlfn.AGGREGATE(15, 6, ROW(Kintoneデータ抽出!$K$2:$K$5000) / ((Kintoneデータ抽出!$K$2:$K$5000="小規模") + (Kintoneデータ抽出!$K$2:$K$5000="認可")), ROW(A13))), "")</f>
        <v/>
      </c>
      <c r="I24" s="77" t="str">
        <f t="array" ref="I24">IFERROR(IF(INDEX(Kintoneデータ抽出!G:G, _xlfn.AGGREGATE(15, 6, ROW(Kintoneデータ抽出!$K$2:$K$5000) / ((Kintoneデータ抽出!$K$2:$K$5000="小規模") + (Kintoneデータ抽出!$K$2:$K$5000="認可")), ROW(A13)))&lt;&gt;"",INDEX(Kintoneデータ抽出!G:G, _xlfn.AGGREGATE(15, 6, ROW(Kintoneデータ抽出!$K$2:$K$5000) / ((Kintoneデータ抽出!$K$2:$K$5000="小規模") + (Kintoneデータ抽出!$K$2:$K$5000="認可")), ROW(A13)))&amp;"名",""), "")</f>
        <v/>
      </c>
      <c r="J24" s="76" t="str">
        <f t="array" ref="J24">IFERROR(IF(INDEX(Kintoneデータ抽出!E:E, _xlfn.AGGREGATE(15, 6, ROW(Kintoneデータ抽出!$K$2:$K$5000) / ((Kintoneデータ抽出!$K$2:$K$5000="小規模") + (Kintoneデータ抽出!$K$2:$K$5000="認可")), ROW(A13)))&lt;&gt;"",
YEAR(INDEX(Kintoneデータ抽出!E:E, _xlfn.AGGREGATE(15, 6, ROW(Kintoneデータ抽出!$K$2:$K$5000) / ((Kintoneデータ抽出!$K$2:$K$5000="小規模") + (Kintoneデータ抽出!$K$2:$K$5000="認可")), ROW(A13))))&amp;"年"
&amp;MONTH(INDEX(Kintoneデータ抽出!E:E, _xlfn.AGGREGATE(15, 6, ROW(Kintoneデータ抽出!$K$2:$K$5000) / ((Kintoneデータ抽出!$K$2:$K$5000="小規模") + (Kintoneデータ抽出!$K$2:$K$5000="認可")), ROW(A13))))&amp;"月"
&amp;DAY(INDEX(Kintoneデータ抽出!E:E, _xlfn.AGGREGATE(15, 6, ROW(Kintoneデータ抽出!$K$2:$K$5000) / ((Kintoneデータ抽出!$K$2:$K$5000="小規模") + (Kintoneデータ抽出!$K$2:$K$5000="認可")), ROW(A13))))&amp;"日",""), "")</f>
        <v/>
      </c>
      <c r="K24" s="77" t="str" cm="1">
        <f t="array" ref="K24">IFERROR(IF(INDEX(Kintoneデータ抽出!F:F, _xlfn.AGGREGATE(15, 6, ROW(Kintoneデータ抽出!$K$2:$K$5000) / ((Kintoneデータ抽出!$K$2:$K$5000="小規模") + (Kintoneデータ抽出!$K$2:$K$5000="認可")), ROW(A13)))&lt;&gt;"",
VLOOKUP(INDEX(Kintoneデータ抽出!F:F, _xlfn.AGGREGATE(15, 6, ROW(Kintoneデータ抽出!$K$2:$K$5000) / ((Kintoneデータ抽出!$K$2:$K$5000="小規模") + (Kintoneデータ抽出!$K$2:$K$5000="認可")), ROW(A13))),基本開園日の表記!$A$2:$B$13,2,FALSE),""), "")</f>
        <v/>
      </c>
      <c r="L24" s="75" t="str">
        <f t="array" ref="L24">IFERROR(IF(INDEX(Kintoneデータ抽出!F:F, _xlfn.AGGREGATE(15, 6, ROW(Kintoneデータ抽出!$K$2:$K$5000) / ((Kintoneデータ抽出!$K$2:$K$5000="小規模") + (Kintoneデータ抽出!$K$2:$K$5000="認可")), ROW(A13)))&lt;&gt;"",
IF(COUNTIF(INDEX(Kintoneデータ抽出!F:F, _xlfn.AGGREGATE(15, 6, ROW(Kintoneデータ抽出!$K$2:$K$5000) / ((Kintoneデータ抽出!$K$2:$K$5000="小規模") + (Kintoneデータ抽出!$K$2:$K$5000="認可")), ROW(A13))),"*あり*"),"夜間",""),""), "")</f>
        <v/>
      </c>
      <c r="M24" s="75" t="str">
        <f t="array" ref="M24">IFERROR(IF(INDEX(Kintoneデータ抽出!I:I, _xlfn.AGGREGATE(15, 6, ROW(Kintoneデータ抽出!$K$2:$K$5000) / ((Kintoneデータ抽出!$K$2:$K$5000="小規模") + (Kintoneデータ抽出!$K$2:$K$5000="認可")), ROW(A13)))&lt;&gt;"",
IF(COUNTIF(INDEX(Kintoneデータ抽出!I:I, _xlfn.AGGREGATE(15, 6, ROW(Kintoneデータ抽出!$K$2:$K$5000) / ((Kintoneデータ抽出!$K$2:$K$5000="小規模") + (Kintoneデータ抽出!$K$2:$K$5000="認可")), ROW(A13))),"*あり*"),"学童",""),""), "")</f>
        <v/>
      </c>
      <c r="N24" s="75" t="str">
        <f t="array" ref="N24">IFERROR(IF(INDEX(Kintoneデータ抽出!H:H, _xlfn.AGGREGATE(15, 6, ROW(Kintoneデータ抽出!$K$2:$K$5000) / ((Kintoneデータ抽出!$K$2:$K$5000="小規模") + (Kintoneデータ抽出!$K$2:$K$5000="認可")), ROW(A13)))&lt;&gt;"",
IF(COUNTIF(INDEX(Kintoneデータ抽出!H:H, _xlfn.AGGREGATE(15, 6, ROW(Kintoneデータ抽出!$K$2:$K$5000) / ((Kintoneデータ抽出!$K$2:$K$5000="小規模") + (Kintoneデータ抽出!$K$2:$K$5000="認可")), ROW(A13))),"*あり*"),"病児",""),""), "")</f>
        <v/>
      </c>
      <c r="O24" s="75" t="str" cm="1">
        <f t="array" ref="O24">IFERROR(
IF(INDEX(Kintoneデータ抽出!M:M, _xlfn.AGGREGATE(15, 6, ROW(Kintoneデータ抽出!$K$2:$K$5000) / ((Kintoneデータ抽出!$K$2:$K$5000="小規模") + (Kintoneデータ抽出!$K$2:$K$5000="認可")), ROW(A13)))&lt;&gt;0,INDEX(Kintoneデータ抽出!M:M, _xlfn.AGGREGATE(15, 6, ROW(Kintoneデータ抽出!$K$2:$K$5000) / ((Kintoneデータ抽出!$K$2:$K$5000="小規模") + (Kintoneデータ抽出!$K$2:$K$5000="認可")), ROW(A13))),""), "")</f>
        <v/>
      </c>
      <c r="P24" s="78" t="str">
        <f t="array" ref="P24">IFERROR(IF(INDEX(Kintoneデータ抽出!L:L, _xlfn.AGGREGATE(15, 6, ROW(Kintoneデータ抽出!$K$2:$K$5000) / ((Kintoneデータ抽出!$K$2:$K$5000="院内")), ROW(A13)))&lt;&gt;"",
IF(COUNTIF(INDEX(Kintoneデータ抽出!L:L, _xlfn.AGGREGATE(15, 6, ROW(Kintoneデータ抽出!$K$2:$K$5000) / ((Kintoneデータ抽出!$K$2:$K$5000="院内")), ROW(A13))),"*企業主導型以外*"),"",
IF(COUNTIF(INDEX(Kintoneデータ抽出!L:L, _xlfn.AGGREGATE(15, 6, ROW(Kintoneデータ抽出!$K$2:$K$5000) / ((Kintoneデータ抽出!$K$2:$K$5000="院内")), ROW(A13))),"*その他*"),"",
IF(COUNTIF(INDEX(Kintoneデータ抽出!L:L, _xlfn.AGGREGATE(15, 6, ROW(Kintoneデータ抽出!$K$2:$K$5000) / ((Kintoneデータ抽出!$K$2:$K$5000="院内")), ROW(A13))),"*新制度*"),"新制度","企業主導型"))),""), "")</f>
        <v/>
      </c>
    </row>
    <row r="25" spans="2:16" ht="34.799999999999997" customHeight="1" x14ac:dyDescent="0.45">
      <c r="B25" s="45"/>
      <c r="C25" s="170"/>
      <c r="D25" s="98" t="str">
        <f t="shared" si="0"/>
        <v/>
      </c>
      <c r="E25" s="99"/>
      <c r="F25" s="75" t="str">
        <f t="array" ref="F25">IFERROR(INDEX(Kintoneデータ抽出!A:A, _xlfn.AGGREGATE(15, 6, ROW(Kintoneデータ抽出!$K$2:$K$5000) / ((Kintoneデータ抽出!$K$2:$K$5000="小規模") + (Kintoneデータ抽出!$K$2:$K$5000="認可")), ROW(A14))), "")</f>
        <v/>
      </c>
      <c r="G25" s="77" t="str">
        <f t="array" ref="G25">IFERROR(INDEX(Kintoneデータ抽出!D:D, _xlfn.AGGREGATE(15, 6, ROW(Kintoneデータ抽出!$K$2:$K$5000) / ((Kintoneデータ抽出!$K$2:$K$5000="小規模") + (Kintoneデータ抽出!$K$2:$K$5000="認可")), ROW(A14))), "")</f>
        <v/>
      </c>
      <c r="H25" s="77" t="str">
        <f t="array" ref="H25">IFERROR(INDEX(Kintoneデータ抽出!C:C, _xlfn.AGGREGATE(15, 6, ROW(Kintoneデータ抽出!$K$2:$K$5000) / ((Kintoneデータ抽出!$K$2:$K$5000="小規模") + (Kintoneデータ抽出!$K$2:$K$5000="認可")), ROW(A14))), "")</f>
        <v/>
      </c>
      <c r="I25" s="77" t="str">
        <f t="array" ref="I25">IFERROR(IF(INDEX(Kintoneデータ抽出!G:G, _xlfn.AGGREGATE(15, 6, ROW(Kintoneデータ抽出!$K$2:$K$5000) / ((Kintoneデータ抽出!$K$2:$K$5000="小規模") + (Kintoneデータ抽出!$K$2:$K$5000="認可")), ROW(A14)))&lt;&gt;"",INDEX(Kintoneデータ抽出!G:G, _xlfn.AGGREGATE(15, 6, ROW(Kintoneデータ抽出!$K$2:$K$5000) / ((Kintoneデータ抽出!$K$2:$K$5000="小規模") + (Kintoneデータ抽出!$K$2:$K$5000="認可")), ROW(A14)))&amp;"名",""), "")</f>
        <v/>
      </c>
      <c r="J25" s="76" t="str">
        <f t="array" ref="J25">IFERROR(IF(INDEX(Kintoneデータ抽出!E:E, _xlfn.AGGREGATE(15, 6, ROW(Kintoneデータ抽出!$K$2:$K$5000) / ((Kintoneデータ抽出!$K$2:$K$5000="小規模") + (Kintoneデータ抽出!$K$2:$K$5000="認可")), ROW(A14)))&lt;&gt;"",
YEAR(INDEX(Kintoneデータ抽出!E:E, _xlfn.AGGREGATE(15, 6, ROW(Kintoneデータ抽出!$K$2:$K$5000) / ((Kintoneデータ抽出!$K$2:$K$5000="小規模") + (Kintoneデータ抽出!$K$2:$K$5000="認可")), ROW(A14))))&amp;"年"
&amp;MONTH(INDEX(Kintoneデータ抽出!E:E, _xlfn.AGGREGATE(15, 6, ROW(Kintoneデータ抽出!$K$2:$K$5000) / ((Kintoneデータ抽出!$K$2:$K$5000="小規模") + (Kintoneデータ抽出!$K$2:$K$5000="認可")), ROW(A14))))&amp;"月"
&amp;DAY(INDEX(Kintoneデータ抽出!E:E, _xlfn.AGGREGATE(15, 6, ROW(Kintoneデータ抽出!$K$2:$K$5000) / ((Kintoneデータ抽出!$K$2:$K$5000="小規模") + (Kintoneデータ抽出!$K$2:$K$5000="認可")), ROW(A14))))&amp;"日",""), "")</f>
        <v/>
      </c>
      <c r="K25" s="77" t="str" cm="1">
        <f t="array" ref="K25">IFERROR(IF(INDEX(Kintoneデータ抽出!F:F, _xlfn.AGGREGATE(15, 6, ROW(Kintoneデータ抽出!$K$2:$K$5000) / ((Kintoneデータ抽出!$K$2:$K$5000="小規模") + (Kintoneデータ抽出!$K$2:$K$5000="認可")), ROW(A14)))&lt;&gt;"",
VLOOKUP(INDEX(Kintoneデータ抽出!F:F, _xlfn.AGGREGATE(15, 6, ROW(Kintoneデータ抽出!$K$2:$K$5000) / ((Kintoneデータ抽出!$K$2:$K$5000="小規模") + (Kintoneデータ抽出!$K$2:$K$5000="認可")), ROW(A14))),基本開園日の表記!$A$2:$B$13,2,FALSE),""), "")</f>
        <v/>
      </c>
      <c r="L25" s="75" t="str">
        <f t="array" ref="L25">IFERROR(IF(INDEX(Kintoneデータ抽出!F:F, _xlfn.AGGREGATE(15, 6, ROW(Kintoneデータ抽出!$K$2:$K$5000) / ((Kintoneデータ抽出!$K$2:$K$5000="小規模") + (Kintoneデータ抽出!$K$2:$K$5000="認可")), ROW(A14)))&lt;&gt;"",
IF(COUNTIF(INDEX(Kintoneデータ抽出!F:F, _xlfn.AGGREGATE(15, 6, ROW(Kintoneデータ抽出!$K$2:$K$5000) / ((Kintoneデータ抽出!$K$2:$K$5000="小規模") + (Kintoneデータ抽出!$K$2:$K$5000="認可")), ROW(A14))),"*あり*"),"夜間",""),""), "")</f>
        <v/>
      </c>
      <c r="M25" s="75" t="str">
        <f t="array" ref="M25">IFERROR(IF(INDEX(Kintoneデータ抽出!I:I, _xlfn.AGGREGATE(15, 6, ROW(Kintoneデータ抽出!$K$2:$K$5000) / ((Kintoneデータ抽出!$K$2:$K$5000="小規模") + (Kintoneデータ抽出!$K$2:$K$5000="認可")), ROW(A14)))&lt;&gt;"",
IF(COUNTIF(INDEX(Kintoneデータ抽出!I:I, _xlfn.AGGREGATE(15, 6, ROW(Kintoneデータ抽出!$K$2:$K$5000) / ((Kintoneデータ抽出!$K$2:$K$5000="小規模") + (Kintoneデータ抽出!$K$2:$K$5000="認可")), ROW(A14))),"*あり*"),"学童",""),""), "")</f>
        <v/>
      </c>
      <c r="N25" s="75" t="str">
        <f t="array" ref="N25">IFERROR(IF(INDEX(Kintoneデータ抽出!H:H, _xlfn.AGGREGATE(15, 6, ROW(Kintoneデータ抽出!$K$2:$K$5000) / ((Kintoneデータ抽出!$K$2:$K$5000="小規模") + (Kintoneデータ抽出!$K$2:$K$5000="認可")), ROW(A14)))&lt;&gt;"",
IF(COUNTIF(INDEX(Kintoneデータ抽出!H:H, _xlfn.AGGREGATE(15, 6, ROW(Kintoneデータ抽出!$K$2:$K$5000) / ((Kintoneデータ抽出!$K$2:$K$5000="小規模") + (Kintoneデータ抽出!$K$2:$K$5000="認可")), ROW(A14))),"*あり*"),"病児",""),""), "")</f>
        <v/>
      </c>
      <c r="O25" s="75" t="str" cm="1">
        <f t="array" ref="O25">IFERROR(
IF(INDEX(Kintoneデータ抽出!M:M, _xlfn.AGGREGATE(15, 6, ROW(Kintoneデータ抽出!$K$2:$K$5000) / ((Kintoneデータ抽出!$K$2:$K$5000="小規模") + (Kintoneデータ抽出!$K$2:$K$5000="認可")), ROW(A14)))&lt;&gt;0,INDEX(Kintoneデータ抽出!M:M, _xlfn.AGGREGATE(15, 6, ROW(Kintoneデータ抽出!$K$2:$K$5000) / ((Kintoneデータ抽出!$K$2:$K$5000="小規模") + (Kintoneデータ抽出!$K$2:$K$5000="認可")), ROW(A14))),""), "")</f>
        <v/>
      </c>
      <c r="P25" s="78" t="str">
        <f t="array" ref="P25">IFERROR(IF(INDEX(Kintoneデータ抽出!L:L, _xlfn.AGGREGATE(15, 6, ROW(Kintoneデータ抽出!$K$2:$K$5000) / ((Kintoneデータ抽出!$K$2:$K$5000="院内")), ROW(A14)))&lt;&gt;"",
IF(COUNTIF(INDEX(Kintoneデータ抽出!L:L, _xlfn.AGGREGATE(15, 6, ROW(Kintoneデータ抽出!$K$2:$K$5000) / ((Kintoneデータ抽出!$K$2:$K$5000="院内")), ROW(A14))),"*企業主導型以外*"),"",
IF(COUNTIF(INDEX(Kintoneデータ抽出!L:L, _xlfn.AGGREGATE(15, 6, ROW(Kintoneデータ抽出!$K$2:$K$5000) / ((Kintoneデータ抽出!$K$2:$K$5000="院内")), ROW(A14))),"*その他*"),"",
IF(COUNTIF(INDEX(Kintoneデータ抽出!L:L, _xlfn.AGGREGATE(15, 6, ROW(Kintoneデータ抽出!$K$2:$K$5000) / ((Kintoneデータ抽出!$K$2:$K$5000="院内")), ROW(A14))),"*新制度*"),"新制度","企業主導型"))),""), "")</f>
        <v/>
      </c>
    </row>
    <row r="26" spans="2:16" ht="34.799999999999997" customHeight="1" x14ac:dyDescent="0.45">
      <c r="B26" s="45"/>
      <c r="C26" s="170"/>
      <c r="D26" s="98" t="str">
        <f t="shared" si="0"/>
        <v/>
      </c>
      <c r="E26" s="99"/>
      <c r="F26" s="75" t="str">
        <f t="array" ref="F26">IFERROR(INDEX(Kintoneデータ抽出!A:A, _xlfn.AGGREGATE(15, 6, ROW(Kintoneデータ抽出!$K$2:$K$5000) / ((Kintoneデータ抽出!$K$2:$K$5000="小規模") + (Kintoneデータ抽出!$K$2:$K$5000="認可")), ROW(A15))), "")</f>
        <v/>
      </c>
      <c r="G26" s="77" t="str">
        <f t="array" ref="G26">IFERROR(INDEX(Kintoneデータ抽出!D:D, _xlfn.AGGREGATE(15, 6, ROW(Kintoneデータ抽出!$K$2:$K$5000) / ((Kintoneデータ抽出!$K$2:$K$5000="小規模") + (Kintoneデータ抽出!$K$2:$K$5000="認可")), ROW(A15))), "")</f>
        <v/>
      </c>
      <c r="H26" s="77" t="str">
        <f t="array" ref="H26">IFERROR(INDEX(Kintoneデータ抽出!C:C, _xlfn.AGGREGATE(15, 6, ROW(Kintoneデータ抽出!$K$2:$K$5000) / ((Kintoneデータ抽出!$K$2:$K$5000="小規模") + (Kintoneデータ抽出!$K$2:$K$5000="認可")), ROW(A15))), "")</f>
        <v/>
      </c>
      <c r="I26" s="77" t="str">
        <f t="array" ref="I26">IFERROR(IF(INDEX(Kintoneデータ抽出!G:G, _xlfn.AGGREGATE(15, 6, ROW(Kintoneデータ抽出!$K$2:$K$5000) / ((Kintoneデータ抽出!$K$2:$K$5000="小規模") + (Kintoneデータ抽出!$K$2:$K$5000="認可")), ROW(A15)))&lt;&gt;"",INDEX(Kintoneデータ抽出!G:G, _xlfn.AGGREGATE(15, 6, ROW(Kintoneデータ抽出!$K$2:$K$5000) / ((Kintoneデータ抽出!$K$2:$K$5000="小規模") + (Kintoneデータ抽出!$K$2:$K$5000="認可")), ROW(A15)))&amp;"名",""), "")</f>
        <v/>
      </c>
      <c r="J26" s="76" t="str">
        <f t="array" ref="J26">IFERROR(IF(INDEX(Kintoneデータ抽出!E:E, _xlfn.AGGREGATE(15, 6, ROW(Kintoneデータ抽出!$K$2:$K$5000) / ((Kintoneデータ抽出!$K$2:$K$5000="小規模") + (Kintoneデータ抽出!$K$2:$K$5000="認可")), ROW(A15)))&lt;&gt;"",
YEAR(INDEX(Kintoneデータ抽出!E:E, _xlfn.AGGREGATE(15, 6, ROW(Kintoneデータ抽出!$K$2:$K$5000) / ((Kintoneデータ抽出!$K$2:$K$5000="小規模") + (Kintoneデータ抽出!$K$2:$K$5000="認可")), ROW(A15))))&amp;"年"
&amp;MONTH(INDEX(Kintoneデータ抽出!E:E, _xlfn.AGGREGATE(15, 6, ROW(Kintoneデータ抽出!$K$2:$K$5000) / ((Kintoneデータ抽出!$K$2:$K$5000="小規模") + (Kintoneデータ抽出!$K$2:$K$5000="認可")), ROW(A15))))&amp;"月"
&amp;DAY(INDEX(Kintoneデータ抽出!E:E, _xlfn.AGGREGATE(15, 6, ROW(Kintoneデータ抽出!$K$2:$K$5000) / ((Kintoneデータ抽出!$K$2:$K$5000="小規模") + (Kintoneデータ抽出!$K$2:$K$5000="認可")), ROW(A15))))&amp;"日",""), "")</f>
        <v/>
      </c>
      <c r="K26" s="77" t="str" cm="1">
        <f t="array" ref="K26">IFERROR(IF(INDEX(Kintoneデータ抽出!F:F, _xlfn.AGGREGATE(15, 6, ROW(Kintoneデータ抽出!$K$2:$K$5000) / ((Kintoneデータ抽出!$K$2:$K$5000="小規模") + (Kintoneデータ抽出!$K$2:$K$5000="認可")), ROW(A15)))&lt;&gt;"",
VLOOKUP(INDEX(Kintoneデータ抽出!F:F, _xlfn.AGGREGATE(15, 6, ROW(Kintoneデータ抽出!$K$2:$K$5000) / ((Kintoneデータ抽出!$K$2:$K$5000="小規模") + (Kintoneデータ抽出!$K$2:$K$5000="認可")), ROW(A15))),基本開園日の表記!$A$2:$B$13,2,FALSE),""), "")</f>
        <v/>
      </c>
      <c r="L26" s="75" t="str">
        <f t="array" ref="L26">IFERROR(IF(INDEX(Kintoneデータ抽出!F:F, _xlfn.AGGREGATE(15, 6, ROW(Kintoneデータ抽出!$K$2:$K$5000) / ((Kintoneデータ抽出!$K$2:$K$5000="小規模") + (Kintoneデータ抽出!$K$2:$K$5000="認可")), ROW(A15)))&lt;&gt;"",
IF(COUNTIF(INDEX(Kintoneデータ抽出!F:F, _xlfn.AGGREGATE(15, 6, ROW(Kintoneデータ抽出!$K$2:$K$5000) / ((Kintoneデータ抽出!$K$2:$K$5000="小規模") + (Kintoneデータ抽出!$K$2:$K$5000="認可")), ROW(A15))),"*あり*"),"夜間",""),""), "")</f>
        <v/>
      </c>
      <c r="M26" s="75" t="str">
        <f t="array" ref="M26">IFERROR(IF(INDEX(Kintoneデータ抽出!I:I, _xlfn.AGGREGATE(15, 6, ROW(Kintoneデータ抽出!$K$2:$K$5000) / ((Kintoneデータ抽出!$K$2:$K$5000="小規模") + (Kintoneデータ抽出!$K$2:$K$5000="認可")), ROW(A15)))&lt;&gt;"",
IF(COUNTIF(INDEX(Kintoneデータ抽出!I:I, _xlfn.AGGREGATE(15, 6, ROW(Kintoneデータ抽出!$K$2:$K$5000) / ((Kintoneデータ抽出!$K$2:$K$5000="小規模") + (Kintoneデータ抽出!$K$2:$K$5000="認可")), ROW(A15))),"*あり*"),"学童",""),""), "")</f>
        <v/>
      </c>
      <c r="N26" s="75" t="str">
        <f t="array" ref="N26">IFERROR(IF(INDEX(Kintoneデータ抽出!H:H, _xlfn.AGGREGATE(15, 6, ROW(Kintoneデータ抽出!$K$2:$K$5000) / ((Kintoneデータ抽出!$K$2:$K$5000="小規模") + (Kintoneデータ抽出!$K$2:$K$5000="認可")), ROW(A15)))&lt;&gt;"",
IF(COUNTIF(INDEX(Kintoneデータ抽出!H:H, _xlfn.AGGREGATE(15, 6, ROW(Kintoneデータ抽出!$K$2:$K$5000) / ((Kintoneデータ抽出!$K$2:$K$5000="小規模") + (Kintoneデータ抽出!$K$2:$K$5000="認可")), ROW(A15))),"*あり*"),"病児",""),""), "")</f>
        <v/>
      </c>
      <c r="O26" s="75" t="str" cm="1">
        <f t="array" ref="O26">IFERROR(
IF(INDEX(Kintoneデータ抽出!M:M, _xlfn.AGGREGATE(15, 6, ROW(Kintoneデータ抽出!$K$2:$K$5000) / ((Kintoneデータ抽出!$K$2:$K$5000="小規模") + (Kintoneデータ抽出!$K$2:$K$5000="認可")), ROW(A15)))&lt;&gt;0,INDEX(Kintoneデータ抽出!M:M, _xlfn.AGGREGATE(15, 6, ROW(Kintoneデータ抽出!$K$2:$K$5000) / ((Kintoneデータ抽出!$K$2:$K$5000="小規模") + (Kintoneデータ抽出!$K$2:$K$5000="認可")), ROW(A15))),""), "")</f>
        <v/>
      </c>
      <c r="P26" s="78" t="str">
        <f t="array" ref="P26">IFERROR(IF(INDEX(Kintoneデータ抽出!L:L, _xlfn.AGGREGATE(15, 6, ROW(Kintoneデータ抽出!$K$2:$K$5000) / ((Kintoneデータ抽出!$K$2:$K$5000="院内")), ROW(A15)))&lt;&gt;"",
IF(COUNTIF(INDEX(Kintoneデータ抽出!L:L, _xlfn.AGGREGATE(15, 6, ROW(Kintoneデータ抽出!$K$2:$K$5000) / ((Kintoneデータ抽出!$K$2:$K$5000="院内")), ROW(A15))),"*企業主導型以外*"),"",
IF(COUNTIF(INDEX(Kintoneデータ抽出!L:L, _xlfn.AGGREGATE(15, 6, ROW(Kintoneデータ抽出!$K$2:$K$5000) / ((Kintoneデータ抽出!$K$2:$K$5000="院内")), ROW(A15))),"*その他*"),"",
IF(COUNTIF(INDEX(Kintoneデータ抽出!L:L, _xlfn.AGGREGATE(15, 6, ROW(Kintoneデータ抽出!$K$2:$K$5000) / ((Kintoneデータ抽出!$K$2:$K$5000="院内")), ROW(A15))),"*新制度*"),"新制度","企業主導型"))),""), "")</f>
        <v/>
      </c>
    </row>
    <row r="27" spans="2:16" ht="34.799999999999997" customHeight="1" x14ac:dyDescent="0.45">
      <c r="B27" s="45"/>
      <c r="C27" s="170"/>
      <c r="D27" s="98" t="str">
        <f t="shared" si="0"/>
        <v/>
      </c>
      <c r="E27" s="99"/>
      <c r="F27" s="75" t="str">
        <f t="array" ref="F27">IFERROR(INDEX(Kintoneデータ抽出!A:A, _xlfn.AGGREGATE(15, 6, ROW(Kintoneデータ抽出!$K$2:$K$5000) / ((Kintoneデータ抽出!$K$2:$K$5000="小規模") + (Kintoneデータ抽出!$K$2:$K$5000="認可")), ROW(A16))), "")</f>
        <v/>
      </c>
      <c r="G27" s="77" t="str">
        <f t="array" ref="G27">IFERROR(INDEX(Kintoneデータ抽出!D:D, _xlfn.AGGREGATE(15, 6, ROW(Kintoneデータ抽出!$K$2:$K$5000) / ((Kintoneデータ抽出!$K$2:$K$5000="小規模") + (Kintoneデータ抽出!$K$2:$K$5000="認可")), ROW(A16))), "")</f>
        <v/>
      </c>
      <c r="H27" s="77" t="str">
        <f t="array" ref="H27">IFERROR(INDEX(Kintoneデータ抽出!C:C, _xlfn.AGGREGATE(15, 6, ROW(Kintoneデータ抽出!$K$2:$K$5000) / ((Kintoneデータ抽出!$K$2:$K$5000="小規模") + (Kintoneデータ抽出!$K$2:$K$5000="認可")), ROW(A16))), "")</f>
        <v/>
      </c>
      <c r="I27" s="77" t="str">
        <f t="array" ref="I27">IFERROR(IF(INDEX(Kintoneデータ抽出!G:G, _xlfn.AGGREGATE(15, 6, ROW(Kintoneデータ抽出!$K$2:$K$5000) / ((Kintoneデータ抽出!$K$2:$K$5000="小規模") + (Kintoneデータ抽出!$K$2:$K$5000="認可")), ROW(A16)))&lt;&gt;"",INDEX(Kintoneデータ抽出!G:G, _xlfn.AGGREGATE(15, 6, ROW(Kintoneデータ抽出!$K$2:$K$5000) / ((Kintoneデータ抽出!$K$2:$K$5000="小規模") + (Kintoneデータ抽出!$K$2:$K$5000="認可")), ROW(A16)))&amp;"名",""), "")</f>
        <v/>
      </c>
      <c r="J27" s="76" t="str">
        <f t="array" ref="J27">IFERROR(IF(INDEX(Kintoneデータ抽出!E:E, _xlfn.AGGREGATE(15, 6, ROW(Kintoneデータ抽出!$K$2:$K$5000) / ((Kintoneデータ抽出!$K$2:$K$5000="小規模") + (Kintoneデータ抽出!$K$2:$K$5000="認可")), ROW(A16)))&lt;&gt;"",
YEAR(INDEX(Kintoneデータ抽出!E:E, _xlfn.AGGREGATE(15, 6, ROW(Kintoneデータ抽出!$K$2:$K$5000) / ((Kintoneデータ抽出!$K$2:$K$5000="小規模") + (Kintoneデータ抽出!$K$2:$K$5000="認可")), ROW(A16))))&amp;"年"
&amp;MONTH(INDEX(Kintoneデータ抽出!E:E, _xlfn.AGGREGATE(15, 6, ROW(Kintoneデータ抽出!$K$2:$K$5000) / ((Kintoneデータ抽出!$K$2:$K$5000="小規模") + (Kintoneデータ抽出!$K$2:$K$5000="認可")), ROW(A16))))&amp;"月"
&amp;DAY(INDEX(Kintoneデータ抽出!E:E, _xlfn.AGGREGATE(15, 6, ROW(Kintoneデータ抽出!$K$2:$K$5000) / ((Kintoneデータ抽出!$K$2:$K$5000="小規模") + (Kintoneデータ抽出!$K$2:$K$5000="認可")), ROW(A16))))&amp;"日",""), "")</f>
        <v/>
      </c>
      <c r="K27" s="77" t="str" cm="1">
        <f t="array" ref="K27">IFERROR(IF(INDEX(Kintoneデータ抽出!F:F, _xlfn.AGGREGATE(15, 6, ROW(Kintoneデータ抽出!$K$2:$K$5000) / ((Kintoneデータ抽出!$K$2:$K$5000="小規模") + (Kintoneデータ抽出!$K$2:$K$5000="認可")), ROW(A16)))&lt;&gt;"",
VLOOKUP(INDEX(Kintoneデータ抽出!F:F, _xlfn.AGGREGATE(15, 6, ROW(Kintoneデータ抽出!$K$2:$K$5000) / ((Kintoneデータ抽出!$K$2:$K$5000="小規模") + (Kintoneデータ抽出!$K$2:$K$5000="認可")), ROW(A16))),基本開園日の表記!$A$2:$B$13,2,FALSE),""), "")</f>
        <v/>
      </c>
      <c r="L27" s="75" t="str">
        <f t="array" ref="L27">IFERROR(IF(INDEX(Kintoneデータ抽出!F:F, _xlfn.AGGREGATE(15, 6, ROW(Kintoneデータ抽出!$K$2:$K$5000) / ((Kintoneデータ抽出!$K$2:$K$5000="小規模") + (Kintoneデータ抽出!$K$2:$K$5000="認可")), ROW(A16)))&lt;&gt;"",
IF(COUNTIF(INDEX(Kintoneデータ抽出!F:F, _xlfn.AGGREGATE(15, 6, ROW(Kintoneデータ抽出!$K$2:$K$5000) / ((Kintoneデータ抽出!$K$2:$K$5000="小規模") + (Kintoneデータ抽出!$K$2:$K$5000="認可")), ROW(A16))),"*あり*"),"夜間",""),""), "")</f>
        <v/>
      </c>
      <c r="M27" s="75" t="str">
        <f t="array" ref="M27">IFERROR(IF(INDEX(Kintoneデータ抽出!I:I, _xlfn.AGGREGATE(15, 6, ROW(Kintoneデータ抽出!$K$2:$K$5000) / ((Kintoneデータ抽出!$K$2:$K$5000="小規模") + (Kintoneデータ抽出!$K$2:$K$5000="認可")), ROW(A16)))&lt;&gt;"",
IF(COUNTIF(INDEX(Kintoneデータ抽出!I:I, _xlfn.AGGREGATE(15, 6, ROW(Kintoneデータ抽出!$K$2:$K$5000) / ((Kintoneデータ抽出!$K$2:$K$5000="小規模") + (Kintoneデータ抽出!$K$2:$K$5000="認可")), ROW(A16))),"*あり*"),"学童",""),""), "")</f>
        <v/>
      </c>
      <c r="N27" s="75" t="str">
        <f t="array" ref="N27">IFERROR(IF(INDEX(Kintoneデータ抽出!H:H, _xlfn.AGGREGATE(15, 6, ROW(Kintoneデータ抽出!$K$2:$K$5000) / ((Kintoneデータ抽出!$K$2:$K$5000="小規模") + (Kintoneデータ抽出!$K$2:$K$5000="認可")), ROW(A16)))&lt;&gt;"",
IF(COUNTIF(INDEX(Kintoneデータ抽出!H:H, _xlfn.AGGREGATE(15, 6, ROW(Kintoneデータ抽出!$K$2:$K$5000) / ((Kintoneデータ抽出!$K$2:$K$5000="小規模") + (Kintoneデータ抽出!$K$2:$K$5000="認可")), ROW(A16))),"*あり*"),"病児",""),""), "")</f>
        <v/>
      </c>
      <c r="O27" s="75" t="str" cm="1">
        <f t="array" ref="O27">IFERROR(
IF(INDEX(Kintoneデータ抽出!M:M, _xlfn.AGGREGATE(15, 6, ROW(Kintoneデータ抽出!$K$2:$K$5000) / ((Kintoneデータ抽出!$K$2:$K$5000="小規模") + (Kintoneデータ抽出!$K$2:$K$5000="認可")), ROW(A16)))&lt;&gt;0,INDEX(Kintoneデータ抽出!M:M, _xlfn.AGGREGATE(15, 6, ROW(Kintoneデータ抽出!$K$2:$K$5000) / ((Kintoneデータ抽出!$K$2:$K$5000="小規模") + (Kintoneデータ抽出!$K$2:$K$5000="認可")), ROW(A16))),""), "")</f>
        <v/>
      </c>
      <c r="P27" s="78" t="str">
        <f t="array" ref="P27">IFERROR(IF(INDEX(Kintoneデータ抽出!L:L, _xlfn.AGGREGATE(15, 6, ROW(Kintoneデータ抽出!$K$2:$K$5000) / ((Kintoneデータ抽出!$K$2:$K$5000="院内")), ROW(A16)))&lt;&gt;"",
IF(COUNTIF(INDEX(Kintoneデータ抽出!L:L, _xlfn.AGGREGATE(15, 6, ROW(Kintoneデータ抽出!$K$2:$K$5000) / ((Kintoneデータ抽出!$K$2:$K$5000="院内")), ROW(A16))),"*企業主導型以外*"),"",
IF(COUNTIF(INDEX(Kintoneデータ抽出!L:L, _xlfn.AGGREGATE(15, 6, ROW(Kintoneデータ抽出!$K$2:$K$5000) / ((Kintoneデータ抽出!$K$2:$K$5000="院内")), ROW(A16))),"*その他*"),"",
IF(COUNTIF(INDEX(Kintoneデータ抽出!L:L, _xlfn.AGGREGATE(15, 6, ROW(Kintoneデータ抽出!$K$2:$K$5000) / ((Kintoneデータ抽出!$K$2:$K$5000="院内")), ROW(A16))),"*新制度*"),"新制度","企業主導型"))),""), "")</f>
        <v/>
      </c>
    </row>
    <row r="28" spans="2:16" ht="34.799999999999997" customHeight="1" x14ac:dyDescent="0.45">
      <c r="B28" s="45"/>
      <c r="C28" s="170"/>
      <c r="D28" s="98" t="str">
        <f t="shared" si="0"/>
        <v/>
      </c>
      <c r="E28" s="99"/>
      <c r="F28" s="75" t="str">
        <f t="array" ref="F28">IFERROR(INDEX(Kintoneデータ抽出!A:A, _xlfn.AGGREGATE(15, 6, ROW(Kintoneデータ抽出!$K$2:$K$5000) / ((Kintoneデータ抽出!$K$2:$K$5000="小規模") + (Kintoneデータ抽出!$K$2:$K$5000="認可")), ROW(A17))), "")</f>
        <v/>
      </c>
      <c r="G28" s="77" t="str">
        <f t="array" ref="G28">IFERROR(INDEX(Kintoneデータ抽出!D:D, _xlfn.AGGREGATE(15, 6, ROW(Kintoneデータ抽出!$K$2:$K$5000) / ((Kintoneデータ抽出!$K$2:$K$5000="小規模") + (Kintoneデータ抽出!$K$2:$K$5000="認可")), ROW(A17))), "")</f>
        <v/>
      </c>
      <c r="H28" s="77" t="str">
        <f t="array" ref="H28">IFERROR(INDEX(Kintoneデータ抽出!C:C, _xlfn.AGGREGATE(15, 6, ROW(Kintoneデータ抽出!$K$2:$K$5000) / ((Kintoneデータ抽出!$K$2:$K$5000="小規模") + (Kintoneデータ抽出!$K$2:$K$5000="認可")), ROW(A17))), "")</f>
        <v/>
      </c>
      <c r="I28" s="77" t="str">
        <f t="array" ref="I28">IFERROR(IF(INDEX(Kintoneデータ抽出!G:G, _xlfn.AGGREGATE(15, 6, ROW(Kintoneデータ抽出!$K$2:$K$5000) / ((Kintoneデータ抽出!$K$2:$K$5000="小規模") + (Kintoneデータ抽出!$K$2:$K$5000="認可")), ROW(A17)))&lt;&gt;"",INDEX(Kintoneデータ抽出!G:G, _xlfn.AGGREGATE(15, 6, ROW(Kintoneデータ抽出!$K$2:$K$5000) / ((Kintoneデータ抽出!$K$2:$K$5000="小規模") + (Kintoneデータ抽出!$K$2:$K$5000="認可")), ROW(A17)))&amp;"名",""), "")</f>
        <v/>
      </c>
      <c r="J28" s="76" t="str">
        <f t="array" ref="J28">IFERROR(IF(INDEX(Kintoneデータ抽出!E:E, _xlfn.AGGREGATE(15, 6, ROW(Kintoneデータ抽出!$K$2:$K$5000) / ((Kintoneデータ抽出!$K$2:$K$5000="小規模") + (Kintoneデータ抽出!$K$2:$K$5000="認可")), ROW(A17)))&lt;&gt;"",
YEAR(INDEX(Kintoneデータ抽出!E:E, _xlfn.AGGREGATE(15, 6, ROW(Kintoneデータ抽出!$K$2:$K$5000) / ((Kintoneデータ抽出!$K$2:$K$5000="小規模") + (Kintoneデータ抽出!$K$2:$K$5000="認可")), ROW(A17))))&amp;"年"
&amp;MONTH(INDEX(Kintoneデータ抽出!E:E, _xlfn.AGGREGATE(15, 6, ROW(Kintoneデータ抽出!$K$2:$K$5000) / ((Kintoneデータ抽出!$K$2:$K$5000="小規模") + (Kintoneデータ抽出!$K$2:$K$5000="認可")), ROW(A17))))&amp;"月"
&amp;DAY(INDEX(Kintoneデータ抽出!E:E, _xlfn.AGGREGATE(15, 6, ROW(Kintoneデータ抽出!$K$2:$K$5000) / ((Kintoneデータ抽出!$K$2:$K$5000="小規模") + (Kintoneデータ抽出!$K$2:$K$5000="認可")), ROW(A17))))&amp;"日",""), "")</f>
        <v/>
      </c>
      <c r="K28" s="77" t="str" cm="1">
        <f t="array" ref="K28">IFERROR(IF(INDEX(Kintoneデータ抽出!F:F, _xlfn.AGGREGATE(15, 6, ROW(Kintoneデータ抽出!$K$2:$K$5000) / ((Kintoneデータ抽出!$K$2:$K$5000="小規模") + (Kintoneデータ抽出!$K$2:$K$5000="認可")), ROW(A17)))&lt;&gt;"",
VLOOKUP(INDEX(Kintoneデータ抽出!F:F, _xlfn.AGGREGATE(15, 6, ROW(Kintoneデータ抽出!$K$2:$K$5000) / ((Kintoneデータ抽出!$K$2:$K$5000="小規模") + (Kintoneデータ抽出!$K$2:$K$5000="認可")), ROW(A17))),基本開園日の表記!$A$2:$B$13,2,FALSE),""), "")</f>
        <v/>
      </c>
      <c r="L28" s="75" t="str">
        <f t="array" ref="L28">IFERROR(IF(INDEX(Kintoneデータ抽出!F:F, _xlfn.AGGREGATE(15, 6, ROW(Kintoneデータ抽出!$K$2:$K$5000) / ((Kintoneデータ抽出!$K$2:$K$5000="小規模") + (Kintoneデータ抽出!$K$2:$K$5000="認可")), ROW(A17)))&lt;&gt;"",
IF(COUNTIF(INDEX(Kintoneデータ抽出!F:F, _xlfn.AGGREGATE(15, 6, ROW(Kintoneデータ抽出!$K$2:$K$5000) / ((Kintoneデータ抽出!$K$2:$K$5000="小規模") + (Kintoneデータ抽出!$K$2:$K$5000="認可")), ROW(A17))),"*あり*"),"夜間",""),""), "")</f>
        <v/>
      </c>
      <c r="M28" s="75" t="str">
        <f t="array" ref="M28">IFERROR(IF(INDEX(Kintoneデータ抽出!I:I, _xlfn.AGGREGATE(15, 6, ROW(Kintoneデータ抽出!$K$2:$K$5000) / ((Kintoneデータ抽出!$K$2:$K$5000="小規模") + (Kintoneデータ抽出!$K$2:$K$5000="認可")), ROW(A17)))&lt;&gt;"",
IF(COUNTIF(INDEX(Kintoneデータ抽出!I:I, _xlfn.AGGREGATE(15, 6, ROW(Kintoneデータ抽出!$K$2:$K$5000) / ((Kintoneデータ抽出!$K$2:$K$5000="小規模") + (Kintoneデータ抽出!$K$2:$K$5000="認可")), ROW(A17))),"*あり*"),"学童",""),""), "")</f>
        <v/>
      </c>
      <c r="N28" s="75" t="str">
        <f t="array" ref="N28">IFERROR(IF(INDEX(Kintoneデータ抽出!H:H, _xlfn.AGGREGATE(15, 6, ROW(Kintoneデータ抽出!$K$2:$K$5000) / ((Kintoneデータ抽出!$K$2:$K$5000="小規模") + (Kintoneデータ抽出!$K$2:$K$5000="認可")), ROW(A17)))&lt;&gt;"",
IF(COUNTIF(INDEX(Kintoneデータ抽出!H:H, _xlfn.AGGREGATE(15, 6, ROW(Kintoneデータ抽出!$K$2:$K$5000) / ((Kintoneデータ抽出!$K$2:$K$5000="小規模") + (Kintoneデータ抽出!$K$2:$K$5000="認可")), ROW(A17))),"*あり*"),"病児",""),""), "")</f>
        <v/>
      </c>
      <c r="O28" s="75" t="str" cm="1">
        <f t="array" ref="O28">IFERROR(
IF(INDEX(Kintoneデータ抽出!M:M, _xlfn.AGGREGATE(15, 6, ROW(Kintoneデータ抽出!$K$2:$K$5000) / ((Kintoneデータ抽出!$K$2:$K$5000="小規模") + (Kintoneデータ抽出!$K$2:$K$5000="認可")), ROW(A17)))&lt;&gt;0,INDEX(Kintoneデータ抽出!M:M, _xlfn.AGGREGATE(15, 6, ROW(Kintoneデータ抽出!$K$2:$K$5000) / ((Kintoneデータ抽出!$K$2:$K$5000="小規模") + (Kintoneデータ抽出!$K$2:$K$5000="認可")), ROW(A17))),""), "")</f>
        <v/>
      </c>
      <c r="P28" s="78" t="str">
        <f t="array" ref="P28">IFERROR(IF(INDEX(Kintoneデータ抽出!L:L, _xlfn.AGGREGATE(15, 6, ROW(Kintoneデータ抽出!$K$2:$K$5000) / ((Kintoneデータ抽出!$K$2:$K$5000="院内")), ROW(A17)))&lt;&gt;"",
IF(COUNTIF(INDEX(Kintoneデータ抽出!L:L, _xlfn.AGGREGATE(15, 6, ROW(Kintoneデータ抽出!$K$2:$K$5000) / ((Kintoneデータ抽出!$K$2:$K$5000="院内")), ROW(A17))),"*企業主導型以外*"),"",
IF(COUNTIF(INDEX(Kintoneデータ抽出!L:L, _xlfn.AGGREGATE(15, 6, ROW(Kintoneデータ抽出!$K$2:$K$5000) / ((Kintoneデータ抽出!$K$2:$K$5000="院内")), ROW(A17))),"*その他*"),"",
IF(COUNTIF(INDEX(Kintoneデータ抽出!L:L, _xlfn.AGGREGATE(15, 6, ROW(Kintoneデータ抽出!$K$2:$K$5000) / ((Kintoneデータ抽出!$K$2:$K$5000="院内")), ROW(A17))),"*新制度*"),"新制度","企業主導型"))),""), "")</f>
        <v/>
      </c>
    </row>
    <row r="29" spans="2:16" ht="34.799999999999997" customHeight="1" x14ac:dyDescent="0.45">
      <c r="B29" s="45"/>
      <c r="C29" s="170"/>
      <c r="D29" s="98" t="str">
        <f t="shared" si="0"/>
        <v/>
      </c>
      <c r="E29" s="99"/>
      <c r="F29" s="75" t="str">
        <f t="array" ref="F29">IFERROR(INDEX(Kintoneデータ抽出!A:A, _xlfn.AGGREGATE(15, 6, ROW(Kintoneデータ抽出!$K$2:$K$5000) / ((Kintoneデータ抽出!$K$2:$K$5000="小規模") + (Kintoneデータ抽出!$K$2:$K$5000="認可")), ROW(A18))), "")</f>
        <v/>
      </c>
      <c r="G29" s="77" t="str">
        <f t="array" ref="G29">IFERROR(INDEX(Kintoneデータ抽出!D:D, _xlfn.AGGREGATE(15, 6, ROW(Kintoneデータ抽出!$K$2:$K$5000) / ((Kintoneデータ抽出!$K$2:$K$5000="小規模") + (Kintoneデータ抽出!$K$2:$K$5000="認可")), ROW(A18))), "")</f>
        <v/>
      </c>
      <c r="H29" s="77" t="str">
        <f t="array" ref="H29">IFERROR(INDEX(Kintoneデータ抽出!C:C, _xlfn.AGGREGATE(15, 6, ROW(Kintoneデータ抽出!$K$2:$K$5000) / ((Kintoneデータ抽出!$K$2:$K$5000="小規模") + (Kintoneデータ抽出!$K$2:$K$5000="認可")), ROW(A18))), "")</f>
        <v/>
      </c>
      <c r="I29" s="77" t="str">
        <f t="array" ref="I29">IFERROR(IF(INDEX(Kintoneデータ抽出!G:G, _xlfn.AGGREGATE(15, 6, ROW(Kintoneデータ抽出!$K$2:$K$5000) / ((Kintoneデータ抽出!$K$2:$K$5000="小規模") + (Kintoneデータ抽出!$K$2:$K$5000="認可")), ROW(A18)))&lt;&gt;"",INDEX(Kintoneデータ抽出!G:G, _xlfn.AGGREGATE(15, 6, ROW(Kintoneデータ抽出!$K$2:$K$5000) / ((Kintoneデータ抽出!$K$2:$K$5000="小規模") + (Kintoneデータ抽出!$K$2:$K$5000="認可")), ROW(A18)))&amp;"名",""), "")</f>
        <v/>
      </c>
      <c r="J29" s="76" t="str">
        <f t="array" ref="J29">IFERROR(IF(INDEX(Kintoneデータ抽出!E:E, _xlfn.AGGREGATE(15, 6, ROW(Kintoneデータ抽出!$K$2:$K$5000) / ((Kintoneデータ抽出!$K$2:$K$5000="小規模") + (Kintoneデータ抽出!$K$2:$K$5000="認可")), ROW(A18)))&lt;&gt;"",
YEAR(INDEX(Kintoneデータ抽出!E:E, _xlfn.AGGREGATE(15, 6, ROW(Kintoneデータ抽出!$K$2:$K$5000) / ((Kintoneデータ抽出!$K$2:$K$5000="小規模") + (Kintoneデータ抽出!$K$2:$K$5000="認可")), ROW(A18))))&amp;"年"
&amp;MONTH(INDEX(Kintoneデータ抽出!E:E, _xlfn.AGGREGATE(15, 6, ROW(Kintoneデータ抽出!$K$2:$K$5000) / ((Kintoneデータ抽出!$K$2:$K$5000="小規模") + (Kintoneデータ抽出!$K$2:$K$5000="認可")), ROW(A18))))&amp;"月"
&amp;DAY(INDEX(Kintoneデータ抽出!E:E, _xlfn.AGGREGATE(15, 6, ROW(Kintoneデータ抽出!$K$2:$K$5000) / ((Kintoneデータ抽出!$K$2:$K$5000="小規模") + (Kintoneデータ抽出!$K$2:$K$5000="認可")), ROW(A18))))&amp;"日",""), "")</f>
        <v/>
      </c>
      <c r="K29" s="77" t="str" cm="1">
        <f t="array" ref="K29">IFERROR(IF(INDEX(Kintoneデータ抽出!F:F, _xlfn.AGGREGATE(15, 6, ROW(Kintoneデータ抽出!$K$2:$K$5000) / ((Kintoneデータ抽出!$K$2:$K$5000="小規模") + (Kintoneデータ抽出!$K$2:$K$5000="認可")), ROW(A18)))&lt;&gt;"",
VLOOKUP(INDEX(Kintoneデータ抽出!F:F, _xlfn.AGGREGATE(15, 6, ROW(Kintoneデータ抽出!$K$2:$K$5000) / ((Kintoneデータ抽出!$K$2:$K$5000="小規模") + (Kintoneデータ抽出!$K$2:$K$5000="認可")), ROW(A18))),基本開園日の表記!$A$2:$B$13,2,FALSE),""), "")</f>
        <v/>
      </c>
      <c r="L29" s="75" t="str">
        <f t="array" ref="L29">IFERROR(IF(INDEX(Kintoneデータ抽出!F:F, _xlfn.AGGREGATE(15, 6, ROW(Kintoneデータ抽出!$K$2:$K$5000) / ((Kintoneデータ抽出!$K$2:$K$5000="小規模") + (Kintoneデータ抽出!$K$2:$K$5000="認可")), ROW(A18)))&lt;&gt;"",
IF(COUNTIF(INDEX(Kintoneデータ抽出!F:F, _xlfn.AGGREGATE(15, 6, ROW(Kintoneデータ抽出!$K$2:$K$5000) / ((Kintoneデータ抽出!$K$2:$K$5000="小規模") + (Kintoneデータ抽出!$K$2:$K$5000="認可")), ROW(A18))),"*あり*"),"夜間",""),""), "")</f>
        <v/>
      </c>
      <c r="M29" s="75" t="str">
        <f t="array" ref="M29">IFERROR(IF(INDEX(Kintoneデータ抽出!I:I, _xlfn.AGGREGATE(15, 6, ROW(Kintoneデータ抽出!$K$2:$K$5000) / ((Kintoneデータ抽出!$K$2:$K$5000="小規模") + (Kintoneデータ抽出!$K$2:$K$5000="認可")), ROW(A18)))&lt;&gt;"",
IF(COUNTIF(INDEX(Kintoneデータ抽出!I:I, _xlfn.AGGREGATE(15, 6, ROW(Kintoneデータ抽出!$K$2:$K$5000) / ((Kintoneデータ抽出!$K$2:$K$5000="小規模") + (Kintoneデータ抽出!$K$2:$K$5000="認可")), ROW(A18))),"*あり*"),"学童",""),""), "")</f>
        <v/>
      </c>
      <c r="N29" s="75" t="str">
        <f t="array" ref="N29">IFERROR(IF(INDEX(Kintoneデータ抽出!H:H, _xlfn.AGGREGATE(15, 6, ROW(Kintoneデータ抽出!$K$2:$K$5000) / ((Kintoneデータ抽出!$K$2:$K$5000="小規模") + (Kintoneデータ抽出!$K$2:$K$5000="認可")), ROW(A18)))&lt;&gt;"",
IF(COUNTIF(INDEX(Kintoneデータ抽出!H:H, _xlfn.AGGREGATE(15, 6, ROW(Kintoneデータ抽出!$K$2:$K$5000) / ((Kintoneデータ抽出!$K$2:$K$5000="小規模") + (Kintoneデータ抽出!$K$2:$K$5000="認可")), ROW(A18))),"*あり*"),"病児",""),""), "")</f>
        <v/>
      </c>
      <c r="O29" s="75" t="str" cm="1">
        <f t="array" ref="O29">IFERROR(
IF(INDEX(Kintoneデータ抽出!M:M, _xlfn.AGGREGATE(15, 6, ROW(Kintoneデータ抽出!$K$2:$K$5000) / ((Kintoneデータ抽出!$K$2:$K$5000="小規模") + (Kintoneデータ抽出!$K$2:$K$5000="認可")), ROW(A18)))&lt;&gt;0,INDEX(Kintoneデータ抽出!M:M, _xlfn.AGGREGATE(15, 6, ROW(Kintoneデータ抽出!$K$2:$K$5000) / ((Kintoneデータ抽出!$K$2:$K$5000="小規模") + (Kintoneデータ抽出!$K$2:$K$5000="認可")), ROW(A18))),""), "")</f>
        <v/>
      </c>
      <c r="P29" s="78" t="str">
        <f t="array" ref="P29">IFERROR(IF(INDEX(Kintoneデータ抽出!L:L, _xlfn.AGGREGATE(15, 6, ROW(Kintoneデータ抽出!$K$2:$K$5000) / ((Kintoneデータ抽出!$K$2:$K$5000="院内")), ROW(A18)))&lt;&gt;"",
IF(COUNTIF(INDEX(Kintoneデータ抽出!L:L, _xlfn.AGGREGATE(15, 6, ROW(Kintoneデータ抽出!$K$2:$K$5000) / ((Kintoneデータ抽出!$K$2:$K$5000="院内")), ROW(A18))),"*企業主導型以外*"),"",
IF(COUNTIF(INDEX(Kintoneデータ抽出!L:L, _xlfn.AGGREGATE(15, 6, ROW(Kintoneデータ抽出!$K$2:$K$5000) / ((Kintoneデータ抽出!$K$2:$K$5000="院内")), ROW(A18))),"*その他*"),"",
IF(COUNTIF(INDEX(Kintoneデータ抽出!L:L, _xlfn.AGGREGATE(15, 6, ROW(Kintoneデータ抽出!$K$2:$K$5000) / ((Kintoneデータ抽出!$K$2:$K$5000="院内")), ROW(A18))),"*新制度*"),"新制度","企業主導型"))),""), "")</f>
        <v/>
      </c>
    </row>
    <row r="30" spans="2:16" ht="34.799999999999997" customHeight="1" x14ac:dyDescent="0.45">
      <c r="B30" s="45"/>
      <c r="C30" s="170"/>
      <c r="D30" s="98" t="str">
        <f t="shared" si="0"/>
        <v/>
      </c>
      <c r="E30" s="99"/>
      <c r="F30" s="75" t="str">
        <f t="array" ref="F30">IFERROR(INDEX(Kintoneデータ抽出!A:A, _xlfn.AGGREGATE(15, 6, ROW(Kintoneデータ抽出!$K$2:$K$5000) / ((Kintoneデータ抽出!$K$2:$K$5000="小規模") + (Kintoneデータ抽出!$K$2:$K$5000="認可")), ROW(A19))), "")</f>
        <v/>
      </c>
      <c r="G30" s="77" t="str">
        <f t="array" ref="G30">IFERROR(INDEX(Kintoneデータ抽出!D:D, _xlfn.AGGREGATE(15, 6, ROW(Kintoneデータ抽出!$K$2:$K$5000) / ((Kintoneデータ抽出!$K$2:$K$5000="小規模") + (Kintoneデータ抽出!$K$2:$K$5000="認可")), ROW(A19))), "")</f>
        <v/>
      </c>
      <c r="H30" s="77" t="str">
        <f t="array" ref="H30">IFERROR(INDEX(Kintoneデータ抽出!C:C, _xlfn.AGGREGATE(15, 6, ROW(Kintoneデータ抽出!$K$2:$K$5000) / ((Kintoneデータ抽出!$K$2:$K$5000="小規模") + (Kintoneデータ抽出!$K$2:$K$5000="認可")), ROW(A19))), "")</f>
        <v/>
      </c>
      <c r="I30" s="77" t="str">
        <f t="array" ref="I30">IFERROR(IF(INDEX(Kintoneデータ抽出!G:G, _xlfn.AGGREGATE(15, 6, ROW(Kintoneデータ抽出!$K$2:$K$5000) / ((Kintoneデータ抽出!$K$2:$K$5000="小規模") + (Kintoneデータ抽出!$K$2:$K$5000="認可")), ROW(A19)))&lt;&gt;"",INDEX(Kintoneデータ抽出!G:G, _xlfn.AGGREGATE(15, 6, ROW(Kintoneデータ抽出!$K$2:$K$5000) / ((Kintoneデータ抽出!$K$2:$K$5000="小規模") + (Kintoneデータ抽出!$K$2:$K$5000="認可")), ROW(A19)))&amp;"名",""), "")</f>
        <v/>
      </c>
      <c r="J30" s="76" t="str">
        <f t="array" ref="J30">IFERROR(IF(INDEX(Kintoneデータ抽出!E:E, _xlfn.AGGREGATE(15, 6, ROW(Kintoneデータ抽出!$K$2:$K$5000) / ((Kintoneデータ抽出!$K$2:$K$5000="小規模") + (Kintoneデータ抽出!$K$2:$K$5000="認可")), ROW(A19)))&lt;&gt;"",
YEAR(INDEX(Kintoneデータ抽出!E:E, _xlfn.AGGREGATE(15, 6, ROW(Kintoneデータ抽出!$K$2:$K$5000) / ((Kintoneデータ抽出!$K$2:$K$5000="小規模") + (Kintoneデータ抽出!$K$2:$K$5000="認可")), ROW(A19))))&amp;"年"
&amp;MONTH(INDEX(Kintoneデータ抽出!E:E, _xlfn.AGGREGATE(15, 6, ROW(Kintoneデータ抽出!$K$2:$K$5000) / ((Kintoneデータ抽出!$K$2:$K$5000="小規模") + (Kintoneデータ抽出!$K$2:$K$5000="認可")), ROW(A19))))&amp;"月"
&amp;DAY(INDEX(Kintoneデータ抽出!E:E, _xlfn.AGGREGATE(15, 6, ROW(Kintoneデータ抽出!$K$2:$K$5000) / ((Kintoneデータ抽出!$K$2:$K$5000="小規模") + (Kintoneデータ抽出!$K$2:$K$5000="認可")), ROW(A19))))&amp;"日",""), "")</f>
        <v/>
      </c>
      <c r="K30" s="77" t="str" cm="1">
        <f t="array" ref="K30">IFERROR(IF(INDEX(Kintoneデータ抽出!F:F, _xlfn.AGGREGATE(15, 6, ROW(Kintoneデータ抽出!$K$2:$K$5000) / ((Kintoneデータ抽出!$K$2:$K$5000="小規模") + (Kintoneデータ抽出!$K$2:$K$5000="認可")), ROW(A19)))&lt;&gt;"",
VLOOKUP(INDEX(Kintoneデータ抽出!F:F, _xlfn.AGGREGATE(15, 6, ROW(Kintoneデータ抽出!$K$2:$K$5000) / ((Kintoneデータ抽出!$K$2:$K$5000="小規模") + (Kintoneデータ抽出!$K$2:$K$5000="認可")), ROW(A19))),基本開園日の表記!$A$2:$B$13,2,FALSE),""), "")</f>
        <v/>
      </c>
      <c r="L30" s="75" t="str">
        <f t="array" ref="L30">IFERROR(IF(INDEX(Kintoneデータ抽出!F:F, _xlfn.AGGREGATE(15, 6, ROW(Kintoneデータ抽出!$K$2:$K$5000) / ((Kintoneデータ抽出!$K$2:$K$5000="小規模") + (Kintoneデータ抽出!$K$2:$K$5000="認可")), ROW(A19)))&lt;&gt;"",
IF(COUNTIF(INDEX(Kintoneデータ抽出!F:F, _xlfn.AGGREGATE(15, 6, ROW(Kintoneデータ抽出!$K$2:$K$5000) / ((Kintoneデータ抽出!$K$2:$K$5000="小規模") + (Kintoneデータ抽出!$K$2:$K$5000="認可")), ROW(A19))),"*あり*"),"夜間",""),""), "")</f>
        <v/>
      </c>
      <c r="M30" s="75" t="str">
        <f t="array" ref="M30">IFERROR(IF(INDEX(Kintoneデータ抽出!I:I, _xlfn.AGGREGATE(15, 6, ROW(Kintoneデータ抽出!$K$2:$K$5000) / ((Kintoneデータ抽出!$K$2:$K$5000="小規模") + (Kintoneデータ抽出!$K$2:$K$5000="認可")), ROW(A19)))&lt;&gt;"",
IF(COUNTIF(INDEX(Kintoneデータ抽出!I:I, _xlfn.AGGREGATE(15, 6, ROW(Kintoneデータ抽出!$K$2:$K$5000) / ((Kintoneデータ抽出!$K$2:$K$5000="小規模") + (Kintoneデータ抽出!$K$2:$K$5000="認可")), ROW(A19))),"*あり*"),"学童",""),""), "")</f>
        <v/>
      </c>
      <c r="N30" s="75" t="str">
        <f t="array" ref="N30">IFERROR(IF(INDEX(Kintoneデータ抽出!H:H, _xlfn.AGGREGATE(15, 6, ROW(Kintoneデータ抽出!$K$2:$K$5000) / ((Kintoneデータ抽出!$K$2:$K$5000="小規模") + (Kintoneデータ抽出!$K$2:$K$5000="認可")), ROW(A19)))&lt;&gt;"",
IF(COUNTIF(INDEX(Kintoneデータ抽出!H:H, _xlfn.AGGREGATE(15, 6, ROW(Kintoneデータ抽出!$K$2:$K$5000) / ((Kintoneデータ抽出!$K$2:$K$5000="小規模") + (Kintoneデータ抽出!$K$2:$K$5000="認可")), ROW(A19))),"*あり*"),"病児",""),""), "")</f>
        <v/>
      </c>
      <c r="O30" s="75" t="str" cm="1">
        <f t="array" ref="O30">IFERROR(
IF(INDEX(Kintoneデータ抽出!M:M, _xlfn.AGGREGATE(15, 6, ROW(Kintoneデータ抽出!$K$2:$K$5000) / ((Kintoneデータ抽出!$K$2:$K$5000="小規模") + (Kintoneデータ抽出!$K$2:$K$5000="認可")), ROW(A19)))&lt;&gt;0,INDEX(Kintoneデータ抽出!M:M, _xlfn.AGGREGATE(15, 6, ROW(Kintoneデータ抽出!$K$2:$K$5000) / ((Kintoneデータ抽出!$K$2:$K$5000="小規模") + (Kintoneデータ抽出!$K$2:$K$5000="認可")), ROW(A19))),""), "")</f>
        <v/>
      </c>
      <c r="P30" s="78" t="str">
        <f t="array" ref="P30">IFERROR(IF(INDEX(Kintoneデータ抽出!L:L, _xlfn.AGGREGATE(15, 6, ROW(Kintoneデータ抽出!$K$2:$K$5000) / ((Kintoneデータ抽出!$K$2:$K$5000="院内")), ROW(A19)))&lt;&gt;"",
IF(COUNTIF(INDEX(Kintoneデータ抽出!L:L, _xlfn.AGGREGATE(15, 6, ROW(Kintoneデータ抽出!$K$2:$K$5000) / ((Kintoneデータ抽出!$K$2:$K$5000="院内")), ROW(A19))),"*企業主導型以外*"),"",
IF(COUNTIF(INDEX(Kintoneデータ抽出!L:L, _xlfn.AGGREGATE(15, 6, ROW(Kintoneデータ抽出!$K$2:$K$5000) / ((Kintoneデータ抽出!$K$2:$K$5000="院内")), ROW(A19))),"*その他*"),"",
IF(COUNTIF(INDEX(Kintoneデータ抽出!L:L, _xlfn.AGGREGATE(15, 6, ROW(Kintoneデータ抽出!$K$2:$K$5000) / ((Kintoneデータ抽出!$K$2:$K$5000="院内")), ROW(A19))),"*新制度*"),"新制度","企業主導型"))),""), "")</f>
        <v/>
      </c>
    </row>
    <row r="31" spans="2:16" ht="34.799999999999997" customHeight="1" x14ac:dyDescent="0.45">
      <c r="B31" s="45"/>
      <c r="C31" s="170"/>
      <c r="D31" s="98" t="str">
        <f t="shared" si="0"/>
        <v/>
      </c>
      <c r="E31" s="99"/>
      <c r="F31" s="75" t="str">
        <f t="array" ref="F31">IFERROR(INDEX(Kintoneデータ抽出!A:A, _xlfn.AGGREGATE(15, 6, ROW(Kintoneデータ抽出!$K$2:$K$5000) / ((Kintoneデータ抽出!$K$2:$K$5000="小規模") + (Kintoneデータ抽出!$K$2:$K$5000="認可")), ROW(A20))), "")</f>
        <v/>
      </c>
      <c r="G31" s="77" t="str">
        <f t="array" ref="G31">IFERROR(INDEX(Kintoneデータ抽出!D:D, _xlfn.AGGREGATE(15, 6, ROW(Kintoneデータ抽出!$K$2:$K$5000) / ((Kintoneデータ抽出!$K$2:$K$5000="小規模") + (Kintoneデータ抽出!$K$2:$K$5000="認可")), ROW(A20))), "")</f>
        <v/>
      </c>
      <c r="H31" s="77" t="str">
        <f t="array" ref="H31">IFERROR(INDEX(Kintoneデータ抽出!C:C, _xlfn.AGGREGATE(15, 6, ROW(Kintoneデータ抽出!$K$2:$K$5000) / ((Kintoneデータ抽出!$K$2:$K$5000="小規模") + (Kintoneデータ抽出!$K$2:$K$5000="認可")), ROW(A20))), "")</f>
        <v/>
      </c>
      <c r="I31" s="77" t="str">
        <f t="array" ref="I31">IFERROR(IF(INDEX(Kintoneデータ抽出!G:G, _xlfn.AGGREGATE(15, 6, ROW(Kintoneデータ抽出!$K$2:$K$5000) / ((Kintoneデータ抽出!$K$2:$K$5000="小規模") + (Kintoneデータ抽出!$K$2:$K$5000="認可")), ROW(A20)))&lt;&gt;"",INDEX(Kintoneデータ抽出!G:G, _xlfn.AGGREGATE(15, 6, ROW(Kintoneデータ抽出!$K$2:$K$5000) / ((Kintoneデータ抽出!$K$2:$K$5000="小規模") + (Kintoneデータ抽出!$K$2:$K$5000="認可")), ROW(A20)))&amp;"名",""), "")</f>
        <v/>
      </c>
      <c r="J31" s="76" t="str">
        <f t="array" ref="J31">IFERROR(IF(INDEX(Kintoneデータ抽出!E:E, _xlfn.AGGREGATE(15, 6, ROW(Kintoneデータ抽出!$K$2:$K$5000) / ((Kintoneデータ抽出!$K$2:$K$5000="小規模") + (Kintoneデータ抽出!$K$2:$K$5000="認可")), ROW(A20)))&lt;&gt;"",
YEAR(INDEX(Kintoneデータ抽出!E:E, _xlfn.AGGREGATE(15, 6, ROW(Kintoneデータ抽出!$K$2:$K$5000) / ((Kintoneデータ抽出!$K$2:$K$5000="小規模") + (Kintoneデータ抽出!$K$2:$K$5000="認可")), ROW(A20))))&amp;"年"
&amp;MONTH(INDEX(Kintoneデータ抽出!E:E, _xlfn.AGGREGATE(15, 6, ROW(Kintoneデータ抽出!$K$2:$K$5000) / ((Kintoneデータ抽出!$K$2:$K$5000="小規模") + (Kintoneデータ抽出!$K$2:$K$5000="認可")), ROW(A20))))&amp;"月"
&amp;DAY(INDEX(Kintoneデータ抽出!E:E, _xlfn.AGGREGATE(15, 6, ROW(Kintoneデータ抽出!$K$2:$K$5000) / ((Kintoneデータ抽出!$K$2:$K$5000="小規模") + (Kintoneデータ抽出!$K$2:$K$5000="認可")), ROW(A20))))&amp;"日",""), "")</f>
        <v/>
      </c>
      <c r="K31" s="77" t="str" cm="1">
        <f t="array" ref="K31">IFERROR(IF(INDEX(Kintoneデータ抽出!F:F, _xlfn.AGGREGATE(15, 6, ROW(Kintoneデータ抽出!$K$2:$K$5000) / ((Kintoneデータ抽出!$K$2:$K$5000="小規模") + (Kintoneデータ抽出!$K$2:$K$5000="認可")), ROW(A20)))&lt;&gt;"",
VLOOKUP(INDEX(Kintoneデータ抽出!F:F, _xlfn.AGGREGATE(15, 6, ROW(Kintoneデータ抽出!$K$2:$K$5000) / ((Kintoneデータ抽出!$K$2:$K$5000="小規模") + (Kintoneデータ抽出!$K$2:$K$5000="認可")), ROW(A20))),基本開園日の表記!$A$2:$B$13,2,FALSE),""), "")</f>
        <v/>
      </c>
      <c r="L31" s="75" t="str">
        <f t="array" ref="L31">IFERROR(IF(INDEX(Kintoneデータ抽出!F:F, _xlfn.AGGREGATE(15, 6, ROW(Kintoneデータ抽出!$K$2:$K$5000) / ((Kintoneデータ抽出!$K$2:$K$5000="小規模") + (Kintoneデータ抽出!$K$2:$K$5000="認可")), ROW(A20)))&lt;&gt;"",
IF(COUNTIF(INDEX(Kintoneデータ抽出!F:F, _xlfn.AGGREGATE(15, 6, ROW(Kintoneデータ抽出!$K$2:$K$5000) / ((Kintoneデータ抽出!$K$2:$K$5000="小規模") + (Kintoneデータ抽出!$K$2:$K$5000="認可")), ROW(A20))),"*あり*"),"夜間",""),""), "")</f>
        <v/>
      </c>
      <c r="M31" s="75" t="str">
        <f t="array" ref="M31">IFERROR(IF(INDEX(Kintoneデータ抽出!I:I, _xlfn.AGGREGATE(15, 6, ROW(Kintoneデータ抽出!$K$2:$K$5000) / ((Kintoneデータ抽出!$K$2:$K$5000="小規模") + (Kintoneデータ抽出!$K$2:$K$5000="認可")), ROW(A20)))&lt;&gt;"",
IF(COUNTIF(INDEX(Kintoneデータ抽出!I:I, _xlfn.AGGREGATE(15, 6, ROW(Kintoneデータ抽出!$K$2:$K$5000) / ((Kintoneデータ抽出!$K$2:$K$5000="小規模") + (Kintoneデータ抽出!$K$2:$K$5000="認可")), ROW(A20))),"*あり*"),"学童",""),""), "")</f>
        <v/>
      </c>
      <c r="N31" s="75" t="str">
        <f t="array" ref="N31">IFERROR(IF(INDEX(Kintoneデータ抽出!H:H, _xlfn.AGGREGATE(15, 6, ROW(Kintoneデータ抽出!$K$2:$K$5000) / ((Kintoneデータ抽出!$K$2:$K$5000="小規模") + (Kintoneデータ抽出!$K$2:$K$5000="認可")), ROW(A20)))&lt;&gt;"",
IF(COUNTIF(INDEX(Kintoneデータ抽出!H:H, _xlfn.AGGREGATE(15, 6, ROW(Kintoneデータ抽出!$K$2:$K$5000) / ((Kintoneデータ抽出!$K$2:$K$5000="小規模") + (Kintoneデータ抽出!$K$2:$K$5000="認可")), ROW(A20))),"*あり*"),"病児",""),""), "")</f>
        <v/>
      </c>
      <c r="O31" s="75" t="str" cm="1">
        <f t="array" ref="O31">IFERROR(
IF(INDEX(Kintoneデータ抽出!M:M, _xlfn.AGGREGATE(15, 6, ROW(Kintoneデータ抽出!$K$2:$K$5000) / ((Kintoneデータ抽出!$K$2:$K$5000="小規模") + (Kintoneデータ抽出!$K$2:$K$5000="認可")), ROW(A20)))&lt;&gt;0,INDEX(Kintoneデータ抽出!M:M, _xlfn.AGGREGATE(15, 6, ROW(Kintoneデータ抽出!$K$2:$K$5000) / ((Kintoneデータ抽出!$K$2:$K$5000="小規模") + (Kintoneデータ抽出!$K$2:$K$5000="認可")), ROW(A20))),""), "")</f>
        <v/>
      </c>
      <c r="P31" s="78" t="str">
        <f t="array" ref="P31">IFERROR(IF(INDEX(Kintoneデータ抽出!L:L, _xlfn.AGGREGATE(15, 6, ROW(Kintoneデータ抽出!$K$2:$K$5000) / ((Kintoneデータ抽出!$K$2:$K$5000="院内")), ROW(A20)))&lt;&gt;"",
IF(COUNTIF(INDEX(Kintoneデータ抽出!L:L, _xlfn.AGGREGATE(15, 6, ROW(Kintoneデータ抽出!$K$2:$K$5000) / ((Kintoneデータ抽出!$K$2:$K$5000="院内")), ROW(A20))),"*企業主導型以外*"),"",
IF(COUNTIF(INDEX(Kintoneデータ抽出!L:L, _xlfn.AGGREGATE(15, 6, ROW(Kintoneデータ抽出!$K$2:$K$5000) / ((Kintoneデータ抽出!$K$2:$K$5000="院内")), ROW(A20))),"*その他*"),"",
IF(COUNTIF(INDEX(Kintoneデータ抽出!L:L, _xlfn.AGGREGATE(15, 6, ROW(Kintoneデータ抽出!$K$2:$K$5000) / ((Kintoneデータ抽出!$K$2:$K$5000="院内")), ROW(A20))),"*新制度*"),"新制度","企業主導型"))),""), "")</f>
        <v/>
      </c>
    </row>
    <row r="32" spans="2:16" ht="34.799999999999997" customHeight="1" x14ac:dyDescent="0.45">
      <c r="B32" s="51"/>
      <c r="C32" s="70"/>
      <c r="D32" s="98" t="str">
        <f t="shared" si="0"/>
        <v/>
      </c>
      <c r="E32" s="99"/>
      <c r="F32" s="75" t="str">
        <f t="array" ref="F32">IFERROR(INDEX(Kintoneデータ抽出!A:A, _xlfn.AGGREGATE(15, 6, ROW(Kintoneデータ抽出!$K$2:$K$5000) / ((Kintoneデータ抽出!$K$2:$K$5000="小規模") + (Kintoneデータ抽出!$K$2:$K$5000="認可")), ROW(A21))), "")</f>
        <v/>
      </c>
      <c r="G32" s="77" t="str">
        <f t="array" ref="G32">IFERROR(INDEX(Kintoneデータ抽出!D:D, _xlfn.AGGREGATE(15, 6, ROW(Kintoneデータ抽出!$K$2:$K$5000) / ((Kintoneデータ抽出!$K$2:$K$5000="小規模") + (Kintoneデータ抽出!$K$2:$K$5000="認可")), ROW(A21))), "")</f>
        <v/>
      </c>
      <c r="H32" s="77" t="str">
        <f t="array" ref="H32">IFERROR(INDEX(Kintoneデータ抽出!C:C, _xlfn.AGGREGATE(15, 6, ROW(Kintoneデータ抽出!$K$2:$K$5000) / ((Kintoneデータ抽出!$K$2:$K$5000="小規模") + (Kintoneデータ抽出!$K$2:$K$5000="認可")), ROW(A21))), "")</f>
        <v/>
      </c>
      <c r="I32" s="77" t="str">
        <f t="array" ref="I32">IFERROR(IF(INDEX(Kintoneデータ抽出!G:G, _xlfn.AGGREGATE(15, 6, ROW(Kintoneデータ抽出!$K$2:$K$5000) / ((Kintoneデータ抽出!$K$2:$K$5000="小規模") + (Kintoneデータ抽出!$K$2:$K$5000="認可")), ROW(A21)))&lt;&gt;"",INDEX(Kintoneデータ抽出!G:G, _xlfn.AGGREGATE(15, 6, ROW(Kintoneデータ抽出!$K$2:$K$5000) / ((Kintoneデータ抽出!$K$2:$K$5000="小規模") + (Kintoneデータ抽出!$K$2:$K$5000="認可")), ROW(A21)))&amp;"名",""), "")</f>
        <v/>
      </c>
      <c r="J32" s="76" t="str">
        <f t="array" ref="J32">IFERROR(IF(INDEX(Kintoneデータ抽出!E:E, _xlfn.AGGREGATE(15, 6, ROW(Kintoneデータ抽出!$K$2:$K$5000) / ((Kintoneデータ抽出!$K$2:$K$5000="小規模") + (Kintoneデータ抽出!$K$2:$K$5000="認可")), ROW(A21)))&lt;&gt;"",
YEAR(INDEX(Kintoneデータ抽出!E:E, _xlfn.AGGREGATE(15, 6, ROW(Kintoneデータ抽出!$K$2:$K$5000) / ((Kintoneデータ抽出!$K$2:$K$5000="小規模") + (Kintoneデータ抽出!$K$2:$K$5000="認可")), ROW(A21))))&amp;"年"
&amp;MONTH(INDEX(Kintoneデータ抽出!E:E, _xlfn.AGGREGATE(15, 6, ROW(Kintoneデータ抽出!$K$2:$K$5000) / ((Kintoneデータ抽出!$K$2:$K$5000="小規模") + (Kintoneデータ抽出!$K$2:$K$5000="認可")), ROW(A21))))&amp;"月"
&amp;DAY(INDEX(Kintoneデータ抽出!E:E, _xlfn.AGGREGATE(15, 6, ROW(Kintoneデータ抽出!$K$2:$K$5000) / ((Kintoneデータ抽出!$K$2:$K$5000="小規模") + (Kintoneデータ抽出!$K$2:$K$5000="認可")), ROW(A21))))&amp;"日",""), "")</f>
        <v/>
      </c>
      <c r="K32" s="77" t="str" cm="1">
        <f t="array" ref="K32">IFERROR(IF(INDEX(Kintoneデータ抽出!F:F, _xlfn.AGGREGATE(15, 6, ROW(Kintoneデータ抽出!$K$2:$K$5000) / ((Kintoneデータ抽出!$K$2:$K$5000="小規模") + (Kintoneデータ抽出!$K$2:$K$5000="認可")), ROW(A21)))&lt;&gt;"",
VLOOKUP(INDEX(Kintoneデータ抽出!F:F, _xlfn.AGGREGATE(15, 6, ROW(Kintoneデータ抽出!$K$2:$K$5000) / ((Kintoneデータ抽出!$K$2:$K$5000="小規模") + (Kintoneデータ抽出!$K$2:$K$5000="認可")), ROW(A21))),基本開園日の表記!$A$2:$B$13,2,FALSE),""), "")</f>
        <v/>
      </c>
      <c r="L32" s="75" t="str">
        <f t="array" ref="L32">IFERROR(IF(INDEX(Kintoneデータ抽出!F:F, _xlfn.AGGREGATE(15, 6, ROW(Kintoneデータ抽出!$K$2:$K$5000) / ((Kintoneデータ抽出!$K$2:$K$5000="小規模") + (Kintoneデータ抽出!$K$2:$K$5000="認可")), ROW(A21)))&lt;&gt;"",
IF(COUNTIF(INDEX(Kintoneデータ抽出!F:F, _xlfn.AGGREGATE(15, 6, ROW(Kintoneデータ抽出!$K$2:$K$5000) / ((Kintoneデータ抽出!$K$2:$K$5000="小規模") + (Kintoneデータ抽出!$K$2:$K$5000="認可")), ROW(A21))),"*あり*"),"夜間",""),""), "")</f>
        <v/>
      </c>
      <c r="M32" s="75" t="str">
        <f t="array" ref="M32">IFERROR(IF(INDEX(Kintoneデータ抽出!I:I, _xlfn.AGGREGATE(15, 6, ROW(Kintoneデータ抽出!$K$2:$K$5000) / ((Kintoneデータ抽出!$K$2:$K$5000="小規模") + (Kintoneデータ抽出!$K$2:$K$5000="認可")), ROW(A21)))&lt;&gt;"",
IF(COUNTIF(INDEX(Kintoneデータ抽出!I:I, _xlfn.AGGREGATE(15, 6, ROW(Kintoneデータ抽出!$K$2:$K$5000) / ((Kintoneデータ抽出!$K$2:$K$5000="小規模") + (Kintoneデータ抽出!$K$2:$K$5000="認可")), ROW(A21))),"*あり*"),"学童",""),""), "")</f>
        <v/>
      </c>
      <c r="N32" s="75" t="str">
        <f t="array" ref="N32">IFERROR(IF(INDEX(Kintoneデータ抽出!H:H, _xlfn.AGGREGATE(15, 6, ROW(Kintoneデータ抽出!$K$2:$K$5000) / ((Kintoneデータ抽出!$K$2:$K$5000="小規模") + (Kintoneデータ抽出!$K$2:$K$5000="認可")), ROW(A21)))&lt;&gt;"",
IF(COUNTIF(INDEX(Kintoneデータ抽出!H:H, _xlfn.AGGREGATE(15, 6, ROW(Kintoneデータ抽出!$K$2:$K$5000) / ((Kintoneデータ抽出!$K$2:$K$5000="小規模") + (Kintoneデータ抽出!$K$2:$K$5000="認可")), ROW(A21))),"*あり*"),"病児",""),""), "")</f>
        <v/>
      </c>
      <c r="O32" s="75" t="str" cm="1">
        <f t="array" ref="O32">IFERROR(
IF(INDEX(Kintoneデータ抽出!M:M, _xlfn.AGGREGATE(15, 6, ROW(Kintoneデータ抽出!$K$2:$K$5000) / ((Kintoneデータ抽出!$K$2:$K$5000="小規模") + (Kintoneデータ抽出!$K$2:$K$5000="認可")), ROW(A21)))&lt;&gt;0,INDEX(Kintoneデータ抽出!M:M, _xlfn.AGGREGATE(15, 6, ROW(Kintoneデータ抽出!$K$2:$K$5000) / ((Kintoneデータ抽出!$K$2:$K$5000="小規模") + (Kintoneデータ抽出!$K$2:$K$5000="認可")), ROW(A21))),""), "")</f>
        <v/>
      </c>
      <c r="P32" s="78" t="str">
        <f t="array" ref="P32">IFERROR(IF(INDEX(Kintoneデータ抽出!L:L, _xlfn.AGGREGATE(15, 6, ROW(Kintoneデータ抽出!$K$2:$K$5000) / ((Kintoneデータ抽出!$K$2:$K$5000="院内")), ROW(A21)))&lt;&gt;"",
IF(COUNTIF(INDEX(Kintoneデータ抽出!L:L, _xlfn.AGGREGATE(15, 6, ROW(Kintoneデータ抽出!$K$2:$K$5000) / ((Kintoneデータ抽出!$K$2:$K$5000="院内")), ROW(A21))),"*企業主導型以外*"),"",
IF(COUNTIF(INDEX(Kintoneデータ抽出!L:L, _xlfn.AGGREGATE(15, 6, ROW(Kintoneデータ抽出!$K$2:$K$5000) / ((Kintoneデータ抽出!$K$2:$K$5000="院内")), ROW(A21))),"*その他*"),"",
IF(COUNTIF(INDEX(Kintoneデータ抽出!L:L, _xlfn.AGGREGATE(15, 6, ROW(Kintoneデータ抽出!$K$2:$K$5000) / ((Kintoneデータ抽出!$K$2:$K$5000="院内")), ROW(A21))),"*新制度*"),"新制度","企業主導型"))),""), "")</f>
        <v/>
      </c>
    </row>
    <row r="33" spans="2:16" ht="34.799999999999997" customHeight="1" x14ac:dyDescent="0.45">
      <c r="D33" s="98" t="str">
        <f>IF(H33&lt;&gt;"",D32+1,D32)</f>
        <v/>
      </c>
      <c r="E33" s="99"/>
      <c r="F33" s="75" t="str">
        <f t="array" ref="F33">IFERROR(INDEX(Kintoneデータ抽出!A:A, _xlfn.AGGREGATE(15, 6, ROW(Kintoneデータ抽出!$K$2:$K$5000) / ((Kintoneデータ抽出!$K$2:$K$5000="小規模") + (Kintoneデータ抽出!$K$2:$K$5000="認可")), ROW(A22))), "")</f>
        <v/>
      </c>
      <c r="G33" s="77" t="str">
        <f t="array" ref="G33">IFERROR(INDEX(Kintoneデータ抽出!D:D, _xlfn.AGGREGATE(15, 6, ROW(Kintoneデータ抽出!$K$2:$K$5000) / ((Kintoneデータ抽出!$K$2:$K$5000="小規模") + (Kintoneデータ抽出!$K$2:$K$5000="認可")), ROW(A22))), "")</f>
        <v/>
      </c>
      <c r="H33" s="77" t="str">
        <f t="array" ref="H33">IFERROR(INDEX(Kintoneデータ抽出!C:C, _xlfn.AGGREGATE(15, 6, ROW(Kintoneデータ抽出!$K$2:$K$5000) / ((Kintoneデータ抽出!$K$2:$K$5000="小規模") + (Kintoneデータ抽出!$K$2:$K$5000="認可")), ROW(A22))), "")</f>
        <v/>
      </c>
      <c r="I33" s="77" t="str">
        <f t="array" ref="I33">IFERROR(IF(INDEX(Kintoneデータ抽出!G:G, _xlfn.AGGREGATE(15, 6, ROW(Kintoneデータ抽出!$K$2:$K$5000) / ((Kintoneデータ抽出!$K$2:$K$5000="小規模") + (Kintoneデータ抽出!$K$2:$K$5000="認可")), ROW(A22)))&lt;&gt;"",INDEX(Kintoneデータ抽出!G:G, _xlfn.AGGREGATE(15, 6, ROW(Kintoneデータ抽出!$K$2:$K$5000) / ((Kintoneデータ抽出!$K$2:$K$5000="小規模") + (Kintoneデータ抽出!$K$2:$K$5000="認可")), ROW(A22)))&amp;"名",""), "")</f>
        <v/>
      </c>
      <c r="J33" s="76" t="str">
        <f t="array" ref="J33">IFERROR(IF(INDEX(Kintoneデータ抽出!E:E, _xlfn.AGGREGATE(15, 6, ROW(Kintoneデータ抽出!$K$2:$K$5000) / ((Kintoneデータ抽出!$K$2:$K$5000="小規模") + (Kintoneデータ抽出!$K$2:$K$5000="認可")), ROW(A22)))&lt;&gt;"",
YEAR(INDEX(Kintoneデータ抽出!E:E, _xlfn.AGGREGATE(15, 6, ROW(Kintoneデータ抽出!$K$2:$K$5000) / ((Kintoneデータ抽出!$K$2:$K$5000="小規模") + (Kintoneデータ抽出!$K$2:$K$5000="認可")), ROW(A22))))&amp;"年"
&amp;MONTH(INDEX(Kintoneデータ抽出!E:E, _xlfn.AGGREGATE(15, 6, ROW(Kintoneデータ抽出!$K$2:$K$5000) / ((Kintoneデータ抽出!$K$2:$K$5000="小規模") + (Kintoneデータ抽出!$K$2:$K$5000="認可")), ROW(A22))))&amp;"月"
&amp;DAY(INDEX(Kintoneデータ抽出!E:E, _xlfn.AGGREGATE(15, 6, ROW(Kintoneデータ抽出!$K$2:$K$5000) / ((Kintoneデータ抽出!$K$2:$K$5000="小規模") + (Kintoneデータ抽出!$K$2:$K$5000="認可")), ROW(A22))))&amp;"日",""), "")</f>
        <v/>
      </c>
      <c r="K33" s="77" t="str" cm="1">
        <f t="array" ref="K33">IFERROR(IF(INDEX(Kintoneデータ抽出!F:F, _xlfn.AGGREGATE(15, 6, ROW(Kintoneデータ抽出!$K$2:$K$5000) / ((Kintoneデータ抽出!$K$2:$K$5000="小規模") + (Kintoneデータ抽出!$K$2:$K$5000="認可")), ROW(A22)))&lt;&gt;"",
VLOOKUP(INDEX(Kintoneデータ抽出!F:F, _xlfn.AGGREGATE(15, 6, ROW(Kintoneデータ抽出!$K$2:$K$5000) / ((Kintoneデータ抽出!$K$2:$K$5000="小規模") + (Kintoneデータ抽出!$K$2:$K$5000="認可")), ROW(A22))),基本開園日の表記!$A$2:$B$13,2,FALSE),""), "")</f>
        <v/>
      </c>
      <c r="L33" s="75" t="str">
        <f t="array" ref="L33">IFERROR(IF(INDEX(Kintoneデータ抽出!F:F, _xlfn.AGGREGATE(15, 6, ROW(Kintoneデータ抽出!$K$2:$K$5000) / ((Kintoneデータ抽出!$K$2:$K$5000="小規模") + (Kintoneデータ抽出!$K$2:$K$5000="認可")), ROW(A22)))&lt;&gt;"",
IF(COUNTIF(INDEX(Kintoneデータ抽出!F:F, _xlfn.AGGREGATE(15, 6, ROW(Kintoneデータ抽出!$K$2:$K$5000) / ((Kintoneデータ抽出!$K$2:$K$5000="小規模") + (Kintoneデータ抽出!$K$2:$K$5000="認可")), ROW(A22))),"*あり*"),"夜間",""),""), "")</f>
        <v/>
      </c>
      <c r="M33" s="75" t="str">
        <f t="array" ref="M33">IFERROR(IF(INDEX(Kintoneデータ抽出!I:I, _xlfn.AGGREGATE(15, 6, ROW(Kintoneデータ抽出!$K$2:$K$5000) / ((Kintoneデータ抽出!$K$2:$K$5000="小規模") + (Kintoneデータ抽出!$K$2:$K$5000="認可")), ROW(A22)))&lt;&gt;"",
IF(COUNTIF(INDEX(Kintoneデータ抽出!I:I, _xlfn.AGGREGATE(15, 6, ROW(Kintoneデータ抽出!$K$2:$K$5000) / ((Kintoneデータ抽出!$K$2:$K$5000="小規模") + (Kintoneデータ抽出!$K$2:$K$5000="認可")), ROW(A22))),"*あり*"),"学童",""),""), "")</f>
        <v/>
      </c>
      <c r="N33" s="75" t="str">
        <f t="array" ref="N33">IFERROR(IF(INDEX(Kintoneデータ抽出!H:H, _xlfn.AGGREGATE(15, 6, ROW(Kintoneデータ抽出!$K$2:$K$5000) / ((Kintoneデータ抽出!$K$2:$K$5000="小規模") + (Kintoneデータ抽出!$K$2:$K$5000="認可")), ROW(A22)))&lt;&gt;"",
IF(COUNTIF(INDEX(Kintoneデータ抽出!H:H, _xlfn.AGGREGATE(15, 6, ROW(Kintoneデータ抽出!$K$2:$K$5000) / ((Kintoneデータ抽出!$K$2:$K$5000="小規模") + (Kintoneデータ抽出!$K$2:$K$5000="認可")), ROW(A22))),"*あり*"),"病児",""),""), "")</f>
        <v/>
      </c>
      <c r="O33" s="75" t="str" cm="1">
        <f t="array" ref="O33">IFERROR(
IF(INDEX(Kintoneデータ抽出!M:M, _xlfn.AGGREGATE(15, 6, ROW(Kintoneデータ抽出!$K$2:$K$5000) / ((Kintoneデータ抽出!$K$2:$K$5000="小規模") + (Kintoneデータ抽出!$K$2:$K$5000="認可")), ROW(A22)))&lt;&gt;0,INDEX(Kintoneデータ抽出!M:M, _xlfn.AGGREGATE(15, 6, ROW(Kintoneデータ抽出!$K$2:$K$5000) / ((Kintoneデータ抽出!$K$2:$K$5000="小規模") + (Kintoneデータ抽出!$K$2:$K$5000="認可")), ROW(A22))),""), "")</f>
        <v/>
      </c>
      <c r="P33" s="78" t="str">
        <f t="array" ref="P33">IFERROR(IF(INDEX(Kintoneデータ抽出!L:L, _xlfn.AGGREGATE(15, 6, ROW(Kintoneデータ抽出!$K$2:$K$5000) / ((Kintoneデータ抽出!$K$2:$K$5000="院内")), ROW(A22)))&lt;&gt;"",
IF(COUNTIF(INDEX(Kintoneデータ抽出!L:L, _xlfn.AGGREGATE(15, 6, ROW(Kintoneデータ抽出!$K$2:$K$5000) / ((Kintoneデータ抽出!$K$2:$K$5000="院内")), ROW(A22))),"*企業主導型以外*"),"",
IF(COUNTIF(INDEX(Kintoneデータ抽出!L:L, _xlfn.AGGREGATE(15, 6, ROW(Kintoneデータ抽出!$K$2:$K$5000) / ((Kintoneデータ抽出!$K$2:$K$5000="院内")), ROW(A22))),"*その他*"),"",
IF(COUNTIF(INDEX(Kintoneデータ抽出!L:L, _xlfn.AGGREGATE(15, 6, ROW(Kintoneデータ抽出!$K$2:$K$5000) / ((Kintoneデータ抽出!$K$2:$K$5000="院内")), ROW(A22))),"*新制度*"),"新制度","企業主導型"))),""), "")</f>
        <v/>
      </c>
    </row>
    <row r="34" spans="2:16" ht="34.799999999999997" customHeight="1" x14ac:dyDescent="0.45">
      <c r="D34" s="98" t="str">
        <f>IF(H34&lt;&gt;"",D33+1,D33)</f>
        <v/>
      </c>
      <c r="E34" s="174"/>
      <c r="F34" s="75" t="str">
        <f t="array" ref="F34">IFERROR(INDEX(Kintoneデータ抽出!A:A, _xlfn.AGGREGATE(15, 6, ROW(Kintoneデータ抽出!$K$2:$K$5000) / ((Kintoneデータ抽出!$K$2:$K$5000="小規模") + (Kintoneデータ抽出!$K$2:$K$5000="認可")), ROW(A23))), "")</f>
        <v/>
      </c>
      <c r="G34" s="77" t="str">
        <f t="array" ref="G34">IFERROR(INDEX(Kintoneデータ抽出!D:D, _xlfn.AGGREGATE(15, 6, ROW(Kintoneデータ抽出!$K$2:$K$5000) / ((Kintoneデータ抽出!$K$2:$K$5000="小規模") + (Kintoneデータ抽出!$K$2:$K$5000="認可")), ROW(A23))), "")</f>
        <v/>
      </c>
      <c r="H34" s="77" t="str">
        <f t="array" ref="H34">IFERROR(INDEX(Kintoneデータ抽出!C:C, _xlfn.AGGREGATE(15, 6, ROW(Kintoneデータ抽出!$K$2:$K$5000) / ((Kintoneデータ抽出!$K$2:$K$5000="小規模") + (Kintoneデータ抽出!$K$2:$K$5000="認可")), ROW(A23))), "")</f>
        <v/>
      </c>
      <c r="I34" s="77" t="str">
        <f t="array" ref="I34">IFERROR(IF(INDEX(Kintoneデータ抽出!G:G, _xlfn.AGGREGATE(15, 6, ROW(Kintoneデータ抽出!$K$2:$K$5000) / ((Kintoneデータ抽出!$K$2:$K$5000="小規模") + (Kintoneデータ抽出!$K$2:$K$5000="認可")), ROW(A23)))&lt;&gt;"",INDEX(Kintoneデータ抽出!G:G, _xlfn.AGGREGATE(15, 6, ROW(Kintoneデータ抽出!$K$2:$K$5000) / ((Kintoneデータ抽出!$K$2:$K$5000="小規模") + (Kintoneデータ抽出!$K$2:$K$5000="認可")), ROW(A23)))&amp;"名",""), "")</f>
        <v/>
      </c>
      <c r="J34" s="76" t="str">
        <f t="array" ref="J34">IFERROR(IF(INDEX(Kintoneデータ抽出!E:E, _xlfn.AGGREGATE(15, 6, ROW(Kintoneデータ抽出!$K$2:$K$5000) / ((Kintoneデータ抽出!$K$2:$K$5000="小規模") + (Kintoneデータ抽出!$K$2:$K$5000="認可")), ROW(A23)))&lt;&gt;"",
YEAR(INDEX(Kintoneデータ抽出!E:E, _xlfn.AGGREGATE(15, 6, ROW(Kintoneデータ抽出!$K$2:$K$5000) / ((Kintoneデータ抽出!$K$2:$K$5000="小規模") + (Kintoneデータ抽出!$K$2:$K$5000="認可")), ROW(A23))))&amp;"年"
&amp;MONTH(INDEX(Kintoneデータ抽出!E:E, _xlfn.AGGREGATE(15, 6, ROW(Kintoneデータ抽出!$K$2:$K$5000) / ((Kintoneデータ抽出!$K$2:$K$5000="小規模") + (Kintoneデータ抽出!$K$2:$K$5000="認可")), ROW(A23))))&amp;"月"
&amp;DAY(INDEX(Kintoneデータ抽出!E:E, _xlfn.AGGREGATE(15, 6, ROW(Kintoneデータ抽出!$K$2:$K$5000) / ((Kintoneデータ抽出!$K$2:$K$5000="小規模") + (Kintoneデータ抽出!$K$2:$K$5000="認可")), ROW(A23))))&amp;"日",""), "")</f>
        <v/>
      </c>
      <c r="K34" s="77" t="str" cm="1">
        <f t="array" ref="K34">IFERROR(IF(INDEX(Kintoneデータ抽出!F:F, _xlfn.AGGREGATE(15, 6, ROW(Kintoneデータ抽出!$K$2:$K$5000) / ((Kintoneデータ抽出!$K$2:$K$5000="小規模") + (Kintoneデータ抽出!$K$2:$K$5000="認可")), ROW(A23)))&lt;&gt;"",
VLOOKUP(INDEX(Kintoneデータ抽出!F:F, _xlfn.AGGREGATE(15, 6, ROW(Kintoneデータ抽出!$K$2:$K$5000) / ((Kintoneデータ抽出!$K$2:$K$5000="小規模") + (Kintoneデータ抽出!$K$2:$K$5000="認可")), ROW(A23))),基本開園日の表記!$A$2:$B$13,2,FALSE),""), "")</f>
        <v/>
      </c>
      <c r="L34" s="75" t="str">
        <f t="array" ref="L34">IFERROR(IF(INDEX(Kintoneデータ抽出!F:F, _xlfn.AGGREGATE(15, 6, ROW(Kintoneデータ抽出!$K$2:$K$5000) / ((Kintoneデータ抽出!$K$2:$K$5000="小規模") + (Kintoneデータ抽出!$K$2:$K$5000="認可")), ROW(A23)))&lt;&gt;"",
IF(COUNTIF(INDEX(Kintoneデータ抽出!F:F, _xlfn.AGGREGATE(15, 6, ROW(Kintoneデータ抽出!$K$2:$K$5000) / ((Kintoneデータ抽出!$K$2:$K$5000="小規模") + (Kintoneデータ抽出!$K$2:$K$5000="認可")), ROW(A23))),"*あり*"),"夜間",""),""), "")</f>
        <v/>
      </c>
      <c r="M34" s="75" t="str">
        <f t="array" ref="M34">IFERROR(IF(INDEX(Kintoneデータ抽出!I:I, _xlfn.AGGREGATE(15, 6, ROW(Kintoneデータ抽出!$K$2:$K$5000) / ((Kintoneデータ抽出!$K$2:$K$5000="小規模") + (Kintoneデータ抽出!$K$2:$K$5000="認可")), ROW(A23)))&lt;&gt;"",
IF(COUNTIF(INDEX(Kintoneデータ抽出!I:I, _xlfn.AGGREGATE(15, 6, ROW(Kintoneデータ抽出!$K$2:$K$5000) / ((Kintoneデータ抽出!$K$2:$K$5000="小規模") + (Kintoneデータ抽出!$K$2:$K$5000="認可")), ROW(A23))),"*あり*"),"学童",""),""), "")</f>
        <v/>
      </c>
      <c r="N34" s="75" t="str">
        <f t="array" ref="N34">IFERROR(IF(INDEX(Kintoneデータ抽出!H:H, _xlfn.AGGREGATE(15, 6, ROW(Kintoneデータ抽出!$K$2:$K$5000) / ((Kintoneデータ抽出!$K$2:$K$5000="小規模") + (Kintoneデータ抽出!$K$2:$K$5000="認可")), ROW(A23)))&lt;&gt;"",
IF(COUNTIF(INDEX(Kintoneデータ抽出!H:H, _xlfn.AGGREGATE(15, 6, ROW(Kintoneデータ抽出!$K$2:$K$5000) / ((Kintoneデータ抽出!$K$2:$K$5000="小規模") + (Kintoneデータ抽出!$K$2:$K$5000="認可")), ROW(A23))),"*あり*"),"病児",""),""), "")</f>
        <v/>
      </c>
      <c r="O34" s="75" t="str" cm="1">
        <f t="array" ref="O34">IFERROR(
IF(INDEX(Kintoneデータ抽出!M:M, _xlfn.AGGREGATE(15, 6, ROW(Kintoneデータ抽出!$K$2:$K$5000) / ((Kintoneデータ抽出!$K$2:$K$5000="小規模") + (Kintoneデータ抽出!$K$2:$K$5000="認可")), ROW(A23)))&lt;&gt;0,INDEX(Kintoneデータ抽出!M:M, _xlfn.AGGREGATE(15, 6, ROW(Kintoneデータ抽出!$K$2:$K$5000) / ((Kintoneデータ抽出!$K$2:$K$5000="小規模") + (Kintoneデータ抽出!$K$2:$K$5000="認可")), ROW(A23))),""), "")</f>
        <v/>
      </c>
      <c r="P34" s="78" t="str">
        <f t="array" ref="P34">IFERROR(IF(INDEX(Kintoneデータ抽出!L:L, _xlfn.AGGREGATE(15, 6, ROW(Kintoneデータ抽出!$K$2:$K$5000) / ((Kintoneデータ抽出!$K$2:$K$5000="院内")), ROW(A23)))&lt;&gt;"",
IF(COUNTIF(INDEX(Kintoneデータ抽出!L:L, _xlfn.AGGREGATE(15, 6, ROW(Kintoneデータ抽出!$K$2:$K$5000) / ((Kintoneデータ抽出!$K$2:$K$5000="院内")), ROW(A23))),"*企業主導型以外*"),"",
IF(COUNTIF(INDEX(Kintoneデータ抽出!L:L, _xlfn.AGGREGATE(15, 6, ROW(Kintoneデータ抽出!$K$2:$K$5000) / ((Kintoneデータ抽出!$K$2:$K$5000="院内")), ROW(A23))),"*その他*"),"",
IF(COUNTIF(INDEX(Kintoneデータ抽出!L:L, _xlfn.AGGREGATE(15, 6, ROW(Kintoneデータ抽出!$K$2:$K$5000) / ((Kintoneデータ抽出!$K$2:$K$5000="院内")), ROW(A23))),"*新制度*"),"新制度","企業主導型"))),""), "")</f>
        <v/>
      </c>
    </row>
    <row r="35" spans="2:16" ht="34.799999999999997" customHeight="1" x14ac:dyDescent="0.45">
      <c r="D35" s="175"/>
      <c r="E35" s="176"/>
      <c r="F35" s="79" t="str">
        <f t="array" ref="F35">IFERROR(INDEX(Kintoneデータ抽出!A:A, _xlfn.AGGREGATE(15, 6, ROW(Kintoneデータ抽出!$K$2:$K$5000) / ((Kintoneデータ抽出!$K$2:$K$5000="小規模") + (Kintoneデータ抽出!$K$2:$K$5000="認可")), ROW(A24))), "")</f>
        <v/>
      </c>
      <c r="G35" s="81" t="str">
        <f t="array" ref="G35">IFERROR(INDEX(Kintoneデータ抽出!D:D, _xlfn.AGGREGATE(15, 6, ROW(Kintoneデータ抽出!$K$2:$K$5000) / ((Kintoneデータ抽出!$K$2:$K$5000="小規模") + (Kintoneデータ抽出!$K$2:$K$5000="認可")), ROW(A24))), "")</f>
        <v/>
      </c>
      <c r="H35" s="81" t="str">
        <f t="array" ref="H35">IFERROR(INDEX(Kintoneデータ抽出!C:C, _xlfn.AGGREGATE(15, 6, ROW(Kintoneデータ抽出!$K$2:$K$5000) / ((Kintoneデータ抽出!$K$2:$K$5000="小規模") + (Kintoneデータ抽出!$K$2:$K$5000="認可")), ROW(A24))), "")</f>
        <v/>
      </c>
      <c r="I35" s="81" t="str">
        <f t="array" ref="I35">IFERROR(IF(INDEX(Kintoneデータ抽出!G:G, _xlfn.AGGREGATE(15, 6, ROW(Kintoneデータ抽出!$K$2:$K$5000) / ((Kintoneデータ抽出!$K$2:$K$5000="小規模") + (Kintoneデータ抽出!$K$2:$K$5000="認可")), ROW(A24)))&lt;&gt;"",INDEX(Kintoneデータ抽出!G:G, _xlfn.AGGREGATE(15, 6, ROW(Kintoneデータ抽出!$K$2:$K$5000) / ((Kintoneデータ抽出!$K$2:$K$5000="小規模") + (Kintoneデータ抽出!$K$2:$K$5000="認可")), ROW(A24)))&amp;"名",""), "")</f>
        <v/>
      </c>
      <c r="J35" s="80" t="str">
        <f t="array" ref="J35">IFERROR(IF(INDEX(Kintoneデータ抽出!E:E, _xlfn.AGGREGATE(15, 6, ROW(Kintoneデータ抽出!$K$2:$K$5000) / ((Kintoneデータ抽出!$K$2:$K$5000="小規模") + (Kintoneデータ抽出!$K$2:$K$5000="認可")), ROW(A24)))&lt;&gt;"",
YEAR(INDEX(Kintoneデータ抽出!E:E, _xlfn.AGGREGATE(15, 6, ROW(Kintoneデータ抽出!$K$2:$K$5000) / ((Kintoneデータ抽出!$K$2:$K$5000="小規模") + (Kintoneデータ抽出!$K$2:$K$5000="認可")), ROW(A24))))&amp;"年"
&amp;MONTH(INDEX(Kintoneデータ抽出!E:E, _xlfn.AGGREGATE(15, 6, ROW(Kintoneデータ抽出!$K$2:$K$5000) / ((Kintoneデータ抽出!$K$2:$K$5000="小規模") + (Kintoneデータ抽出!$K$2:$K$5000="認可")), ROW(A24))))&amp;"月"
&amp;DAY(INDEX(Kintoneデータ抽出!E:E, _xlfn.AGGREGATE(15, 6, ROW(Kintoneデータ抽出!$K$2:$K$5000) / ((Kintoneデータ抽出!$K$2:$K$5000="小規模") + (Kintoneデータ抽出!$K$2:$K$5000="認可")), ROW(A24))))&amp;"日",""), "")</f>
        <v/>
      </c>
      <c r="K35" s="81" t="str" cm="1">
        <f t="array" ref="K35">IFERROR(IF(INDEX(Kintoneデータ抽出!F:F, _xlfn.AGGREGATE(15, 6, ROW(Kintoneデータ抽出!$K$2:$K$5000) / ((Kintoneデータ抽出!$K$2:$K$5000="小規模") + (Kintoneデータ抽出!$K$2:$K$5000="認可")), ROW(A24)))&lt;&gt;"",
VLOOKUP(INDEX(Kintoneデータ抽出!F:F, _xlfn.AGGREGATE(15, 6, ROW(Kintoneデータ抽出!$K$2:$K$5000) / ((Kintoneデータ抽出!$K$2:$K$5000="小規模") + (Kintoneデータ抽出!$K$2:$K$5000="認可")), ROW(A24))),基本開園日の表記!$A$2:$B$13,2,FALSE),""), "")</f>
        <v/>
      </c>
      <c r="L35" s="79" t="str">
        <f t="array" ref="L35">IFERROR(IF(INDEX(Kintoneデータ抽出!F:F, _xlfn.AGGREGATE(15, 6, ROW(Kintoneデータ抽出!$K$2:$K$5000) / ((Kintoneデータ抽出!$K$2:$K$5000="小規模") + (Kintoneデータ抽出!$K$2:$K$5000="認可")), ROW(A24)))&lt;&gt;"",
IF(COUNTIF(INDEX(Kintoneデータ抽出!F:F, _xlfn.AGGREGATE(15, 6, ROW(Kintoneデータ抽出!$K$2:$K$5000) / ((Kintoneデータ抽出!$K$2:$K$5000="小規模") + (Kintoneデータ抽出!$K$2:$K$5000="認可")), ROW(A24))),"*あり*"),"夜間",""),""), "")</f>
        <v/>
      </c>
      <c r="M35" s="79" t="str">
        <f t="array" ref="M35">IFERROR(IF(INDEX(Kintoneデータ抽出!I:I, _xlfn.AGGREGATE(15, 6, ROW(Kintoneデータ抽出!$K$2:$K$5000) / ((Kintoneデータ抽出!$K$2:$K$5000="小規模") + (Kintoneデータ抽出!$K$2:$K$5000="認可")), ROW(A24)))&lt;&gt;"",
IF(COUNTIF(INDEX(Kintoneデータ抽出!I:I, _xlfn.AGGREGATE(15, 6, ROW(Kintoneデータ抽出!$K$2:$K$5000) / ((Kintoneデータ抽出!$K$2:$K$5000="小規模") + (Kintoneデータ抽出!$K$2:$K$5000="認可")), ROW(A24))),"*あり*"),"学童",""),""), "")</f>
        <v/>
      </c>
      <c r="N35" s="79" t="str">
        <f t="array" ref="N35">IFERROR(IF(INDEX(Kintoneデータ抽出!H:H, _xlfn.AGGREGATE(15, 6, ROW(Kintoneデータ抽出!$K$2:$K$5000) / ((Kintoneデータ抽出!$K$2:$K$5000="小規模") + (Kintoneデータ抽出!$K$2:$K$5000="認可")), ROW(A24)))&lt;&gt;"",
IF(COUNTIF(INDEX(Kintoneデータ抽出!H:H, _xlfn.AGGREGATE(15, 6, ROW(Kintoneデータ抽出!$K$2:$K$5000) / ((Kintoneデータ抽出!$K$2:$K$5000="小規模") + (Kintoneデータ抽出!$K$2:$K$5000="認可")), ROW(A24))),"*あり*"),"病児",""),""), "")</f>
        <v/>
      </c>
      <c r="O35" s="79" t="str" cm="1">
        <f t="array" ref="O35">IFERROR(
IF(INDEX(Kintoneデータ抽出!M:M, _xlfn.AGGREGATE(15, 6, ROW(Kintoneデータ抽出!$K$2:$K$5000) / ((Kintoneデータ抽出!$K$2:$K$5000="小規模") + (Kintoneデータ抽出!$K$2:$K$5000="認可")), ROW(A24)))&lt;&gt;0,INDEX(Kintoneデータ抽出!M:M, _xlfn.AGGREGATE(15, 6, ROW(Kintoneデータ抽出!$K$2:$K$5000) / ((Kintoneデータ抽出!$K$2:$K$5000="小規模") + (Kintoneデータ抽出!$K$2:$K$5000="認可")), ROW(A24))),""), "")</f>
        <v/>
      </c>
      <c r="P35" s="82" t="str">
        <f t="array" ref="P35">IFERROR(IF(INDEX(Kintoneデータ抽出!L:L, _xlfn.AGGREGATE(15, 6, ROW(Kintoneデータ抽出!$K$2:$K$5000) / ((Kintoneデータ抽出!$K$2:$K$5000="院内")), ROW(A24)))&lt;&gt;"",
IF(COUNTIF(INDEX(Kintoneデータ抽出!L:L, _xlfn.AGGREGATE(15, 6, ROW(Kintoneデータ抽出!$K$2:$K$5000) / ((Kintoneデータ抽出!$K$2:$K$5000="院内")), ROW(A24))),"*企業主導型以外*"),"",
IF(COUNTIF(INDEX(Kintoneデータ抽出!L:L, _xlfn.AGGREGATE(15, 6, ROW(Kintoneデータ抽出!$K$2:$K$5000) / ((Kintoneデータ抽出!$K$2:$K$5000="院内")), ROW(A24))),"*その他*"),"",
IF(COUNTIF(INDEX(Kintoneデータ抽出!L:L, _xlfn.AGGREGATE(15, 6, ROW(Kintoneデータ抽出!$K$2:$K$5000) / ((Kintoneデータ抽出!$K$2:$K$5000="院内")), ROW(A24))),"*新制度*"),"新制度","企業主導型"))),""), "")</f>
        <v/>
      </c>
    </row>
    <row r="36" spans="2:16" ht="25.8" customHeight="1" x14ac:dyDescent="0.45">
      <c r="B36" s="103" t="s">
        <v>39</v>
      </c>
      <c r="C36" s="104"/>
      <c r="D36" s="104"/>
      <c r="E36" s="104"/>
      <c r="F36" s="104"/>
      <c r="G36" s="104"/>
      <c r="H36" s="104"/>
      <c r="N36" s="38" t="s">
        <v>29</v>
      </c>
    </row>
    <row r="37" spans="2:16" ht="34.799999999999997" customHeight="1" x14ac:dyDescent="0.45">
      <c r="B37" s="111"/>
      <c r="C37" s="112"/>
      <c r="D37" s="102" t="s">
        <v>31</v>
      </c>
      <c r="E37" s="101"/>
      <c r="F37" s="37" t="s">
        <v>32</v>
      </c>
      <c r="G37" s="37" t="s">
        <v>1</v>
      </c>
      <c r="H37" s="37" t="s">
        <v>0</v>
      </c>
      <c r="I37" s="37" t="s">
        <v>33</v>
      </c>
      <c r="J37" s="42" t="s">
        <v>2</v>
      </c>
      <c r="K37" s="102" t="s">
        <v>34</v>
      </c>
      <c r="L37" s="101"/>
      <c r="M37" s="101"/>
      <c r="N37" s="101"/>
      <c r="O37" s="37" t="s">
        <v>3</v>
      </c>
      <c r="P37" s="39" t="s">
        <v>35</v>
      </c>
    </row>
    <row r="38" spans="2:16" ht="34.799999999999997" customHeight="1" x14ac:dyDescent="0.45">
      <c r="B38" s="53" t="s">
        <v>40</v>
      </c>
      <c r="C38" s="44"/>
      <c r="D38" s="109" t="str">
        <f>IF(H38&lt;&gt;"",D34+1,D34)</f>
        <v/>
      </c>
      <c r="E38" s="110"/>
      <c r="F38" s="71" t="str">
        <f t="array" ref="F38">IFERROR(INDEX(Kintoneデータ抽出!A:A, _xlfn.AGGREGATE(15, 6, ROW(Kintoneデータ抽出!$K$2:$K$5000) / ((Kintoneデータ抽出!$K$2:$K$5000="院内")), ROW(A1))), "")</f>
        <v/>
      </c>
      <c r="G38" s="73" t="str">
        <f t="array" ref="G38">IFERROR(INDEX(Kintoneデータ抽出!D:D, _xlfn.AGGREGATE(15, 6, ROW(Kintoneデータ抽出!$K$2:$K$5000) / ((Kintoneデータ抽出!$K$2:$K$5000="院内")), ROW(A1))), "")</f>
        <v/>
      </c>
      <c r="H38" s="73" t="str">
        <f t="array" ref="H38">IFERROR(INDEX(Kintoneデータ抽出!C:C, _xlfn.AGGREGATE(15, 6, ROW(Kintoneデータ抽出!$K$2:$K$5000) / ((Kintoneデータ抽出!$K$2:$K$5000="院内")), ROW(A1))), "")</f>
        <v/>
      </c>
      <c r="I38" s="71" t="str">
        <f t="array" ref="I38">IFERROR(IF(INDEX(Kintoneデータ抽出!G:G, _xlfn.AGGREGATE(15, 6, ROW(Kintoneデータ抽出!$K$2:$K$5000) / ((Kintoneデータ抽出!$K$2:$K$5000="院内")), ROW(A1)))&lt;&gt;"",INDEX(Kintoneデータ抽出!G:G, _xlfn.AGGREGATE(15, 6, ROW(Kintoneデータ抽出!$K$2:$K$5000) / ((Kintoneデータ抽出!$K$2:$K$5000="院内")), ROW(A1)))&amp;"名",""), "")</f>
        <v/>
      </c>
      <c r="J38" s="72" t="str">
        <f t="array" ref="J38">IFERROR(IF(INDEX(Kintoneデータ抽出!E:E, _xlfn.AGGREGATE(15, 6, ROW(Kintoneデータ抽出!$K$2:$K$5000) / ((Kintoneデータ抽出!$K$2:$K$5000="院内")), ROW(A1)))&lt;&gt;"",
YEAR(INDEX(Kintoneデータ抽出!E:E, _xlfn.AGGREGATE(15, 6, ROW(Kintoneデータ抽出!$K$2:$K$5000) / ((Kintoneデータ抽出!$K$2:$K$5000="院内")), ROW(A1))))&amp;"年"
&amp;MONTH(INDEX(Kintoneデータ抽出!E:E, _xlfn.AGGREGATE(15, 6, ROW(Kintoneデータ抽出!$K$2:$K$5000) / ((Kintoneデータ抽出!$K$2:$K$5000="院内")), ROW(A1))))&amp;"月"
&amp;DAY(INDEX(Kintoneデータ抽出!E:E, _xlfn.AGGREGATE(15, 6, ROW(Kintoneデータ抽出!$K$2:$K$5000) /((Kintoneデータ抽出!$K$2:$K$5000="院内")), ROW(A1))))&amp;"日",""), "")</f>
        <v/>
      </c>
      <c r="K38" s="73" t="str" cm="1">
        <f t="array" ref="K38">IFERROR(IF(INDEX(Kintoneデータ抽出!F:F, _xlfn.AGGREGATE(15, 6, ROW(Kintoneデータ抽出!$K$2:$K$5000) / ((Kintoneデータ抽出!$K$2:$K$5000="院内")), ROW(A1)))&lt;&gt;"",
VLOOKUP(INDEX(Kintoneデータ抽出!F:F, _xlfn.AGGREGATE(15, 6, ROW(Kintoneデータ抽出!$K$2:$K$5000) / ((Kintoneデータ抽出!$K$2:$K$5000="院内")), ROW(A1))),基本開園日の表記!$A$2:$B$13,2,FALSE),""), "")</f>
        <v/>
      </c>
      <c r="L38" s="71" t="str">
        <f t="array" ref="L38">IFERROR(IF(INDEX(Kintoneデータ抽出!F:F, _xlfn.AGGREGATE(15, 6, ROW(Kintoneデータ抽出!$K$2:$K$5000) / ((Kintoneデータ抽出!$K$2:$K$5000="院内")), ROW(A1)))&lt;&gt;"",
IF(COUNTIF(INDEX(Kintoneデータ抽出!F:F, _xlfn.AGGREGATE(15, 6, ROW(Kintoneデータ抽出!$K$2:$K$5000) / ((Kintoneデータ抽出!$K$2:$K$5000="院内")), ROW(A1))),"*あり*"),"夜間",""),""), "")</f>
        <v/>
      </c>
      <c r="M38" s="71" t="str">
        <f t="array" ref="M38">IFERROR(IF(INDEX(Kintoneデータ抽出!I:I, _xlfn.AGGREGATE(15, 6, ROW(Kintoneデータ抽出!$K$2:$K$5000) / ((Kintoneデータ抽出!$K$2:$K$5000="院内")), ROW(A1)))&lt;&gt;"",
IF(COUNTIF(INDEX(Kintoneデータ抽出!I:I, _xlfn.AGGREGATE(15, 6, ROW(Kintoneデータ抽出!$K$2:$K$5000) / ((Kintoneデータ抽出!$K$2:$K$5000="院内")), ROW(A1))),"*あり*"),"学童",""),""), "")</f>
        <v/>
      </c>
      <c r="N38" s="71" t="str">
        <f t="array" ref="N38">IFERROR(IF(INDEX(Kintoneデータ抽出!H:H, _xlfn.AGGREGATE(15, 6, ROW(Kintoneデータ抽出!$K$2:$K$5000) / ((Kintoneデータ抽出!$K$2:$K$5000="院内")), ROW(A1)))&lt;&gt;"",
IF(COUNTIF(INDEX(Kintoneデータ抽出!H:H, _xlfn.AGGREGATE(15, 6, ROW(Kintoneデータ抽出!$K$2:$K$5000) / ((Kintoneデータ抽出!$K$2:$K$5000="院内")), ROW(A1))),"*あり*"),"病児",""),""), "")</f>
        <v/>
      </c>
      <c r="O38" s="93" t="str" cm="1">
        <f t="array" ref="O38">IFERROR(
IF(INDEX(Kintoneデータ抽出!M:M, _xlfn.AGGREGATE(15, 6, ROW(Kintoneデータ抽出!$K$2:$K$5000) / ((Kintoneデータ抽出!$K$2:$K$5000="院内")), ROW(A1)))&lt;&gt;0,INDEX(Kintoneデータ抽出!M:M, _xlfn.AGGREGATE(15, 6, ROW(Kintoneデータ抽出!$K$2:$K$5000) / ((Kintoneデータ抽出!$K$2:$K$5000="院内")), ROW(A1))),""), "")</f>
        <v/>
      </c>
      <c r="P38" s="74" t="str">
        <f t="array" ref="P38">IFERROR(IF(INDEX(Kintoneデータ抽出!L:L, _xlfn.AGGREGATE(15, 6, ROW(Kintoneデータ抽出!$K$2:$K$5000) / ((Kintoneデータ抽出!$K$2:$K$5000="院内")), ROW(A1)))&lt;&gt;"",
IF(COUNTIF(INDEX(Kintoneデータ抽出!L:L, _xlfn.AGGREGATE(15, 6, ROW(Kintoneデータ抽出!$K$2:$K$5000) / ((Kintoneデータ抽出!$K$2:$K$5000="院内")), ROW(A1))),"*企業主導型以外*"),"",
IF(COUNTIF(INDEX(Kintoneデータ抽出!L:L, _xlfn.AGGREGATE(15, 6, ROW(Kintoneデータ抽出!$K$2:$K$5000) / ((Kintoneデータ抽出!$K$2:$K$5000="院内")), ROW(A1))),"*その他*"),"",
IF(COUNTIF(INDEX(Kintoneデータ抽出!L:L, _xlfn.AGGREGATE(15, 6, ROW(Kintoneデータ抽出!$K$2:$K$5000) / ((Kintoneデータ抽出!$K$2:$K$5000="院内")), ROW(A1))),"*新制度*"),"新制度","企業主導型"))),""), "")</f>
        <v/>
      </c>
    </row>
    <row r="39" spans="2:16" ht="34.799999999999997" customHeight="1" x14ac:dyDescent="0.45">
      <c r="B39" s="45"/>
      <c r="C39" s="46"/>
      <c r="D39" s="98" t="str">
        <f t="shared" ref="D39:D102" si="1">IF(H39&lt;&gt;"",D38+1,D38)</f>
        <v/>
      </c>
      <c r="E39" s="99"/>
      <c r="F39" s="75" t="str">
        <f t="array" ref="F39">IFERROR(INDEX(Kintoneデータ抽出!A:A, _xlfn.AGGREGATE(15, 6, ROW(Kintoneデータ抽出!$K$2:$K$5000) / ((Kintoneデータ抽出!$K$2:$K$5000="院内")), ROW(A2))), "")</f>
        <v/>
      </c>
      <c r="G39" s="77" t="str">
        <f t="array" ref="G39">IFERROR(INDEX(Kintoneデータ抽出!D:D, _xlfn.AGGREGATE(15, 6, ROW(Kintoneデータ抽出!$K$2:$K$5000) / ((Kintoneデータ抽出!$K$2:$K$5000="院内")), ROW(A2))), "")</f>
        <v/>
      </c>
      <c r="H39" s="77" t="str">
        <f t="array" ref="H39">IFERROR(INDEX(Kintoneデータ抽出!C:C, _xlfn.AGGREGATE(15, 6, ROW(Kintoneデータ抽出!$K$2:$K$5000) / ((Kintoneデータ抽出!$K$2:$K$5000="院内")), ROW(A2))), "")</f>
        <v/>
      </c>
      <c r="I39" s="75" t="str">
        <f t="array" ref="I39">IFERROR(IF(INDEX(Kintoneデータ抽出!G:G, _xlfn.AGGREGATE(15, 6, ROW(Kintoneデータ抽出!$K$2:$K$5000) / ((Kintoneデータ抽出!$K$2:$K$5000="院内")), ROW(A2)))&lt;&gt;"",INDEX(Kintoneデータ抽出!G:G, _xlfn.AGGREGATE(15, 6, ROW(Kintoneデータ抽出!$K$2:$K$5000) / ((Kintoneデータ抽出!$K$2:$K$5000="院内")), ROW(A2)))&amp;"名",""), "")</f>
        <v/>
      </c>
      <c r="J39" s="76" t="str">
        <f t="array" ref="J39">IFERROR(IF(INDEX(Kintoneデータ抽出!E:E, _xlfn.AGGREGATE(15, 6, ROW(Kintoneデータ抽出!$K$2:$K$5000) / ((Kintoneデータ抽出!$K$2:$K$5000="院内")), ROW(A2)))&lt;&gt;"",
YEAR(INDEX(Kintoneデータ抽出!E:E, _xlfn.AGGREGATE(15, 6, ROW(Kintoneデータ抽出!$K$2:$K$5000) / ((Kintoneデータ抽出!$K$2:$K$5000="院内")), ROW(A2))))&amp;"年"
&amp;MONTH(INDEX(Kintoneデータ抽出!E:E, _xlfn.AGGREGATE(15, 6, ROW(Kintoneデータ抽出!$K$2:$K$5000) / ((Kintoneデータ抽出!$K$2:$K$5000="院内")), ROW(A2))))&amp;"月"
&amp;DAY(INDEX(Kintoneデータ抽出!E:E, _xlfn.AGGREGATE(15, 6, ROW(Kintoneデータ抽出!$K$2:$K$5000) /((Kintoneデータ抽出!$K$2:$K$5000="院内")), ROW(A2))))&amp;"日",""), "")</f>
        <v/>
      </c>
      <c r="K39" s="77" t="str" cm="1">
        <f t="array" ref="K39">IFERROR(IF(INDEX(Kintoneデータ抽出!F:F, _xlfn.AGGREGATE(15, 6, ROW(Kintoneデータ抽出!$K$2:$K$5000) / ((Kintoneデータ抽出!$K$2:$K$5000="院内")), ROW(A2)))&lt;&gt;"",
VLOOKUP(INDEX(Kintoneデータ抽出!F:F, _xlfn.AGGREGATE(15, 6, ROW(Kintoneデータ抽出!$K$2:$K$5000) / ((Kintoneデータ抽出!$K$2:$K$5000="院内")), ROW(A2))),基本開園日の表記!$A$2:$B$13,2,FALSE),""), "")</f>
        <v/>
      </c>
      <c r="L39" s="75" t="str">
        <f t="array" ref="L39">IFERROR(IF(INDEX(Kintoneデータ抽出!F:F, _xlfn.AGGREGATE(15, 6, ROW(Kintoneデータ抽出!$K$2:$K$5000) / ((Kintoneデータ抽出!$K$2:$K$5000="院内")), ROW(A2)))&lt;&gt;"",
IF(COUNTIF(INDEX(Kintoneデータ抽出!F:F, _xlfn.AGGREGATE(15, 6, ROW(Kintoneデータ抽出!$K$2:$K$5000) / ((Kintoneデータ抽出!$K$2:$K$5000="院内")), ROW(A2))),"*あり*"),"夜間",""),""), "")</f>
        <v/>
      </c>
      <c r="M39" s="75" t="str">
        <f t="array" ref="M39">IFERROR(IF(INDEX(Kintoneデータ抽出!I:I, _xlfn.AGGREGATE(15, 6, ROW(Kintoneデータ抽出!$K$2:$K$5000) / ((Kintoneデータ抽出!$K$2:$K$5000="院内")), ROW(A2)))&lt;&gt;"",
IF(COUNTIF(INDEX(Kintoneデータ抽出!I:I, _xlfn.AGGREGATE(15, 6, ROW(Kintoneデータ抽出!$K$2:$K$5000) / ((Kintoneデータ抽出!$K$2:$K$5000="院内")), ROW(A2))),"*あり*"),"学童",""),""), "")</f>
        <v/>
      </c>
      <c r="N39" s="75" t="str">
        <f t="array" ref="N39">IFERROR(IF(INDEX(Kintoneデータ抽出!H:H, _xlfn.AGGREGATE(15, 6, ROW(Kintoneデータ抽出!$K$2:$K$5000) / ((Kintoneデータ抽出!$K$2:$K$5000="院内")), ROW(A2)))&lt;&gt;"",
IF(COUNTIF(INDEX(Kintoneデータ抽出!H:H, _xlfn.AGGREGATE(15, 6, ROW(Kintoneデータ抽出!$K$2:$K$5000) / ((Kintoneデータ抽出!$K$2:$K$5000="院内")), ROW(A2))),"*あり*"),"病児",""),""), "")</f>
        <v/>
      </c>
      <c r="O39" s="94" t="str" cm="1">
        <f t="array" ref="O39">IFERROR(
IF(INDEX(Kintoneデータ抽出!M:M, _xlfn.AGGREGATE(15, 6, ROW(Kintoneデータ抽出!$K$2:$K$5000) / ((Kintoneデータ抽出!$K$2:$K$5000="院内")), ROW(A2)))&lt;&gt;0,INDEX(Kintoneデータ抽出!M:M, _xlfn.AGGREGATE(15, 6, ROW(Kintoneデータ抽出!$K$2:$K$5000) / ((Kintoneデータ抽出!$K$2:$K$5000="院内")), ROW(A2))),""), "")</f>
        <v/>
      </c>
      <c r="P39" s="78" t="str">
        <f t="array" ref="P39">IFERROR(IF(INDEX(Kintoneデータ抽出!L:L, _xlfn.AGGREGATE(15, 6, ROW(Kintoneデータ抽出!$K$2:$K$5000) / ((Kintoneデータ抽出!$K$2:$K$5000="院内")), ROW(A2)))&lt;&gt;"",
IF(COUNTIF(INDEX(Kintoneデータ抽出!L:L, _xlfn.AGGREGATE(15, 6, ROW(Kintoneデータ抽出!$K$2:$K$5000) / ((Kintoneデータ抽出!$K$2:$K$5000="院内")), ROW(A2))),"*企業主導型以外*"),"",
IF(COUNTIF(INDEX(Kintoneデータ抽出!L:L, _xlfn.AGGREGATE(15, 6, ROW(Kintoneデータ抽出!$K$2:$K$5000) / ((Kintoneデータ抽出!$K$2:$K$5000="院内")), ROW(A2))),"*その他*"),"",
IF(COUNTIF(INDEX(Kintoneデータ抽出!L:L, _xlfn.AGGREGATE(15, 6, ROW(Kintoneデータ抽出!$K$2:$K$5000) / ((Kintoneデータ抽出!$K$2:$K$5000="院内")), ROW(A2))),"*新制度*"),"新制度","企業主導型"))),""), "")</f>
        <v/>
      </c>
    </row>
    <row r="40" spans="2:16" ht="34.799999999999997" customHeight="1" x14ac:dyDescent="0.45">
      <c r="B40" s="45"/>
      <c r="C40" s="46"/>
      <c r="D40" s="98" t="str">
        <f t="shared" si="1"/>
        <v/>
      </c>
      <c r="E40" s="99"/>
      <c r="F40" s="75" t="str">
        <f t="array" ref="F40">IFERROR(INDEX(Kintoneデータ抽出!A:A, _xlfn.AGGREGATE(15, 6, ROW(Kintoneデータ抽出!$K$2:$K$5000) / ((Kintoneデータ抽出!$K$2:$K$5000="院内")), ROW(A3))), "")</f>
        <v/>
      </c>
      <c r="G40" s="77" t="str">
        <f t="array" ref="G40">IFERROR(INDEX(Kintoneデータ抽出!D:D, _xlfn.AGGREGATE(15, 6, ROW(Kintoneデータ抽出!$K$2:$K$5000) / ((Kintoneデータ抽出!$K$2:$K$5000="院内")), ROW(A3))), "")</f>
        <v/>
      </c>
      <c r="H40" s="77" t="str">
        <f t="array" ref="H40">IFERROR(INDEX(Kintoneデータ抽出!C:C, _xlfn.AGGREGATE(15, 6, ROW(Kintoneデータ抽出!$K$2:$K$5000) / ((Kintoneデータ抽出!$K$2:$K$5000="院内")), ROW(A3))), "")</f>
        <v/>
      </c>
      <c r="I40" s="75" t="str">
        <f t="array" ref="I40">IFERROR(IF(INDEX(Kintoneデータ抽出!G:G, _xlfn.AGGREGATE(15, 6, ROW(Kintoneデータ抽出!$K$2:$K$5000) / ((Kintoneデータ抽出!$K$2:$K$5000="院内")), ROW(A3)))&lt;&gt;"",INDEX(Kintoneデータ抽出!G:G, _xlfn.AGGREGATE(15, 6, ROW(Kintoneデータ抽出!$K$2:$K$5000) / ((Kintoneデータ抽出!$K$2:$K$5000="院内")), ROW(A3)))&amp;"名",""), "")</f>
        <v/>
      </c>
      <c r="J40" s="76" t="str">
        <f t="array" ref="J40">IFERROR(IF(INDEX(Kintoneデータ抽出!E:E, _xlfn.AGGREGATE(15, 6, ROW(Kintoneデータ抽出!$K$2:$K$5000) / ((Kintoneデータ抽出!$K$2:$K$5000="院内")), ROW(A3)))&lt;&gt;"",
YEAR(INDEX(Kintoneデータ抽出!E:E, _xlfn.AGGREGATE(15, 6, ROW(Kintoneデータ抽出!$K$2:$K$5000) / ((Kintoneデータ抽出!$K$2:$K$5000="院内")), ROW(A3))))&amp;"年"
&amp;MONTH(INDEX(Kintoneデータ抽出!E:E, _xlfn.AGGREGATE(15, 6, ROW(Kintoneデータ抽出!$K$2:$K$5000) / ((Kintoneデータ抽出!$K$2:$K$5000="院内")), ROW(A3))))&amp;"月"
&amp;DAY(INDEX(Kintoneデータ抽出!E:E, _xlfn.AGGREGATE(15, 6, ROW(Kintoneデータ抽出!$K$2:$K$5000) /((Kintoneデータ抽出!$K$2:$K$5000="院内")), ROW(A3))))&amp;"日",""), "")</f>
        <v/>
      </c>
      <c r="K40" s="77" t="str" cm="1">
        <f t="array" ref="K40">IFERROR(IF(INDEX(Kintoneデータ抽出!F:F, _xlfn.AGGREGATE(15, 6, ROW(Kintoneデータ抽出!$K$2:$K$5000) / ((Kintoneデータ抽出!$K$2:$K$5000="院内")), ROW(A3)))&lt;&gt;"",
VLOOKUP(INDEX(Kintoneデータ抽出!F:F, _xlfn.AGGREGATE(15, 6, ROW(Kintoneデータ抽出!$K$2:$K$5000) / ((Kintoneデータ抽出!$K$2:$K$5000="院内")), ROW(A3))),基本開園日の表記!$A$2:$B$13,2,FALSE),""), "")</f>
        <v/>
      </c>
      <c r="L40" s="75" t="str">
        <f t="array" ref="L40">IFERROR(IF(INDEX(Kintoneデータ抽出!F:F, _xlfn.AGGREGATE(15, 6, ROW(Kintoneデータ抽出!$K$2:$K$5000) / ((Kintoneデータ抽出!$K$2:$K$5000="院内")), ROW(A3)))&lt;&gt;"",
IF(COUNTIF(INDEX(Kintoneデータ抽出!F:F, _xlfn.AGGREGATE(15, 6, ROW(Kintoneデータ抽出!$K$2:$K$5000) / ((Kintoneデータ抽出!$K$2:$K$5000="院内")), ROW(A3))),"*あり*"),"夜間",""),""), "")</f>
        <v/>
      </c>
      <c r="M40" s="75" t="str">
        <f t="array" ref="M40">IFERROR(IF(INDEX(Kintoneデータ抽出!I:I, _xlfn.AGGREGATE(15, 6, ROW(Kintoneデータ抽出!$K$2:$K$5000) / ((Kintoneデータ抽出!$K$2:$K$5000="院内")), ROW(A3)))&lt;&gt;"",
IF(COUNTIF(INDEX(Kintoneデータ抽出!I:I, _xlfn.AGGREGATE(15, 6, ROW(Kintoneデータ抽出!$K$2:$K$5000) / ((Kintoneデータ抽出!$K$2:$K$5000="院内")), ROW(A3))),"*あり*"),"学童",""),""), "")</f>
        <v/>
      </c>
      <c r="N40" s="75" t="str">
        <f t="array" ref="N40">IFERROR(IF(INDEX(Kintoneデータ抽出!H:H, _xlfn.AGGREGATE(15, 6, ROW(Kintoneデータ抽出!$K$2:$K$5000) / ((Kintoneデータ抽出!$K$2:$K$5000="院内")), ROW(A3)))&lt;&gt;"",
IF(COUNTIF(INDEX(Kintoneデータ抽出!H:H, _xlfn.AGGREGATE(15, 6, ROW(Kintoneデータ抽出!$K$2:$K$5000) / ((Kintoneデータ抽出!$K$2:$K$5000="院内")), ROW(A3))),"*あり*"),"病児",""),""), "")</f>
        <v/>
      </c>
      <c r="O40" s="94" t="str" cm="1">
        <f t="array" ref="O40">IFERROR(
IF(INDEX(Kintoneデータ抽出!M:M, _xlfn.AGGREGATE(15, 6, ROW(Kintoneデータ抽出!$K$2:$K$5000) / ((Kintoneデータ抽出!$K$2:$K$5000="院内")), ROW(A3)))&lt;&gt;0,INDEX(Kintoneデータ抽出!M:M, _xlfn.AGGREGATE(15, 6, ROW(Kintoneデータ抽出!$K$2:$K$5000) / ((Kintoneデータ抽出!$K$2:$K$5000="院内")), ROW(A3))),""), "")</f>
        <v/>
      </c>
      <c r="P40" s="78" t="str">
        <f t="array" ref="P40">IFERROR(IF(INDEX(Kintoneデータ抽出!L:L, _xlfn.AGGREGATE(15, 6, ROW(Kintoneデータ抽出!$K$2:$K$5000) / ((Kintoneデータ抽出!$K$2:$K$5000="院内")), ROW(A3)))&lt;&gt;"",
IF(COUNTIF(INDEX(Kintoneデータ抽出!L:L, _xlfn.AGGREGATE(15, 6, ROW(Kintoneデータ抽出!$K$2:$K$5000) / ((Kintoneデータ抽出!$K$2:$K$5000="院内")), ROW(A3))),"*企業主導型以外*"),"",
IF(COUNTIF(INDEX(Kintoneデータ抽出!L:L, _xlfn.AGGREGATE(15, 6, ROW(Kintoneデータ抽出!$K$2:$K$5000) / ((Kintoneデータ抽出!$K$2:$K$5000="院内")), ROW(A3))),"*その他*"),"",
IF(COUNTIF(INDEX(Kintoneデータ抽出!L:L, _xlfn.AGGREGATE(15, 6, ROW(Kintoneデータ抽出!$K$2:$K$5000) / ((Kintoneデータ抽出!$K$2:$K$5000="院内")), ROW(A3))),"*新制度*"),"新制度","企業主導型"))),""), "")</f>
        <v/>
      </c>
    </row>
    <row r="41" spans="2:16" ht="34.799999999999997" customHeight="1" x14ac:dyDescent="0.45">
      <c r="B41" s="45"/>
      <c r="C41" s="46"/>
      <c r="D41" s="98" t="str">
        <f t="shared" si="1"/>
        <v/>
      </c>
      <c r="E41" s="99"/>
      <c r="F41" s="75" t="str">
        <f t="array" ref="F41">IFERROR(INDEX(Kintoneデータ抽出!A:A, _xlfn.AGGREGATE(15, 6, ROW(Kintoneデータ抽出!$K$2:$K$5000) / ((Kintoneデータ抽出!$K$2:$K$5000="院内")), ROW(A4))), "")</f>
        <v/>
      </c>
      <c r="G41" s="77" t="str">
        <f t="array" ref="G41">IFERROR(INDEX(Kintoneデータ抽出!D:D, _xlfn.AGGREGATE(15, 6, ROW(Kintoneデータ抽出!$K$2:$K$5000) / ((Kintoneデータ抽出!$K$2:$K$5000="院内")), ROW(A4))), "")</f>
        <v/>
      </c>
      <c r="H41" s="77" t="str">
        <f t="array" ref="H41">IFERROR(INDEX(Kintoneデータ抽出!C:C, _xlfn.AGGREGATE(15, 6, ROW(Kintoneデータ抽出!$K$2:$K$5000) / ((Kintoneデータ抽出!$K$2:$K$5000="院内")), ROW(A4))), "")</f>
        <v/>
      </c>
      <c r="I41" s="75" t="str">
        <f t="array" ref="I41">IFERROR(IF(INDEX(Kintoneデータ抽出!G:G, _xlfn.AGGREGATE(15, 6, ROW(Kintoneデータ抽出!$K$2:$K$5000) / ((Kintoneデータ抽出!$K$2:$K$5000="院内")), ROW(A4)))&lt;&gt;"",INDEX(Kintoneデータ抽出!G:G, _xlfn.AGGREGATE(15, 6, ROW(Kintoneデータ抽出!$K$2:$K$5000) / ((Kintoneデータ抽出!$K$2:$K$5000="院内")), ROW(A4)))&amp;"名",""), "")</f>
        <v/>
      </c>
      <c r="J41" s="76" t="str">
        <f t="array" ref="J41">IFERROR(IF(INDEX(Kintoneデータ抽出!E:E, _xlfn.AGGREGATE(15, 6, ROW(Kintoneデータ抽出!$K$2:$K$5000) / ((Kintoneデータ抽出!$K$2:$K$5000="院内")), ROW(A4)))&lt;&gt;"",
YEAR(INDEX(Kintoneデータ抽出!E:E, _xlfn.AGGREGATE(15, 6, ROW(Kintoneデータ抽出!$K$2:$K$5000) / ((Kintoneデータ抽出!$K$2:$K$5000="院内")), ROW(A4))))&amp;"年"
&amp;MONTH(INDEX(Kintoneデータ抽出!E:E, _xlfn.AGGREGATE(15, 6, ROW(Kintoneデータ抽出!$K$2:$K$5000) / ((Kintoneデータ抽出!$K$2:$K$5000="院内")), ROW(A4))))&amp;"月"
&amp;DAY(INDEX(Kintoneデータ抽出!E:E, _xlfn.AGGREGATE(15, 6, ROW(Kintoneデータ抽出!$K$2:$K$5000) /((Kintoneデータ抽出!$K$2:$K$5000="院内")), ROW(A4))))&amp;"日",""), "")</f>
        <v/>
      </c>
      <c r="K41" s="77" t="str" cm="1">
        <f t="array" ref="K41">IFERROR(IF(INDEX(Kintoneデータ抽出!F:F, _xlfn.AGGREGATE(15, 6, ROW(Kintoneデータ抽出!$K$2:$K$5000) / ((Kintoneデータ抽出!$K$2:$K$5000="院内")), ROW(A4)))&lt;&gt;"",
VLOOKUP(INDEX(Kintoneデータ抽出!F:F, _xlfn.AGGREGATE(15, 6, ROW(Kintoneデータ抽出!$K$2:$K$5000) / ((Kintoneデータ抽出!$K$2:$K$5000="院内")), ROW(A4))),基本開園日の表記!$A$2:$B$13,2,FALSE),""), "")</f>
        <v/>
      </c>
      <c r="L41" s="75" t="str">
        <f t="array" ref="L41">IFERROR(IF(INDEX(Kintoneデータ抽出!F:F, _xlfn.AGGREGATE(15, 6, ROW(Kintoneデータ抽出!$K$2:$K$5000) / ((Kintoneデータ抽出!$K$2:$K$5000="院内")), ROW(A4)))&lt;&gt;"",
IF(COUNTIF(INDEX(Kintoneデータ抽出!F:F, _xlfn.AGGREGATE(15, 6, ROW(Kintoneデータ抽出!$K$2:$K$5000) / ((Kintoneデータ抽出!$K$2:$K$5000="院内")), ROW(A4))),"*あり*"),"夜間",""),""), "")</f>
        <v/>
      </c>
      <c r="M41" s="75" t="str">
        <f t="array" ref="M41">IFERROR(IF(INDEX(Kintoneデータ抽出!I:I, _xlfn.AGGREGATE(15, 6, ROW(Kintoneデータ抽出!$K$2:$K$5000) / ((Kintoneデータ抽出!$K$2:$K$5000="院内")), ROW(A4)))&lt;&gt;"",
IF(COUNTIF(INDEX(Kintoneデータ抽出!I:I, _xlfn.AGGREGATE(15, 6, ROW(Kintoneデータ抽出!$K$2:$K$5000) / ((Kintoneデータ抽出!$K$2:$K$5000="院内")), ROW(A4))),"*あり*"),"学童",""),""), "")</f>
        <v/>
      </c>
      <c r="N41" s="75" t="str">
        <f t="array" ref="N41">IFERROR(IF(INDEX(Kintoneデータ抽出!H:H, _xlfn.AGGREGATE(15, 6, ROW(Kintoneデータ抽出!$K$2:$K$5000) / ((Kintoneデータ抽出!$K$2:$K$5000="院内")), ROW(A4)))&lt;&gt;"",
IF(COUNTIF(INDEX(Kintoneデータ抽出!H:H, _xlfn.AGGREGATE(15, 6, ROW(Kintoneデータ抽出!$K$2:$K$5000) / ((Kintoneデータ抽出!$K$2:$K$5000="院内")), ROW(A4))),"*あり*"),"病児",""),""), "")</f>
        <v/>
      </c>
      <c r="O41" s="94" t="str" cm="1">
        <f t="array" ref="O41">IFERROR(
IF(INDEX(Kintoneデータ抽出!M:M, _xlfn.AGGREGATE(15, 6, ROW(Kintoneデータ抽出!$K$2:$K$5000) / ((Kintoneデータ抽出!$K$2:$K$5000="院内")), ROW(A4)))&lt;&gt;0,INDEX(Kintoneデータ抽出!M:M, _xlfn.AGGREGATE(15, 6, ROW(Kintoneデータ抽出!$K$2:$K$5000) / ((Kintoneデータ抽出!$K$2:$K$5000="院内")), ROW(A4))),""), "")</f>
        <v/>
      </c>
      <c r="P41" s="78" t="str">
        <f t="array" ref="P41">IFERROR(IF(INDEX(Kintoneデータ抽出!L:L, _xlfn.AGGREGATE(15, 6, ROW(Kintoneデータ抽出!$K$2:$K$5000) / ((Kintoneデータ抽出!$K$2:$K$5000="院内")), ROW(A4)))&lt;&gt;"",
IF(COUNTIF(INDEX(Kintoneデータ抽出!L:L, _xlfn.AGGREGATE(15, 6, ROW(Kintoneデータ抽出!$K$2:$K$5000) / ((Kintoneデータ抽出!$K$2:$K$5000="院内")), ROW(A4))),"*企業主導型以外*"),"",
IF(COUNTIF(INDEX(Kintoneデータ抽出!L:L, _xlfn.AGGREGATE(15, 6, ROW(Kintoneデータ抽出!$K$2:$K$5000) / ((Kintoneデータ抽出!$K$2:$K$5000="院内")), ROW(A4))),"*その他*"),"",
IF(COUNTIF(INDEX(Kintoneデータ抽出!L:L, _xlfn.AGGREGATE(15, 6, ROW(Kintoneデータ抽出!$K$2:$K$5000) / ((Kintoneデータ抽出!$K$2:$K$5000="院内")), ROW(A4))),"*新制度*"),"新制度","企業主導型"))),""), "")</f>
        <v/>
      </c>
    </row>
    <row r="42" spans="2:16" ht="34.799999999999997" customHeight="1" x14ac:dyDescent="0.45">
      <c r="B42" s="45"/>
      <c r="C42" s="46"/>
      <c r="D42" s="98" t="str">
        <f t="shared" si="1"/>
        <v/>
      </c>
      <c r="E42" s="99"/>
      <c r="F42" s="75" t="str">
        <f t="array" ref="F42">IFERROR(INDEX(Kintoneデータ抽出!A:A, _xlfn.AGGREGATE(15, 6, ROW(Kintoneデータ抽出!$K$2:$K$5000) / ((Kintoneデータ抽出!$K$2:$K$5000="院内")), ROW(A5))), "")</f>
        <v/>
      </c>
      <c r="G42" s="77" t="str">
        <f t="array" ref="G42">IFERROR(INDEX(Kintoneデータ抽出!D:D, _xlfn.AGGREGATE(15, 6, ROW(Kintoneデータ抽出!$K$2:$K$5000) / ((Kintoneデータ抽出!$K$2:$K$5000="院内")), ROW(A5))), "")</f>
        <v/>
      </c>
      <c r="H42" s="77" t="str">
        <f t="array" ref="H42">IFERROR(INDEX(Kintoneデータ抽出!C:C, _xlfn.AGGREGATE(15, 6, ROW(Kintoneデータ抽出!$K$2:$K$5000) / ((Kintoneデータ抽出!$K$2:$K$5000="院内")), ROW(A5))), "")</f>
        <v/>
      </c>
      <c r="I42" s="75" t="str">
        <f t="array" ref="I42">IFERROR(IF(INDEX(Kintoneデータ抽出!G:G, _xlfn.AGGREGATE(15, 6, ROW(Kintoneデータ抽出!$K$2:$K$5000) / ((Kintoneデータ抽出!$K$2:$K$5000="院内")), ROW(A5)))&lt;&gt;"",INDEX(Kintoneデータ抽出!G:G, _xlfn.AGGREGATE(15, 6, ROW(Kintoneデータ抽出!$K$2:$K$5000) / ((Kintoneデータ抽出!$K$2:$K$5000="院内")), ROW(A5)))&amp;"名",""), "")</f>
        <v/>
      </c>
      <c r="J42" s="76" t="str">
        <f t="array" ref="J42">IFERROR(IF(INDEX(Kintoneデータ抽出!E:E, _xlfn.AGGREGATE(15, 6, ROW(Kintoneデータ抽出!$K$2:$K$5000) / ((Kintoneデータ抽出!$K$2:$K$5000="院内")), ROW(A5)))&lt;&gt;"",
YEAR(INDEX(Kintoneデータ抽出!E:E, _xlfn.AGGREGATE(15, 6, ROW(Kintoneデータ抽出!$K$2:$K$5000) / ((Kintoneデータ抽出!$K$2:$K$5000="院内")), ROW(A5))))&amp;"年"
&amp;MONTH(INDEX(Kintoneデータ抽出!E:E, _xlfn.AGGREGATE(15, 6, ROW(Kintoneデータ抽出!$K$2:$K$5000) / ((Kintoneデータ抽出!$K$2:$K$5000="院内")), ROW(A5))))&amp;"月"
&amp;DAY(INDEX(Kintoneデータ抽出!E:E, _xlfn.AGGREGATE(15, 6, ROW(Kintoneデータ抽出!$K$2:$K$5000) /((Kintoneデータ抽出!$K$2:$K$5000="院内")), ROW(A5))))&amp;"日",""), "")</f>
        <v/>
      </c>
      <c r="K42" s="77" t="str" cm="1">
        <f t="array" ref="K42">IFERROR(IF(INDEX(Kintoneデータ抽出!F:F, _xlfn.AGGREGATE(15, 6, ROW(Kintoneデータ抽出!$K$2:$K$5000) / ((Kintoneデータ抽出!$K$2:$K$5000="院内")), ROW(A5)))&lt;&gt;"",
VLOOKUP(INDEX(Kintoneデータ抽出!F:F, _xlfn.AGGREGATE(15, 6, ROW(Kintoneデータ抽出!$K$2:$K$5000) / ((Kintoneデータ抽出!$K$2:$K$5000="院内")), ROW(A5))),基本開園日の表記!$A$2:$B$13,2,FALSE),""), "")</f>
        <v/>
      </c>
      <c r="L42" s="75" t="str">
        <f t="array" ref="L42">IFERROR(IF(INDEX(Kintoneデータ抽出!F:F, _xlfn.AGGREGATE(15, 6, ROW(Kintoneデータ抽出!$K$2:$K$5000) / ((Kintoneデータ抽出!$K$2:$K$5000="院内")), ROW(A5)))&lt;&gt;"",
IF(COUNTIF(INDEX(Kintoneデータ抽出!F:F, _xlfn.AGGREGATE(15, 6, ROW(Kintoneデータ抽出!$K$2:$K$5000) / ((Kintoneデータ抽出!$K$2:$K$5000="院内")), ROW(A5))),"*あり*"),"夜間",""),""), "")</f>
        <v/>
      </c>
      <c r="M42" s="75" t="str">
        <f t="array" ref="M42">IFERROR(IF(INDEX(Kintoneデータ抽出!I:I, _xlfn.AGGREGATE(15, 6, ROW(Kintoneデータ抽出!$K$2:$K$5000) / ((Kintoneデータ抽出!$K$2:$K$5000="院内")), ROW(A5)))&lt;&gt;"",
IF(COUNTIF(INDEX(Kintoneデータ抽出!I:I, _xlfn.AGGREGATE(15, 6, ROW(Kintoneデータ抽出!$K$2:$K$5000) / ((Kintoneデータ抽出!$K$2:$K$5000="院内")), ROW(A5))),"*あり*"),"学童",""),""), "")</f>
        <v/>
      </c>
      <c r="N42" s="75" t="str">
        <f t="array" ref="N42">IFERROR(IF(INDEX(Kintoneデータ抽出!H:H, _xlfn.AGGREGATE(15, 6, ROW(Kintoneデータ抽出!$K$2:$K$5000) / ((Kintoneデータ抽出!$K$2:$K$5000="院内")), ROW(A5)))&lt;&gt;"",
IF(COUNTIF(INDEX(Kintoneデータ抽出!H:H, _xlfn.AGGREGATE(15, 6, ROW(Kintoneデータ抽出!$K$2:$K$5000) / ((Kintoneデータ抽出!$K$2:$K$5000="院内")), ROW(A5))),"*あり*"),"病児",""),""), "")</f>
        <v/>
      </c>
      <c r="O42" s="94" t="str" cm="1">
        <f t="array" ref="O42">IFERROR(
IF(INDEX(Kintoneデータ抽出!M:M, _xlfn.AGGREGATE(15, 6, ROW(Kintoneデータ抽出!$K$2:$K$5000) / ((Kintoneデータ抽出!$K$2:$K$5000="院内")), ROW(A5)))&lt;&gt;0,INDEX(Kintoneデータ抽出!M:M, _xlfn.AGGREGATE(15, 6, ROW(Kintoneデータ抽出!$K$2:$K$5000) / ((Kintoneデータ抽出!$K$2:$K$5000="院内")), ROW(A5))),""), "")</f>
        <v/>
      </c>
      <c r="P42" s="78" t="str">
        <f t="array" ref="P42">IFERROR(IF(INDEX(Kintoneデータ抽出!L:L, _xlfn.AGGREGATE(15, 6, ROW(Kintoneデータ抽出!$K$2:$K$5000) / ((Kintoneデータ抽出!$K$2:$K$5000="院内")), ROW(A5)))&lt;&gt;"",
IF(COUNTIF(INDEX(Kintoneデータ抽出!L:L, _xlfn.AGGREGATE(15, 6, ROW(Kintoneデータ抽出!$K$2:$K$5000) / ((Kintoneデータ抽出!$K$2:$K$5000="院内")), ROW(A5))),"*企業主導型以外*"),"",
IF(COUNTIF(INDEX(Kintoneデータ抽出!L:L, _xlfn.AGGREGATE(15, 6, ROW(Kintoneデータ抽出!$K$2:$K$5000) / ((Kintoneデータ抽出!$K$2:$K$5000="院内")), ROW(A5))),"*その他*"),"",
IF(COUNTIF(INDEX(Kintoneデータ抽出!L:L, _xlfn.AGGREGATE(15, 6, ROW(Kintoneデータ抽出!$K$2:$K$5000) / ((Kintoneデータ抽出!$K$2:$K$5000="院内")), ROW(A5))),"*新制度*"),"新制度","企業主導型"))),""), "")</f>
        <v/>
      </c>
    </row>
    <row r="43" spans="2:16" ht="34.799999999999997" customHeight="1" x14ac:dyDescent="0.45">
      <c r="B43" s="45"/>
      <c r="C43" s="46"/>
      <c r="D43" s="98" t="str">
        <f t="shared" si="1"/>
        <v/>
      </c>
      <c r="E43" s="99"/>
      <c r="F43" s="75" t="str">
        <f t="array" ref="F43">IFERROR(INDEX(Kintoneデータ抽出!A:A, _xlfn.AGGREGATE(15, 6, ROW(Kintoneデータ抽出!$K$2:$K$5000) / ((Kintoneデータ抽出!$K$2:$K$5000="院内")), ROW(A6))), "")</f>
        <v/>
      </c>
      <c r="G43" s="77" t="str">
        <f t="array" ref="G43">IFERROR(INDEX(Kintoneデータ抽出!D:D, _xlfn.AGGREGATE(15, 6, ROW(Kintoneデータ抽出!$K$2:$K$5000) / ((Kintoneデータ抽出!$K$2:$K$5000="院内")), ROW(A6))), "")</f>
        <v/>
      </c>
      <c r="H43" s="77" t="str">
        <f t="array" ref="H43">IFERROR(INDEX(Kintoneデータ抽出!C:C, _xlfn.AGGREGATE(15, 6, ROW(Kintoneデータ抽出!$K$2:$K$5000) / ((Kintoneデータ抽出!$K$2:$K$5000="院内")), ROW(A6))), "")</f>
        <v/>
      </c>
      <c r="I43" s="75" t="str">
        <f t="array" ref="I43">IFERROR(IF(INDEX(Kintoneデータ抽出!G:G, _xlfn.AGGREGATE(15, 6, ROW(Kintoneデータ抽出!$K$2:$K$5000) / ((Kintoneデータ抽出!$K$2:$K$5000="院内")), ROW(A6)))&lt;&gt;"",INDEX(Kintoneデータ抽出!G:G, _xlfn.AGGREGATE(15, 6, ROW(Kintoneデータ抽出!$K$2:$K$5000) / ((Kintoneデータ抽出!$K$2:$K$5000="院内")), ROW(A6)))&amp;"名",""), "")</f>
        <v/>
      </c>
      <c r="J43" s="76" t="str">
        <f t="array" ref="J43">IFERROR(IF(INDEX(Kintoneデータ抽出!E:E, _xlfn.AGGREGATE(15, 6, ROW(Kintoneデータ抽出!$K$2:$K$5000) / ((Kintoneデータ抽出!$K$2:$K$5000="院内")), ROW(A6)))&lt;&gt;"",
YEAR(INDEX(Kintoneデータ抽出!E:E, _xlfn.AGGREGATE(15, 6, ROW(Kintoneデータ抽出!$K$2:$K$5000) / ((Kintoneデータ抽出!$K$2:$K$5000="院内")), ROW(A6))))&amp;"年"
&amp;MONTH(INDEX(Kintoneデータ抽出!E:E, _xlfn.AGGREGATE(15, 6, ROW(Kintoneデータ抽出!$K$2:$K$5000) / ((Kintoneデータ抽出!$K$2:$K$5000="院内")), ROW(A6))))&amp;"月"
&amp;DAY(INDEX(Kintoneデータ抽出!E:E, _xlfn.AGGREGATE(15, 6, ROW(Kintoneデータ抽出!$K$2:$K$5000) /((Kintoneデータ抽出!$K$2:$K$5000="院内")), ROW(A6))))&amp;"日",""), "")</f>
        <v/>
      </c>
      <c r="K43" s="77" t="str" cm="1">
        <f t="array" ref="K43">IFERROR(IF(INDEX(Kintoneデータ抽出!F:F, _xlfn.AGGREGATE(15, 6, ROW(Kintoneデータ抽出!$K$2:$K$5000) / ((Kintoneデータ抽出!$K$2:$K$5000="院内")), ROW(A6)))&lt;&gt;"",
VLOOKUP(INDEX(Kintoneデータ抽出!F:F, _xlfn.AGGREGATE(15, 6, ROW(Kintoneデータ抽出!$K$2:$K$5000) / ((Kintoneデータ抽出!$K$2:$K$5000="院内")), ROW(A6))),基本開園日の表記!$A$2:$B$13,2,FALSE),""), "")</f>
        <v/>
      </c>
      <c r="L43" s="75" t="str">
        <f t="array" ref="L43">IFERROR(IF(INDEX(Kintoneデータ抽出!F:F, _xlfn.AGGREGATE(15, 6, ROW(Kintoneデータ抽出!$K$2:$K$5000) / ((Kintoneデータ抽出!$K$2:$K$5000="院内")), ROW(A6)))&lt;&gt;"",
IF(COUNTIF(INDEX(Kintoneデータ抽出!F:F, _xlfn.AGGREGATE(15, 6, ROW(Kintoneデータ抽出!$K$2:$K$5000) / ((Kintoneデータ抽出!$K$2:$K$5000="院内")), ROW(A6))),"*あり*"),"夜間",""),""), "")</f>
        <v/>
      </c>
      <c r="M43" s="75" t="str">
        <f t="array" ref="M43">IFERROR(IF(INDEX(Kintoneデータ抽出!I:I, _xlfn.AGGREGATE(15, 6, ROW(Kintoneデータ抽出!$K$2:$K$5000) / ((Kintoneデータ抽出!$K$2:$K$5000="院内")), ROW(A6)))&lt;&gt;"",
IF(COUNTIF(INDEX(Kintoneデータ抽出!I:I, _xlfn.AGGREGATE(15, 6, ROW(Kintoneデータ抽出!$K$2:$K$5000) / ((Kintoneデータ抽出!$K$2:$K$5000="院内")), ROW(A6))),"*あり*"),"学童",""),""), "")</f>
        <v/>
      </c>
      <c r="N43" s="75" t="str">
        <f t="array" ref="N43">IFERROR(IF(INDEX(Kintoneデータ抽出!H:H, _xlfn.AGGREGATE(15, 6, ROW(Kintoneデータ抽出!$K$2:$K$5000) / ((Kintoneデータ抽出!$K$2:$K$5000="院内")), ROW(A6)))&lt;&gt;"",
IF(COUNTIF(INDEX(Kintoneデータ抽出!H:H, _xlfn.AGGREGATE(15, 6, ROW(Kintoneデータ抽出!$K$2:$K$5000) / ((Kintoneデータ抽出!$K$2:$K$5000="院内")), ROW(A6))),"*あり*"),"病児",""),""), "")</f>
        <v/>
      </c>
      <c r="O43" s="94" t="str" cm="1">
        <f t="array" ref="O43">IFERROR(
IF(INDEX(Kintoneデータ抽出!M:M, _xlfn.AGGREGATE(15, 6, ROW(Kintoneデータ抽出!$K$2:$K$5000) / ((Kintoneデータ抽出!$K$2:$K$5000="院内")), ROW(A6)))&lt;&gt;0,INDEX(Kintoneデータ抽出!M:M, _xlfn.AGGREGATE(15, 6, ROW(Kintoneデータ抽出!$K$2:$K$5000) / ((Kintoneデータ抽出!$K$2:$K$5000="院内")), ROW(A6))),""), "")</f>
        <v/>
      </c>
      <c r="P43" s="78" t="str">
        <f t="array" ref="P43">IFERROR(IF(INDEX(Kintoneデータ抽出!L:L, _xlfn.AGGREGATE(15, 6, ROW(Kintoneデータ抽出!$K$2:$K$5000) / ((Kintoneデータ抽出!$K$2:$K$5000="院内")), ROW(A6)))&lt;&gt;"",
IF(COUNTIF(INDEX(Kintoneデータ抽出!L:L, _xlfn.AGGREGATE(15, 6, ROW(Kintoneデータ抽出!$K$2:$K$5000) / ((Kintoneデータ抽出!$K$2:$K$5000="院内")), ROW(A6))),"*企業主導型以外*"),"",
IF(COUNTIF(INDEX(Kintoneデータ抽出!L:L, _xlfn.AGGREGATE(15, 6, ROW(Kintoneデータ抽出!$K$2:$K$5000) / ((Kintoneデータ抽出!$K$2:$K$5000="院内")), ROW(A6))),"*その他*"),"",
IF(COUNTIF(INDEX(Kintoneデータ抽出!L:L, _xlfn.AGGREGATE(15, 6, ROW(Kintoneデータ抽出!$K$2:$K$5000) / ((Kintoneデータ抽出!$K$2:$K$5000="院内")), ROW(A6))),"*新制度*"),"新制度","企業主導型"))),""), "")</f>
        <v/>
      </c>
    </row>
    <row r="44" spans="2:16" ht="34.799999999999997" customHeight="1" x14ac:dyDescent="0.45">
      <c r="B44" s="45"/>
      <c r="C44" s="46"/>
      <c r="D44" s="98" t="str">
        <f t="shared" si="1"/>
        <v/>
      </c>
      <c r="E44" s="99"/>
      <c r="F44" s="75" t="str">
        <f t="array" ref="F44">IFERROR(INDEX(Kintoneデータ抽出!A:A, _xlfn.AGGREGATE(15, 6, ROW(Kintoneデータ抽出!$K$2:$K$5000) / ((Kintoneデータ抽出!$K$2:$K$5000="院内")), ROW(A7))), "")</f>
        <v/>
      </c>
      <c r="G44" s="77" t="str">
        <f t="array" ref="G44">IFERROR(INDEX(Kintoneデータ抽出!D:D, _xlfn.AGGREGATE(15, 6, ROW(Kintoneデータ抽出!$K$2:$K$5000) / ((Kintoneデータ抽出!$K$2:$K$5000="院内")), ROW(A7))), "")</f>
        <v/>
      </c>
      <c r="H44" s="77" t="str">
        <f t="array" ref="H44">IFERROR(INDEX(Kintoneデータ抽出!C:C, _xlfn.AGGREGATE(15, 6, ROW(Kintoneデータ抽出!$K$2:$K$5000) / ((Kintoneデータ抽出!$K$2:$K$5000="院内")), ROW(A7))), "")</f>
        <v/>
      </c>
      <c r="I44" s="75" t="str">
        <f t="array" ref="I44">IFERROR(IF(INDEX(Kintoneデータ抽出!G:G, _xlfn.AGGREGATE(15, 6, ROW(Kintoneデータ抽出!$K$2:$K$5000) / ((Kintoneデータ抽出!$K$2:$K$5000="院内")), ROW(A7)))&lt;&gt;"",INDEX(Kintoneデータ抽出!G:G, _xlfn.AGGREGATE(15, 6, ROW(Kintoneデータ抽出!$K$2:$K$5000) / ((Kintoneデータ抽出!$K$2:$K$5000="院内")), ROW(A7)))&amp;"名",""), "")</f>
        <v/>
      </c>
      <c r="J44" s="76" t="str">
        <f t="array" ref="J44">IFERROR(IF(INDEX(Kintoneデータ抽出!E:E, _xlfn.AGGREGATE(15, 6, ROW(Kintoneデータ抽出!$K$2:$K$5000) / ((Kintoneデータ抽出!$K$2:$K$5000="院内")), ROW(A7)))&lt;&gt;"",
YEAR(INDEX(Kintoneデータ抽出!E:E, _xlfn.AGGREGATE(15, 6, ROW(Kintoneデータ抽出!$K$2:$K$5000) / ((Kintoneデータ抽出!$K$2:$K$5000="院内")), ROW(A7))))&amp;"年"
&amp;MONTH(INDEX(Kintoneデータ抽出!E:E, _xlfn.AGGREGATE(15, 6, ROW(Kintoneデータ抽出!$K$2:$K$5000) / ((Kintoneデータ抽出!$K$2:$K$5000="院内")), ROW(A7))))&amp;"月"
&amp;DAY(INDEX(Kintoneデータ抽出!E:E, _xlfn.AGGREGATE(15, 6, ROW(Kintoneデータ抽出!$K$2:$K$5000) /((Kintoneデータ抽出!$K$2:$K$5000="院内")), ROW(A7))))&amp;"日",""), "")</f>
        <v/>
      </c>
      <c r="K44" s="77" t="str" cm="1">
        <f t="array" ref="K44">IFERROR(IF(INDEX(Kintoneデータ抽出!F:F, _xlfn.AGGREGATE(15, 6, ROW(Kintoneデータ抽出!$K$2:$K$5000) / ((Kintoneデータ抽出!$K$2:$K$5000="院内")), ROW(A7)))&lt;&gt;"",
VLOOKUP(INDEX(Kintoneデータ抽出!F:F, _xlfn.AGGREGATE(15, 6, ROW(Kintoneデータ抽出!$K$2:$K$5000) / ((Kintoneデータ抽出!$K$2:$K$5000="院内")), ROW(A7))),基本開園日の表記!$A$2:$B$13,2,FALSE),""), "")</f>
        <v/>
      </c>
      <c r="L44" s="75" t="str">
        <f t="array" ref="L44">IFERROR(IF(INDEX(Kintoneデータ抽出!F:F, _xlfn.AGGREGATE(15, 6, ROW(Kintoneデータ抽出!$K$2:$K$5000) / ((Kintoneデータ抽出!$K$2:$K$5000="院内")), ROW(A7)))&lt;&gt;"",
IF(COUNTIF(INDEX(Kintoneデータ抽出!F:F, _xlfn.AGGREGATE(15, 6, ROW(Kintoneデータ抽出!$K$2:$K$5000) / ((Kintoneデータ抽出!$K$2:$K$5000="院内")), ROW(A7))),"*あり*"),"夜間",""),""), "")</f>
        <v/>
      </c>
      <c r="M44" s="75" t="str">
        <f t="array" ref="M44">IFERROR(IF(INDEX(Kintoneデータ抽出!I:I, _xlfn.AGGREGATE(15, 6, ROW(Kintoneデータ抽出!$K$2:$K$5000) / ((Kintoneデータ抽出!$K$2:$K$5000="院内")), ROW(A7)))&lt;&gt;"",
IF(COUNTIF(INDEX(Kintoneデータ抽出!I:I, _xlfn.AGGREGATE(15, 6, ROW(Kintoneデータ抽出!$K$2:$K$5000) / ((Kintoneデータ抽出!$K$2:$K$5000="院内")), ROW(A7))),"*あり*"),"学童",""),""), "")</f>
        <v/>
      </c>
      <c r="N44" s="75" t="str">
        <f t="array" ref="N44">IFERROR(IF(INDEX(Kintoneデータ抽出!H:H, _xlfn.AGGREGATE(15, 6, ROW(Kintoneデータ抽出!$K$2:$K$5000) / ((Kintoneデータ抽出!$K$2:$K$5000="院内")), ROW(A7)))&lt;&gt;"",
IF(COUNTIF(INDEX(Kintoneデータ抽出!H:H, _xlfn.AGGREGATE(15, 6, ROW(Kintoneデータ抽出!$K$2:$K$5000) / ((Kintoneデータ抽出!$K$2:$K$5000="院内")), ROW(A7))),"*あり*"),"病児",""),""), "")</f>
        <v/>
      </c>
      <c r="O44" s="94" t="str" cm="1">
        <f t="array" ref="O44">IFERROR(
IF(INDEX(Kintoneデータ抽出!M:M, _xlfn.AGGREGATE(15, 6, ROW(Kintoneデータ抽出!$K$2:$K$5000) / ((Kintoneデータ抽出!$K$2:$K$5000="院内")), ROW(A7)))&lt;&gt;0,INDEX(Kintoneデータ抽出!M:M, _xlfn.AGGREGATE(15, 6, ROW(Kintoneデータ抽出!$K$2:$K$5000) / ((Kintoneデータ抽出!$K$2:$K$5000="院内")), ROW(A7))),""), "")</f>
        <v/>
      </c>
      <c r="P44" s="78" t="str">
        <f t="array" ref="P44">IFERROR(IF(INDEX(Kintoneデータ抽出!L:L, _xlfn.AGGREGATE(15, 6, ROW(Kintoneデータ抽出!$K$2:$K$5000) / ((Kintoneデータ抽出!$K$2:$K$5000="院内")), ROW(A7)))&lt;&gt;"",
IF(COUNTIF(INDEX(Kintoneデータ抽出!L:L, _xlfn.AGGREGATE(15, 6, ROW(Kintoneデータ抽出!$K$2:$K$5000) / ((Kintoneデータ抽出!$K$2:$K$5000="院内")), ROW(A7))),"*企業主導型以外*"),"",
IF(COUNTIF(INDEX(Kintoneデータ抽出!L:L, _xlfn.AGGREGATE(15, 6, ROW(Kintoneデータ抽出!$K$2:$K$5000) / ((Kintoneデータ抽出!$K$2:$K$5000="院内")), ROW(A7))),"*その他*"),"",
IF(COUNTIF(INDEX(Kintoneデータ抽出!L:L, _xlfn.AGGREGATE(15, 6, ROW(Kintoneデータ抽出!$K$2:$K$5000) / ((Kintoneデータ抽出!$K$2:$K$5000="院内")), ROW(A7))),"*新制度*"),"新制度","企業主導型"))),""), "")</f>
        <v/>
      </c>
    </row>
    <row r="45" spans="2:16" ht="34.799999999999997" customHeight="1" x14ac:dyDescent="0.45">
      <c r="B45" s="45"/>
      <c r="C45" s="46"/>
      <c r="D45" s="98" t="str">
        <f t="shared" si="1"/>
        <v/>
      </c>
      <c r="E45" s="99"/>
      <c r="F45" s="75" t="str">
        <f t="array" ref="F45">IFERROR(INDEX(Kintoneデータ抽出!A:A, _xlfn.AGGREGATE(15, 6, ROW(Kintoneデータ抽出!$K$2:$K$5000) / ((Kintoneデータ抽出!$K$2:$K$5000="院内")), ROW(A8))), "")</f>
        <v/>
      </c>
      <c r="G45" s="77" t="str">
        <f t="array" ref="G45">IFERROR(INDEX(Kintoneデータ抽出!D:D, _xlfn.AGGREGATE(15, 6, ROW(Kintoneデータ抽出!$K$2:$K$5000) / ((Kintoneデータ抽出!$K$2:$K$5000="院内")), ROW(A8))), "")</f>
        <v/>
      </c>
      <c r="H45" s="77" t="str">
        <f t="array" ref="H45">IFERROR(INDEX(Kintoneデータ抽出!C:C, _xlfn.AGGREGATE(15, 6, ROW(Kintoneデータ抽出!$K$2:$K$5000) / ((Kintoneデータ抽出!$K$2:$K$5000="院内")), ROW(A8))), "")</f>
        <v/>
      </c>
      <c r="I45" s="75" t="str">
        <f t="array" ref="I45">IFERROR(IF(INDEX(Kintoneデータ抽出!G:G, _xlfn.AGGREGATE(15, 6, ROW(Kintoneデータ抽出!$K$2:$K$5000) / ((Kintoneデータ抽出!$K$2:$K$5000="院内")), ROW(A8)))&lt;&gt;"",INDEX(Kintoneデータ抽出!G:G, _xlfn.AGGREGATE(15, 6, ROW(Kintoneデータ抽出!$K$2:$K$5000) / ((Kintoneデータ抽出!$K$2:$K$5000="院内")), ROW(A8)))&amp;"名",""), "")</f>
        <v/>
      </c>
      <c r="J45" s="76" t="str">
        <f t="array" ref="J45">IFERROR(IF(INDEX(Kintoneデータ抽出!E:E, _xlfn.AGGREGATE(15, 6, ROW(Kintoneデータ抽出!$K$2:$K$5000) / ((Kintoneデータ抽出!$K$2:$K$5000="院内")), ROW(A8)))&lt;&gt;"",
YEAR(INDEX(Kintoneデータ抽出!E:E, _xlfn.AGGREGATE(15, 6, ROW(Kintoneデータ抽出!$K$2:$K$5000) / ((Kintoneデータ抽出!$K$2:$K$5000="院内")), ROW(A8))))&amp;"年"
&amp;MONTH(INDEX(Kintoneデータ抽出!E:E, _xlfn.AGGREGATE(15, 6, ROW(Kintoneデータ抽出!$K$2:$K$5000) / ((Kintoneデータ抽出!$K$2:$K$5000="院内")), ROW(A8))))&amp;"月"
&amp;DAY(INDEX(Kintoneデータ抽出!E:E, _xlfn.AGGREGATE(15, 6, ROW(Kintoneデータ抽出!$K$2:$K$5000) /((Kintoneデータ抽出!$K$2:$K$5000="院内")), ROW(A8))))&amp;"日",""), "")</f>
        <v/>
      </c>
      <c r="K45" s="77" t="str" cm="1">
        <f t="array" ref="K45">IFERROR(IF(INDEX(Kintoneデータ抽出!F:F, _xlfn.AGGREGATE(15, 6, ROW(Kintoneデータ抽出!$K$2:$K$5000) / ((Kintoneデータ抽出!$K$2:$K$5000="院内")), ROW(A8)))&lt;&gt;"",
VLOOKUP(INDEX(Kintoneデータ抽出!F:F, _xlfn.AGGREGATE(15, 6, ROW(Kintoneデータ抽出!$K$2:$K$5000) / ((Kintoneデータ抽出!$K$2:$K$5000="院内")), ROW(A8))),基本開園日の表記!$A$2:$B$13,2,FALSE),""), "")</f>
        <v/>
      </c>
      <c r="L45" s="75" t="str">
        <f t="array" ref="L45">IFERROR(IF(INDEX(Kintoneデータ抽出!F:F, _xlfn.AGGREGATE(15, 6, ROW(Kintoneデータ抽出!$K$2:$K$5000) / ((Kintoneデータ抽出!$K$2:$K$5000="院内")), ROW(A8)))&lt;&gt;"",
IF(COUNTIF(INDEX(Kintoneデータ抽出!F:F, _xlfn.AGGREGATE(15, 6, ROW(Kintoneデータ抽出!$K$2:$K$5000) / ((Kintoneデータ抽出!$K$2:$K$5000="院内")), ROW(A8))),"*あり*"),"夜間",""),""), "")</f>
        <v/>
      </c>
      <c r="M45" s="75" t="str">
        <f t="array" ref="M45">IFERROR(IF(INDEX(Kintoneデータ抽出!I:I, _xlfn.AGGREGATE(15, 6, ROW(Kintoneデータ抽出!$K$2:$K$5000) / ((Kintoneデータ抽出!$K$2:$K$5000="院内")), ROW(A8)))&lt;&gt;"",
IF(COUNTIF(INDEX(Kintoneデータ抽出!I:I, _xlfn.AGGREGATE(15, 6, ROW(Kintoneデータ抽出!$K$2:$K$5000) / ((Kintoneデータ抽出!$K$2:$K$5000="院内")), ROW(A8))),"*あり*"),"学童",""),""), "")</f>
        <v/>
      </c>
      <c r="N45" s="75" t="str">
        <f t="array" ref="N45">IFERROR(IF(INDEX(Kintoneデータ抽出!H:H, _xlfn.AGGREGATE(15, 6, ROW(Kintoneデータ抽出!$K$2:$K$5000) / ((Kintoneデータ抽出!$K$2:$K$5000="院内")), ROW(A8)))&lt;&gt;"",
IF(COUNTIF(INDEX(Kintoneデータ抽出!H:H, _xlfn.AGGREGATE(15, 6, ROW(Kintoneデータ抽出!$K$2:$K$5000) / ((Kintoneデータ抽出!$K$2:$K$5000="院内")), ROW(A8))),"*あり*"),"病児",""),""), "")</f>
        <v/>
      </c>
      <c r="O45" s="94" t="str" cm="1">
        <f t="array" ref="O45">IFERROR(
IF(INDEX(Kintoneデータ抽出!M:M, _xlfn.AGGREGATE(15, 6, ROW(Kintoneデータ抽出!$K$2:$K$5000) / ((Kintoneデータ抽出!$K$2:$K$5000="院内")), ROW(A8)))&lt;&gt;0,INDEX(Kintoneデータ抽出!M:M, _xlfn.AGGREGATE(15, 6, ROW(Kintoneデータ抽出!$K$2:$K$5000) / ((Kintoneデータ抽出!$K$2:$K$5000="院内")), ROW(A8))),""), "")</f>
        <v/>
      </c>
      <c r="P45" s="78" t="str">
        <f t="array" ref="P45">IFERROR(IF(INDEX(Kintoneデータ抽出!L:L, _xlfn.AGGREGATE(15, 6, ROW(Kintoneデータ抽出!$K$2:$K$5000) / ((Kintoneデータ抽出!$K$2:$K$5000="院内")), ROW(A8)))&lt;&gt;"",
IF(COUNTIF(INDEX(Kintoneデータ抽出!L:L, _xlfn.AGGREGATE(15, 6, ROW(Kintoneデータ抽出!$K$2:$K$5000) / ((Kintoneデータ抽出!$K$2:$K$5000="院内")), ROW(A8))),"*企業主導型以外*"),"",
IF(COUNTIF(INDEX(Kintoneデータ抽出!L:L, _xlfn.AGGREGATE(15, 6, ROW(Kintoneデータ抽出!$K$2:$K$5000) / ((Kintoneデータ抽出!$K$2:$K$5000="院内")), ROW(A8))),"*その他*"),"",
IF(COUNTIF(INDEX(Kintoneデータ抽出!L:L, _xlfn.AGGREGATE(15, 6, ROW(Kintoneデータ抽出!$K$2:$K$5000) / ((Kintoneデータ抽出!$K$2:$K$5000="院内")), ROW(A8))),"*新制度*"),"新制度","企業主導型"))),""), "")</f>
        <v/>
      </c>
    </row>
    <row r="46" spans="2:16" ht="34.799999999999997" customHeight="1" x14ac:dyDescent="0.45">
      <c r="B46" s="45"/>
      <c r="C46" s="46"/>
      <c r="D46" s="98" t="str">
        <f t="shared" si="1"/>
        <v/>
      </c>
      <c r="E46" s="99"/>
      <c r="F46" s="75" t="str">
        <f t="array" ref="F46">IFERROR(INDEX(Kintoneデータ抽出!A:A, _xlfn.AGGREGATE(15, 6, ROW(Kintoneデータ抽出!$K$2:$K$5000) / ((Kintoneデータ抽出!$K$2:$K$5000="院内")), ROW(A9))), "")</f>
        <v/>
      </c>
      <c r="G46" s="77" t="str">
        <f t="array" ref="G46">IFERROR(INDEX(Kintoneデータ抽出!D:D, _xlfn.AGGREGATE(15, 6, ROW(Kintoneデータ抽出!$K$2:$K$5000) / ((Kintoneデータ抽出!$K$2:$K$5000="院内")), ROW(A9))), "")</f>
        <v/>
      </c>
      <c r="H46" s="77" t="str">
        <f t="array" ref="H46">IFERROR(INDEX(Kintoneデータ抽出!C:C, _xlfn.AGGREGATE(15, 6, ROW(Kintoneデータ抽出!$K$2:$K$5000) / ((Kintoneデータ抽出!$K$2:$K$5000="院内")), ROW(A9))), "")</f>
        <v/>
      </c>
      <c r="I46" s="75" t="str">
        <f t="array" ref="I46">IFERROR(IF(INDEX(Kintoneデータ抽出!G:G, _xlfn.AGGREGATE(15, 6, ROW(Kintoneデータ抽出!$K$2:$K$5000) / ((Kintoneデータ抽出!$K$2:$K$5000="院内")), ROW(A9)))&lt;&gt;"",INDEX(Kintoneデータ抽出!G:G, _xlfn.AGGREGATE(15, 6, ROW(Kintoneデータ抽出!$K$2:$K$5000) / ((Kintoneデータ抽出!$K$2:$K$5000="院内")), ROW(A9)))&amp;"名",""), "")</f>
        <v/>
      </c>
      <c r="J46" s="76" t="str">
        <f t="array" ref="J46">IFERROR(IF(INDEX(Kintoneデータ抽出!E:E, _xlfn.AGGREGATE(15, 6, ROW(Kintoneデータ抽出!$K$2:$K$5000) / ((Kintoneデータ抽出!$K$2:$K$5000="院内")), ROW(A9)))&lt;&gt;"",
YEAR(INDEX(Kintoneデータ抽出!E:E, _xlfn.AGGREGATE(15, 6, ROW(Kintoneデータ抽出!$K$2:$K$5000) / ((Kintoneデータ抽出!$K$2:$K$5000="院内")), ROW(A9))))&amp;"年"
&amp;MONTH(INDEX(Kintoneデータ抽出!E:E, _xlfn.AGGREGATE(15, 6, ROW(Kintoneデータ抽出!$K$2:$K$5000) / ((Kintoneデータ抽出!$K$2:$K$5000="院内")), ROW(A9))))&amp;"月"
&amp;DAY(INDEX(Kintoneデータ抽出!E:E, _xlfn.AGGREGATE(15, 6, ROW(Kintoneデータ抽出!$K$2:$K$5000) /((Kintoneデータ抽出!$K$2:$K$5000="院内")), ROW(A9))))&amp;"日",""), "")</f>
        <v/>
      </c>
      <c r="K46" s="77" t="str" cm="1">
        <f t="array" ref="K46">IFERROR(IF(INDEX(Kintoneデータ抽出!F:F, _xlfn.AGGREGATE(15, 6, ROW(Kintoneデータ抽出!$K$2:$K$5000) / ((Kintoneデータ抽出!$K$2:$K$5000="院内")), ROW(A9)))&lt;&gt;"",
VLOOKUP(INDEX(Kintoneデータ抽出!F:F, _xlfn.AGGREGATE(15, 6, ROW(Kintoneデータ抽出!$K$2:$K$5000) / ((Kintoneデータ抽出!$K$2:$K$5000="院内")), ROW(A9))),基本開園日の表記!$A$2:$B$13,2,FALSE),""), "")</f>
        <v/>
      </c>
      <c r="L46" s="75" t="str">
        <f t="array" ref="L46">IFERROR(IF(INDEX(Kintoneデータ抽出!F:F, _xlfn.AGGREGATE(15, 6, ROW(Kintoneデータ抽出!$K$2:$K$5000) / ((Kintoneデータ抽出!$K$2:$K$5000="院内")), ROW(A9)))&lt;&gt;"",
IF(COUNTIF(INDEX(Kintoneデータ抽出!F:F, _xlfn.AGGREGATE(15, 6, ROW(Kintoneデータ抽出!$K$2:$K$5000) / ((Kintoneデータ抽出!$K$2:$K$5000="院内")), ROW(A9))),"*あり*"),"夜間",""),""), "")</f>
        <v/>
      </c>
      <c r="M46" s="75" t="str">
        <f t="array" ref="M46">IFERROR(IF(INDEX(Kintoneデータ抽出!I:I, _xlfn.AGGREGATE(15, 6, ROW(Kintoneデータ抽出!$K$2:$K$5000) / ((Kintoneデータ抽出!$K$2:$K$5000="院内")), ROW(A9)))&lt;&gt;"",
IF(COUNTIF(INDEX(Kintoneデータ抽出!I:I, _xlfn.AGGREGATE(15, 6, ROW(Kintoneデータ抽出!$K$2:$K$5000) / ((Kintoneデータ抽出!$K$2:$K$5000="院内")), ROW(A9))),"*あり*"),"学童",""),""), "")</f>
        <v/>
      </c>
      <c r="N46" s="75" t="str">
        <f t="array" ref="N46">IFERROR(IF(INDEX(Kintoneデータ抽出!H:H, _xlfn.AGGREGATE(15, 6, ROW(Kintoneデータ抽出!$K$2:$K$5000) / ((Kintoneデータ抽出!$K$2:$K$5000="院内")), ROW(A9)))&lt;&gt;"",
IF(COUNTIF(INDEX(Kintoneデータ抽出!H:H, _xlfn.AGGREGATE(15, 6, ROW(Kintoneデータ抽出!$K$2:$K$5000) / ((Kintoneデータ抽出!$K$2:$K$5000="院内")), ROW(A9))),"*あり*"),"病児",""),""), "")</f>
        <v/>
      </c>
      <c r="O46" s="94" t="str" cm="1">
        <f t="array" ref="O46">IFERROR(
IF(INDEX(Kintoneデータ抽出!M:M, _xlfn.AGGREGATE(15, 6, ROW(Kintoneデータ抽出!$K$2:$K$5000) / ((Kintoneデータ抽出!$K$2:$K$5000="院内")), ROW(A9)))&lt;&gt;0,INDEX(Kintoneデータ抽出!M:M, _xlfn.AGGREGATE(15, 6, ROW(Kintoneデータ抽出!$K$2:$K$5000) / ((Kintoneデータ抽出!$K$2:$K$5000="院内")), ROW(A9))),""), "")</f>
        <v/>
      </c>
      <c r="P46" s="78" t="str">
        <f t="array" ref="P46">IFERROR(IF(INDEX(Kintoneデータ抽出!L:L, _xlfn.AGGREGATE(15, 6, ROW(Kintoneデータ抽出!$K$2:$K$5000) / ((Kintoneデータ抽出!$K$2:$K$5000="院内")), ROW(A9)))&lt;&gt;"",
IF(COUNTIF(INDEX(Kintoneデータ抽出!L:L, _xlfn.AGGREGATE(15, 6, ROW(Kintoneデータ抽出!$K$2:$K$5000) / ((Kintoneデータ抽出!$K$2:$K$5000="院内")), ROW(A9))),"*企業主導型以外*"),"",
IF(COUNTIF(INDEX(Kintoneデータ抽出!L:L, _xlfn.AGGREGATE(15, 6, ROW(Kintoneデータ抽出!$K$2:$K$5000) / ((Kintoneデータ抽出!$K$2:$K$5000="院内")), ROW(A9))),"*その他*"),"",
IF(COUNTIF(INDEX(Kintoneデータ抽出!L:L, _xlfn.AGGREGATE(15, 6, ROW(Kintoneデータ抽出!$K$2:$K$5000) / ((Kintoneデータ抽出!$K$2:$K$5000="院内")), ROW(A9))),"*新制度*"),"新制度","企業主導型"))),""), "")</f>
        <v/>
      </c>
    </row>
    <row r="47" spans="2:16" ht="34.799999999999997" customHeight="1" x14ac:dyDescent="0.45">
      <c r="B47" s="45"/>
      <c r="C47" s="46"/>
      <c r="D47" s="98" t="str">
        <f t="shared" si="1"/>
        <v/>
      </c>
      <c r="E47" s="99"/>
      <c r="F47" s="75" t="str">
        <f t="array" ref="F47">IFERROR(INDEX(Kintoneデータ抽出!A:A, _xlfn.AGGREGATE(15, 6, ROW(Kintoneデータ抽出!$K$2:$K$5000) / ((Kintoneデータ抽出!$K$2:$K$5000="院内")), ROW(A10))), "")</f>
        <v/>
      </c>
      <c r="G47" s="77" t="str">
        <f t="array" ref="G47">IFERROR(INDEX(Kintoneデータ抽出!D:D, _xlfn.AGGREGATE(15, 6, ROW(Kintoneデータ抽出!$K$2:$K$5000) / ((Kintoneデータ抽出!$K$2:$K$5000="院内")), ROW(A10))), "")</f>
        <v/>
      </c>
      <c r="H47" s="77" t="str">
        <f t="array" ref="H47">IFERROR(INDEX(Kintoneデータ抽出!C:C, _xlfn.AGGREGATE(15, 6, ROW(Kintoneデータ抽出!$K$2:$K$5000) / ((Kintoneデータ抽出!$K$2:$K$5000="院内")), ROW(A10))), "")</f>
        <v/>
      </c>
      <c r="I47" s="75" t="str">
        <f t="array" ref="I47">IFERROR(IF(INDEX(Kintoneデータ抽出!G:G, _xlfn.AGGREGATE(15, 6, ROW(Kintoneデータ抽出!$K$2:$K$5000) / ((Kintoneデータ抽出!$K$2:$K$5000="院内")), ROW(A10)))&lt;&gt;"",INDEX(Kintoneデータ抽出!G:G, _xlfn.AGGREGATE(15, 6, ROW(Kintoneデータ抽出!$K$2:$K$5000) / ((Kintoneデータ抽出!$K$2:$K$5000="院内")), ROW(A10)))&amp;"名",""), "")</f>
        <v/>
      </c>
      <c r="J47" s="76" t="str">
        <f t="array" ref="J47">IFERROR(IF(INDEX(Kintoneデータ抽出!E:E, _xlfn.AGGREGATE(15, 6, ROW(Kintoneデータ抽出!$K$2:$K$5000) / ((Kintoneデータ抽出!$K$2:$K$5000="院内")), ROW(A10)))&lt;&gt;"",
YEAR(INDEX(Kintoneデータ抽出!E:E, _xlfn.AGGREGATE(15, 6, ROW(Kintoneデータ抽出!$K$2:$K$5000) / ((Kintoneデータ抽出!$K$2:$K$5000="院内")), ROW(A10))))&amp;"年"
&amp;MONTH(INDEX(Kintoneデータ抽出!E:E, _xlfn.AGGREGATE(15, 6, ROW(Kintoneデータ抽出!$K$2:$K$5000) / ((Kintoneデータ抽出!$K$2:$K$5000="院内")), ROW(A10))))&amp;"月"
&amp;DAY(INDEX(Kintoneデータ抽出!E:E, _xlfn.AGGREGATE(15, 6, ROW(Kintoneデータ抽出!$K$2:$K$5000) /((Kintoneデータ抽出!$K$2:$K$5000="院内")), ROW(A10))))&amp;"日",""), "")</f>
        <v/>
      </c>
      <c r="K47" s="77" t="str" cm="1">
        <f t="array" ref="K47">IFERROR(IF(INDEX(Kintoneデータ抽出!F:F, _xlfn.AGGREGATE(15, 6, ROW(Kintoneデータ抽出!$K$2:$K$5000) / ((Kintoneデータ抽出!$K$2:$K$5000="院内")), ROW(A10)))&lt;&gt;"",
VLOOKUP(INDEX(Kintoneデータ抽出!F:F, _xlfn.AGGREGATE(15, 6, ROW(Kintoneデータ抽出!$K$2:$K$5000) / ((Kintoneデータ抽出!$K$2:$K$5000="院内")), ROW(A10))),基本開園日の表記!$A$2:$B$13,2,FALSE),""), "")</f>
        <v/>
      </c>
      <c r="L47" s="75" t="str">
        <f t="array" ref="L47">IFERROR(IF(INDEX(Kintoneデータ抽出!F:F, _xlfn.AGGREGATE(15, 6, ROW(Kintoneデータ抽出!$K$2:$K$5000) / ((Kintoneデータ抽出!$K$2:$K$5000="院内")), ROW(A10)))&lt;&gt;"",
IF(COUNTIF(INDEX(Kintoneデータ抽出!F:F, _xlfn.AGGREGATE(15, 6, ROW(Kintoneデータ抽出!$K$2:$K$5000) / ((Kintoneデータ抽出!$K$2:$K$5000="院内")), ROW(A10))),"*あり*"),"夜間",""),""), "")</f>
        <v/>
      </c>
      <c r="M47" s="75" t="str">
        <f t="array" ref="M47">IFERROR(IF(INDEX(Kintoneデータ抽出!I:I, _xlfn.AGGREGATE(15, 6, ROW(Kintoneデータ抽出!$K$2:$K$5000) / ((Kintoneデータ抽出!$K$2:$K$5000="院内")), ROW(A10)))&lt;&gt;"",
IF(COUNTIF(INDEX(Kintoneデータ抽出!I:I, _xlfn.AGGREGATE(15, 6, ROW(Kintoneデータ抽出!$K$2:$K$5000) / ((Kintoneデータ抽出!$K$2:$K$5000="院内")), ROW(A10))),"*あり*"),"学童",""),""), "")</f>
        <v/>
      </c>
      <c r="N47" s="75" t="str">
        <f t="array" ref="N47">IFERROR(IF(INDEX(Kintoneデータ抽出!H:H, _xlfn.AGGREGATE(15, 6, ROW(Kintoneデータ抽出!$K$2:$K$5000) / ((Kintoneデータ抽出!$K$2:$K$5000="院内")), ROW(A10)))&lt;&gt;"",
IF(COUNTIF(INDEX(Kintoneデータ抽出!H:H, _xlfn.AGGREGATE(15, 6, ROW(Kintoneデータ抽出!$K$2:$K$5000) / ((Kintoneデータ抽出!$K$2:$K$5000="院内")), ROW(A10))),"*あり*"),"病児",""),""), "")</f>
        <v/>
      </c>
      <c r="O47" s="94" t="str" cm="1">
        <f t="array" ref="O47">IFERROR(
IF(INDEX(Kintoneデータ抽出!M:M, _xlfn.AGGREGATE(15, 6, ROW(Kintoneデータ抽出!$K$2:$K$5000) / ((Kintoneデータ抽出!$K$2:$K$5000="院内")), ROW(A10)))&lt;&gt;0,INDEX(Kintoneデータ抽出!M:M, _xlfn.AGGREGATE(15, 6, ROW(Kintoneデータ抽出!$K$2:$K$5000) / ((Kintoneデータ抽出!$K$2:$K$5000="院内")), ROW(A10))),""), "")</f>
        <v/>
      </c>
      <c r="P47" s="78" t="str">
        <f t="array" ref="P47">IFERROR(IF(INDEX(Kintoneデータ抽出!L:L, _xlfn.AGGREGATE(15, 6, ROW(Kintoneデータ抽出!$K$2:$K$5000) / ((Kintoneデータ抽出!$K$2:$K$5000="院内")), ROW(A10)))&lt;&gt;"",
IF(COUNTIF(INDEX(Kintoneデータ抽出!L:L, _xlfn.AGGREGATE(15, 6, ROW(Kintoneデータ抽出!$K$2:$K$5000) / ((Kintoneデータ抽出!$K$2:$K$5000="院内")), ROW(A10))),"*企業主導型以外*"),"",
IF(COUNTIF(INDEX(Kintoneデータ抽出!L:L, _xlfn.AGGREGATE(15, 6, ROW(Kintoneデータ抽出!$K$2:$K$5000) / ((Kintoneデータ抽出!$K$2:$K$5000="院内")), ROW(A10))),"*その他*"),"",
IF(COUNTIF(INDEX(Kintoneデータ抽出!L:L, _xlfn.AGGREGATE(15, 6, ROW(Kintoneデータ抽出!$K$2:$K$5000) / ((Kintoneデータ抽出!$K$2:$K$5000="院内")), ROW(A10))),"*新制度*"),"新制度","企業主導型"))),""), "")</f>
        <v/>
      </c>
    </row>
    <row r="48" spans="2:16" ht="34.799999999999997" customHeight="1" x14ac:dyDescent="0.45">
      <c r="B48" s="47"/>
      <c r="C48" s="48"/>
      <c r="D48" s="98" t="str">
        <f t="shared" si="1"/>
        <v/>
      </c>
      <c r="E48" s="99"/>
      <c r="F48" s="75" t="str">
        <f t="array" ref="F48">IFERROR(INDEX(Kintoneデータ抽出!A:A, _xlfn.AGGREGATE(15, 6, ROW(Kintoneデータ抽出!$K$2:$K$5000) / ((Kintoneデータ抽出!$K$2:$K$5000="院内")), ROW(A11))), "")</f>
        <v/>
      </c>
      <c r="G48" s="77" t="str">
        <f t="array" ref="G48">IFERROR(INDEX(Kintoneデータ抽出!D:D, _xlfn.AGGREGATE(15, 6, ROW(Kintoneデータ抽出!$K$2:$K$5000) / ((Kintoneデータ抽出!$K$2:$K$5000="院内")), ROW(A11))), "")</f>
        <v/>
      </c>
      <c r="H48" s="77" t="str">
        <f t="array" ref="H48">IFERROR(INDEX(Kintoneデータ抽出!C:C, _xlfn.AGGREGATE(15, 6, ROW(Kintoneデータ抽出!$K$2:$K$5000) / ((Kintoneデータ抽出!$K$2:$K$5000="院内")), ROW(A11))), "")</f>
        <v/>
      </c>
      <c r="I48" s="75" t="str">
        <f t="array" ref="I48">IFERROR(IF(INDEX(Kintoneデータ抽出!G:G, _xlfn.AGGREGATE(15, 6, ROW(Kintoneデータ抽出!$K$2:$K$5000) / ((Kintoneデータ抽出!$K$2:$K$5000="院内")), ROW(A11)))&lt;&gt;"",INDEX(Kintoneデータ抽出!G:G, _xlfn.AGGREGATE(15, 6, ROW(Kintoneデータ抽出!$K$2:$K$5000) / ((Kintoneデータ抽出!$K$2:$K$5000="院内")), ROW(A11)))&amp;"名",""), "")</f>
        <v/>
      </c>
      <c r="J48" s="76" t="str">
        <f t="array" ref="J48">IFERROR(IF(INDEX(Kintoneデータ抽出!E:E, _xlfn.AGGREGATE(15, 6, ROW(Kintoneデータ抽出!$K$2:$K$5000) / ((Kintoneデータ抽出!$K$2:$K$5000="院内")), ROW(A11)))&lt;&gt;"",
YEAR(INDEX(Kintoneデータ抽出!E:E, _xlfn.AGGREGATE(15, 6, ROW(Kintoneデータ抽出!$K$2:$K$5000) / ((Kintoneデータ抽出!$K$2:$K$5000="院内")), ROW(A11))))&amp;"年"
&amp;MONTH(INDEX(Kintoneデータ抽出!E:E, _xlfn.AGGREGATE(15, 6, ROW(Kintoneデータ抽出!$K$2:$K$5000) / ((Kintoneデータ抽出!$K$2:$K$5000="院内")), ROW(A11))))&amp;"月"
&amp;DAY(INDEX(Kintoneデータ抽出!E:E, _xlfn.AGGREGATE(15, 6, ROW(Kintoneデータ抽出!$K$2:$K$5000) /((Kintoneデータ抽出!$K$2:$K$5000="院内")), ROW(A11))))&amp;"日",""), "")</f>
        <v/>
      </c>
      <c r="K48" s="77" t="str" cm="1">
        <f t="array" ref="K48">IFERROR(IF(INDEX(Kintoneデータ抽出!F:F, _xlfn.AGGREGATE(15, 6, ROW(Kintoneデータ抽出!$K$2:$K$5000) / ((Kintoneデータ抽出!$K$2:$K$5000="院内")), ROW(A11)))&lt;&gt;"",
VLOOKUP(INDEX(Kintoneデータ抽出!F:F, _xlfn.AGGREGATE(15, 6, ROW(Kintoneデータ抽出!$K$2:$K$5000) / ((Kintoneデータ抽出!$K$2:$K$5000="院内")), ROW(A11))),基本開園日の表記!$A$2:$B$13,2,FALSE),""), "")</f>
        <v/>
      </c>
      <c r="L48" s="75" t="str">
        <f t="array" ref="L48">IFERROR(IF(INDEX(Kintoneデータ抽出!F:F, _xlfn.AGGREGATE(15, 6, ROW(Kintoneデータ抽出!$K$2:$K$5000) / ((Kintoneデータ抽出!$K$2:$K$5000="院内")), ROW(A11)))&lt;&gt;"",
IF(COUNTIF(INDEX(Kintoneデータ抽出!F:F, _xlfn.AGGREGATE(15, 6, ROW(Kintoneデータ抽出!$K$2:$K$5000) / ((Kintoneデータ抽出!$K$2:$K$5000="院内")), ROW(A11))),"*あり*"),"夜間",""),""), "")</f>
        <v/>
      </c>
      <c r="M48" s="75" t="str">
        <f t="array" ref="M48">IFERROR(IF(INDEX(Kintoneデータ抽出!I:I, _xlfn.AGGREGATE(15, 6, ROW(Kintoneデータ抽出!$K$2:$K$5000) / ((Kintoneデータ抽出!$K$2:$K$5000="院内")), ROW(A11)))&lt;&gt;"",
IF(COUNTIF(INDEX(Kintoneデータ抽出!I:I, _xlfn.AGGREGATE(15, 6, ROW(Kintoneデータ抽出!$K$2:$K$5000) / ((Kintoneデータ抽出!$K$2:$K$5000="院内")), ROW(A11))),"*あり*"),"学童",""),""), "")</f>
        <v/>
      </c>
      <c r="N48" s="75" t="str">
        <f t="array" ref="N48">IFERROR(IF(INDEX(Kintoneデータ抽出!H:H, _xlfn.AGGREGATE(15, 6, ROW(Kintoneデータ抽出!$K$2:$K$5000) / ((Kintoneデータ抽出!$K$2:$K$5000="院内")), ROW(A11)))&lt;&gt;"",
IF(COUNTIF(INDEX(Kintoneデータ抽出!H:H, _xlfn.AGGREGATE(15, 6, ROW(Kintoneデータ抽出!$K$2:$K$5000) / ((Kintoneデータ抽出!$K$2:$K$5000="院内")), ROW(A11))),"*あり*"),"病児",""),""), "")</f>
        <v/>
      </c>
      <c r="O48" s="94" t="str" cm="1">
        <f t="array" ref="O48">IFERROR(
IF(INDEX(Kintoneデータ抽出!M:M, _xlfn.AGGREGATE(15, 6, ROW(Kintoneデータ抽出!$K$2:$K$5000) / ((Kintoneデータ抽出!$K$2:$K$5000="院内")), ROW(A11)))&lt;&gt;0,INDEX(Kintoneデータ抽出!M:M, _xlfn.AGGREGATE(15, 6, ROW(Kintoneデータ抽出!$K$2:$K$5000) / ((Kintoneデータ抽出!$K$2:$K$5000="院内")), ROW(A11))),""), "")</f>
        <v/>
      </c>
      <c r="P48" s="78" t="str">
        <f t="array" ref="P48">IFERROR(IF(INDEX(Kintoneデータ抽出!L:L, _xlfn.AGGREGATE(15, 6, ROW(Kintoneデータ抽出!$K$2:$K$5000) / ((Kintoneデータ抽出!$K$2:$K$5000="院内")), ROW(A11)))&lt;&gt;"",
IF(COUNTIF(INDEX(Kintoneデータ抽出!L:L, _xlfn.AGGREGATE(15, 6, ROW(Kintoneデータ抽出!$K$2:$K$5000) / ((Kintoneデータ抽出!$K$2:$K$5000="院内")), ROW(A11))),"*企業主導型以外*"),"",
IF(COUNTIF(INDEX(Kintoneデータ抽出!L:L, _xlfn.AGGREGATE(15, 6, ROW(Kintoneデータ抽出!$K$2:$K$5000) / ((Kintoneデータ抽出!$K$2:$K$5000="院内")), ROW(A11))),"*その他*"),"",
IF(COUNTIF(INDEX(Kintoneデータ抽出!L:L, _xlfn.AGGREGATE(15, 6, ROW(Kintoneデータ抽出!$K$2:$K$5000) / ((Kintoneデータ抽出!$K$2:$K$5000="院内")), ROW(A11))),"*新制度*"),"新制度","企業主導型"))),""), "")</f>
        <v/>
      </c>
    </row>
    <row r="49" spans="2:16" ht="34.799999999999997" customHeight="1" x14ac:dyDescent="0.45">
      <c r="B49" s="23"/>
      <c r="C49" s="24"/>
      <c r="D49" s="98" t="str">
        <f t="shared" si="1"/>
        <v/>
      </c>
      <c r="E49" s="99"/>
      <c r="F49" s="75" t="str">
        <f t="array" ref="F49">IFERROR(INDEX(Kintoneデータ抽出!A:A, _xlfn.AGGREGATE(15, 6, ROW(Kintoneデータ抽出!$K$2:$K$5000) / ((Kintoneデータ抽出!$K$2:$K$5000="院内")), ROW(A12))), "")</f>
        <v/>
      </c>
      <c r="G49" s="77" t="str">
        <f t="array" ref="G49">IFERROR(INDEX(Kintoneデータ抽出!D:D, _xlfn.AGGREGATE(15, 6, ROW(Kintoneデータ抽出!$K$2:$K$5000) / ((Kintoneデータ抽出!$K$2:$K$5000="院内")), ROW(A12))), "")</f>
        <v/>
      </c>
      <c r="H49" s="77" t="str">
        <f t="array" ref="H49">IFERROR(INDEX(Kintoneデータ抽出!C:C, _xlfn.AGGREGATE(15, 6, ROW(Kintoneデータ抽出!$K$2:$K$5000) / ((Kintoneデータ抽出!$K$2:$K$5000="院内")), ROW(A12))), "")</f>
        <v/>
      </c>
      <c r="I49" s="75" t="str">
        <f t="array" ref="I49">IFERROR(IF(INDEX(Kintoneデータ抽出!G:G, _xlfn.AGGREGATE(15, 6, ROW(Kintoneデータ抽出!$K$2:$K$5000) / ((Kintoneデータ抽出!$K$2:$K$5000="院内")), ROW(A12)))&lt;&gt;"",INDEX(Kintoneデータ抽出!G:G, _xlfn.AGGREGATE(15, 6, ROW(Kintoneデータ抽出!$K$2:$K$5000) / ((Kintoneデータ抽出!$K$2:$K$5000="院内")), ROW(A12)))&amp;"名",""), "")</f>
        <v/>
      </c>
      <c r="J49" s="76" t="str">
        <f t="array" ref="J49">IFERROR(IF(INDEX(Kintoneデータ抽出!E:E, _xlfn.AGGREGATE(15, 6, ROW(Kintoneデータ抽出!$K$2:$K$5000) / ((Kintoneデータ抽出!$K$2:$K$5000="院内")), ROW(A12)))&lt;&gt;"",
YEAR(INDEX(Kintoneデータ抽出!E:E, _xlfn.AGGREGATE(15, 6, ROW(Kintoneデータ抽出!$K$2:$K$5000) / ((Kintoneデータ抽出!$K$2:$K$5000="院内")), ROW(A12))))&amp;"年"
&amp;MONTH(INDEX(Kintoneデータ抽出!E:E, _xlfn.AGGREGATE(15, 6, ROW(Kintoneデータ抽出!$K$2:$K$5000) / ((Kintoneデータ抽出!$K$2:$K$5000="院内")), ROW(A12))))&amp;"月"
&amp;DAY(INDEX(Kintoneデータ抽出!E:E, _xlfn.AGGREGATE(15, 6, ROW(Kintoneデータ抽出!$K$2:$K$5000) /((Kintoneデータ抽出!$K$2:$K$5000="院内")), ROW(A12))))&amp;"日",""), "")</f>
        <v/>
      </c>
      <c r="K49" s="77" t="str" cm="1">
        <f t="array" ref="K49">IFERROR(IF(INDEX(Kintoneデータ抽出!F:F, _xlfn.AGGREGATE(15, 6, ROW(Kintoneデータ抽出!$K$2:$K$5000) / ((Kintoneデータ抽出!$K$2:$K$5000="院内")), ROW(A12)))&lt;&gt;"",
VLOOKUP(INDEX(Kintoneデータ抽出!F:F, _xlfn.AGGREGATE(15, 6, ROW(Kintoneデータ抽出!$K$2:$K$5000) / ((Kintoneデータ抽出!$K$2:$K$5000="院内")), ROW(A12))),基本開園日の表記!$A$2:$B$13,2,FALSE),""), "")</f>
        <v/>
      </c>
      <c r="L49" s="75" t="str">
        <f t="array" ref="L49">IFERROR(IF(INDEX(Kintoneデータ抽出!F:F, _xlfn.AGGREGATE(15, 6, ROW(Kintoneデータ抽出!$K$2:$K$5000) / ((Kintoneデータ抽出!$K$2:$K$5000="院内")), ROW(A12)))&lt;&gt;"",
IF(COUNTIF(INDEX(Kintoneデータ抽出!F:F, _xlfn.AGGREGATE(15, 6, ROW(Kintoneデータ抽出!$K$2:$K$5000) / ((Kintoneデータ抽出!$K$2:$K$5000="院内")), ROW(A12))),"*あり*"),"夜間",""),""), "")</f>
        <v/>
      </c>
      <c r="M49" s="75" t="str">
        <f t="array" ref="M49">IFERROR(IF(INDEX(Kintoneデータ抽出!I:I, _xlfn.AGGREGATE(15, 6, ROW(Kintoneデータ抽出!$K$2:$K$5000) / ((Kintoneデータ抽出!$K$2:$K$5000="院内")), ROW(A12)))&lt;&gt;"",
IF(COUNTIF(INDEX(Kintoneデータ抽出!I:I, _xlfn.AGGREGATE(15, 6, ROW(Kintoneデータ抽出!$K$2:$K$5000) / ((Kintoneデータ抽出!$K$2:$K$5000="院内")), ROW(A12))),"*あり*"),"学童",""),""), "")</f>
        <v/>
      </c>
      <c r="N49" s="75" t="str">
        <f t="array" ref="N49">IFERROR(IF(INDEX(Kintoneデータ抽出!H:H, _xlfn.AGGREGATE(15, 6, ROW(Kintoneデータ抽出!$K$2:$K$5000) / ((Kintoneデータ抽出!$K$2:$K$5000="院内")), ROW(A12)))&lt;&gt;"",
IF(COUNTIF(INDEX(Kintoneデータ抽出!H:H, _xlfn.AGGREGATE(15, 6, ROW(Kintoneデータ抽出!$K$2:$K$5000) / ((Kintoneデータ抽出!$K$2:$K$5000="院内")), ROW(A12))),"*あり*"),"病児",""),""), "")</f>
        <v/>
      </c>
      <c r="O49" s="94" t="str" cm="1">
        <f t="array" ref="O49">IFERROR(
IF(INDEX(Kintoneデータ抽出!M:M, _xlfn.AGGREGATE(15, 6, ROW(Kintoneデータ抽出!$K$2:$K$5000) / ((Kintoneデータ抽出!$K$2:$K$5000="院内")), ROW(A12)))&lt;&gt;0,INDEX(Kintoneデータ抽出!M:M, _xlfn.AGGREGATE(15, 6, ROW(Kintoneデータ抽出!$K$2:$K$5000) / ((Kintoneデータ抽出!$K$2:$K$5000="院内")), ROW(A12))),""), "")</f>
        <v/>
      </c>
      <c r="P49" s="78" t="str">
        <f t="array" ref="P49">IFERROR(IF(INDEX(Kintoneデータ抽出!L:L, _xlfn.AGGREGATE(15, 6, ROW(Kintoneデータ抽出!$K$2:$K$5000) / ((Kintoneデータ抽出!$K$2:$K$5000="院内")), ROW(A12)))&lt;&gt;"",
IF(COUNTIF(INDEX(Kintoneデータ抽出!L:L, _xlfn.AGGREGATE(15, 6, ROW(Kintoneデータ抽出!$K$2:$K$5000) / ((Kintoneデータ抽出!$K$2:$K$5000="院内")), ROW(A12))),"*企業主導型以外*"),"",
IF(COUNTIF(INDEX(Kintoneデータ抽出!L:L, _xlfn.AGGREGATE(15, 6, ROW(Kintoneデータ抽出!$K$2:$K$5000) / ((Kintoneデータ抽出!$K$2:$K$5000="院内")), ROW(A12))),"*その他*"),"",
IF(COUNTIF(INDEX(Kintoneデータ抽出!L:L, _xlfn.AGGREGATE(15, 6, ROW(Kintoneデータ抽出!$K$2:$K$5000) / ((Kintoneデータ抽出!$K$2:$K$5000="院内")), ROW(A12))),"*新制度*"),"新制度","企業主導型"))),""), "")</f>
        <v/>
      </c>
    </row>
    <row r="50" spans="2:16" ht="34.799999999999997" customHeight="1" x14ac:dyDescent="0.45">
      <c r="B50" s="26"/>
      <c r="C50" s="27"/>
      <c r="D50" s="98" t="str">
        <f t="shared" si="1"/>
        <v/>
      </c>
      <c r="E50" s="99"/>
      <c r="F50" s="75" t="str">
        <f t="array" ref="F50">IFERROR(INDEX(Kintoneデータ抽出!A:A, _xlfn.AGGREGATE(15, 6, ROW(Kintoneデータ抽出!$K$2:$K$5000) / ((Kintoneデータ抽出!$K$2:$K$5000="院内")), ROW(A13))), "")</f>
        <v/>
      </c>
      <c r="G50" s="77" t="str">
        <f t="array" ref="G50">IFERROR(INDEX(Kintoneデータ抽出!D:D, _xlfn.AGGREGATE(15, 6, ROW(Kintoneデータ抽出!$K$2:$K$5000) / ((Kintoneデータ抽出!$K$2:$K$5000="院内")), ROW(A13))), "")</f>
        <v/>
      </c>
      <c r="H50" s="77" t="str">
        <f t="array" ref="H50">IFERROR(INDEX(Kintoneデータ抽出!C:C, _xlfn.AGGREGATE(15, 6, ROW(Kintoneデータ抽出!$K$2:$K$5000) / ((Kintoneデータ抽出!$K$2:$K$5000="院内")), ROW(A13))), "")</f>
        <v/>
      </c>
      <c r="I50" s="75" t="str">
        <f t="array" ref="I50">IFERROR(IF(INDEX(Kintoneデータ抽出!G:G, _xlfn.AGGREGATE(15, 6, ROW(Kintoneデータ抽出!$K$2:$K$5000) / ((Kintoneデータ抽出!$K$2:$K$5000="院内")), ROW(A13)))&lt;&gt;"",INDEX(Kintoneデータ抽出!G:G, _xlfn.AGGREGATE(15, 6, ROW(Kintoneデータ抽出!$K$2:$K$5000) / ((Kintoneデータ抽出!$K$2:$K$5000="院内")), ROW(A13)))&amp;"名",""), "")</f>
        <v/>
      </c>
      <c r="J50" s="76" t="str">
        <f t="array" ref="J50">IFERROR(IF(INDEX(Kintoneデータ抽出!E:E, _xlfn.AGGREGATE(15, 6, ROW(Kintoneデータ抽出!$K$2:$K$5000) / ((Kintoneデータ抽出!$K$2:$K$5000="院内")), ROW(A13)))&lt;&gt;"",
YEAR(INDEX(Kintoneデータ抽出!E:E, _xlfn.AGGREGATE(15, 6, ROW(Kintoneデータ抽出!$K$2:$K$5000) / ((Kintoneデータ抽出!$K$2:$K$5000="院内")), ROW(A13))))&amp;"年"
&amp;MONTH(INDEX(Kintoneデータ抽出!E:E, _xlfn.AGGREGATE(15, 6, ROW(Kintoneデータ抽出!$K$2:$K$5000) / ((Kintoneデータ抽出!$K$2:$K$5000="院内")), ROW(A13))))&amp;"月"
&amp;DAY(INDEX(Kintoneデータ抽出!E:E, _xlfn.AGGREGATE(15, 6, ROW(Kintoneデータ抽出!$K$2:$K$5000) /((Kintoneデータ抽出!$K$2:$K$5000="院内")), ROW(A13))))&amp;"日",""), "")</f>
        <v/>
      </c>
      <c r="K50" s="77" t="str" cm="1">
        <f t="array" ref="K50">IFERROR(IF(INDEX(Kintoneデータ抽出!F:F, _xlfn.AGGREGATE(15, 6, ROW(Kintoneデータ抽出!$K$2:$K$5000) / ((Kintoneデータ抽出!$K$2:$K$5000="院内")), ROW(A13)))&lt;&gt;"",
VLOOKUP(INDEX(Kintoneデータ抽出!F:F, _xlfn.AGGREGATE(15, 6, ROW(Kintoneデータ抽出!$K$2:$K$5000) / ((Kintoneデータ抽出!$K$2:$K$5000="院内")), ROW(A13))),基本開園日の表記!$A$2:$B$13,2,FALSE),""), "")</f>
        <v/>
      </c>
      <c r="L50" s="75" t="str">
        <f t="array" ref="L50">IFERROR(IF(INDEX(Kintoneデータ抽出!F:F, _xlfn.AGGREGATE(15, 6, ROW(Kintoneデータ抽出!$K$2:$K$5000) / ((Kintoneデータ抽出!$K$2:$K$5000="院内")), ROW(A13)))&lt;&gt;"",
IF(COUNTIF(INDEX(Kintoneデータ抽出!F:F, _xlfn.AGGREGATE(15, 6, ROW(Kintoneデータ抽出!$K$2:$K$5000) / ((Kintoneデータ抽出!$K$2:$K$5000="院内")), ROW(A13))),"*あり*"),"夜間",""),""), "")</f>
        <v/>
      </c>
      <c r="M50" s="75" t="str">
        <f t="array" ref="M50">IFERROR(IF(INDEX(Kintoneデータ抽出!I:I, _xlfn.AGGREGATE(15, 6, ROW(Kintoneデータ抽出!$K$2:$K$5000) / ((Kintoneデータ抽出!$K$2:$K$5000="院内")), ROW(A13)))&lt;&gt;"",
IF(COUNTIF(INDEX(Kintoneデータ抽出!I:I, _xlfn.AGGREGATE(15, 6, ROW(Kintoneデータ抽出!$K$2:$K$5000) / ((Kintoneデータ抽出!$K$2:$K$5000="院内")), ROW(A13))),"*あり*"),"学童",""),""), "")</f>
        <v/>
      </c>
      <c r="N50" s="75" t="str">
        <f t="array" ref="N50">IFERROR(IF(INDEX(Kintoneデータ抽出!H:H, _xlfn.AGGREGATE(15, 6, ROW(Kintoneデータ抽出!$K$2:$K$5000) / ((Kintoneデータ抽出!$K$2:$K$5000="院内")), ROW(A13)))&lt;&gt;"",
IF(COUNTIF(INDEX(Kintoneデータ抽出!H:H, _xlfn.AGGREGATE(15, 6, ROW(Kintoneデータ抽出!$K$2:$K$5000) / ((Kintoneデータ抽出!$K$2:$K$5000="院内")), ROW(A13))),"*あり*"),"病児",""),""), "")</f>
        <v/>
      </c>
      <c r="O50" s="94" t="str" cm="1">
        <f t="array" ref="O50">IFERROR(
IF(INDEX(Kintoneデータ抽出!M:M, _xlfn.AGGREGATE(15, 6, ROW(Kintoneデータ抽出!$K$2:$K$5000) / ((Kintoneデータ抽出!$K$2:$K$5000="院内")), ROW(A13)))&lt;&gt;0,INDEX(Kintoneデータ抽出!M:M, _xlfn.AGGREGATE(15, 6, ROW(Kintoneデータ抽出!$K$2:$K$5000) / ((Kintoneデータ抽出!$K$2:$K$5000="院内")), ROW(A13))),""), "")</f>
        <v/>
      </c>
      <c r="P50" s="78" t="str">
        <f t="array" ref="P50">IFERROR(IF(INDEX(Kintoneデータ抽出!L:L, _xlfn.AGGREGATE(15, 6, ROW(Kintoneデータ抽出!$K$2:$K$5000) / ((Kintoneデータ抽出!$K$2:$K$5000="院内")), ROW(A13)))&lt;&gt;"",
IF(COUNTIF(INDEX(Kintoneデータ抽出!L:L, _xlfn.AGGREGATE(15, 6, ROW(Kintoneデータ抽出!$K$2:$K$5000) / ((Kintoneデータ抽出!$K$2:$K$5000="院内")), ROW(A13))),"*企業主導型以外*"),"",
IF(COUNTIF(INDEX(Kintoneデータ抽出!L:L, _xlfn.AGGREGATE(15, 6, ROW(Kintoneデータ抽出!$K$2:$K$5000) / ((Kintoneデータ抽出!$K$2:$K$5000="院内")), ROW(A13))),"*その他*"),"",
IF(COUNTIF(INDEX(Kintoneデータ抽出!L:L, _xlfn.AGGREGATE(15, 6, ROW(Kintoneデータ抽出!$K$2:$K$5000) / ((Kintoneデータ抽出!$K$2:$K$5000="院内")), ROW(A13))),"*新制度*"),"新制度","企業主導型"))),""), "")</f>
        <v/>
      </c>
    </row>
    <row r="51" spans="2:16" ht="34.799999999999997" customHeight="1" x14ac:dyDescent="0.45">
      <c r="B51" s="54" t="s">
        <v>36</v>
      </c>
      <c r="C51" s="46"/>
      <c r="D51" s="98" t="str">
        <f t="shared" si="1"/>
        <v/>
      </c>
      <c r="E51" s="99"/>
      <c r="F51" s="75" t="str">
        <f t="array" ref="F51">IFERROR(INDEX(Kintoneデータ抽出!A:A, _xlfn.AGGREGATE(15, 6, ROW(Kintoneデータ抽出!$K$2:$K$5000) / ((Kintoneデータ抽出!$K$2:$K$5000="院内")), ROW(A14))), "")</f>
        <v/>
      </c>
      <c r="G51" s="77" t="str">
        <f t="array" ref="G51">IFERROR(INDEX(Kintoneデータ抽出!D:D, _xlfn.AGGREGATE(15, 6, ROW(Kintoneデータ抽出!$K$2:$K$5000) / ((Kintoneデータ抽出!$K$2:$K$5000="院内")), ROW(A14))), "")</f>
        <v/>
      </c>
      <c r="H51" s="77" t="str">
        <f t="array" ref="H51">IFERROR(INDEX(Kintoneデータ抽出!C:C, _xlfn.AGGREGATE(15, 6, ROW(Kintoneデータ抽出!$K$2:$K$5000) / ((Kintoneデータ抽出!$K$2:$K$5000="院内")), ROW(A14))), "")</f>
        <v/>
      </c>
      <c r="I51" s="75" t="str">
        <f t="array" ref="I51">IFERROR(IF(INDEX(Kintoneデータ抽出!G:G, _xlfn.AGGREGATE(15, 6, ROW(Kintoneデータ抽出!$K$2:$K$5000) / ((Kintoneデータ抽出!$K$2:$K$5000="院内")), ROW(A14)))&lt;&gt;"",INDEX(Kintoneデータ抽出!G:G, _xlfn.AGGREGATE(15, 6, ROW(Kintoneデータ抽出!$K$2:$K$5000) / ((Kintoneデータ抽出!$K$2:$K$5000="院内")), ROW(A14)))&amp;"名",""), "")</f>
        <v/>
      </c>
      <c r="J51" s="76" t="str">
        <f t="array" ref="J51">IFERROR(IF(INDEX(Kintoneデータ抽出!E:E, _xlfn.AGGREGATE(15, 6, ROW(Kintoneデータ抽出!$K$2:$K$5000) / ((Kintoneデータ抽出!$K$2:$K$5000="院内")), ROW(A14)))&lt;&gt;"",
YEAR(INDEX(Kintoneデータ抽出!E:E, _xlfn.AGGREGATE(15, 6, ROW(Kintoneデータ抽出!$K$2:$K$5000) / ((Kintoneデータ抽出!$K$2:$K$5000="院内")), ROW(A14))))&amp;"年"
&amp;MONTH(INDEX(Kintoneデータ抽出!E:E, _xlfn.AGGREGATE(15, 6, ROW(Kintoneデータ抽出!$K$2:$K$5000) / ((Kintoneデータ抽出!$K$2:$K$5000="院内")), ROW(A14))))&amp;"月"
&amp;DAY(INDEX(Kintoneデータ抽出!E:E, _xlfn.AGGREGATE(15, 6, ROW(Kintoneデータ抽出!$K$2:$K$5000) /((Kintoneデータ抽出!$K$2:$K$5000="院内")), ROW(A14))))&amp;"日",""), "")</f>
        <v/>
      </c>
      <c r="K51" s="77" t="str" cm="1">
        <f t="array" ref="K51">IFERROR(IF(INDEX(Kintoneデータ抽出!F:F, _xlfn.AGGREGATE(15, 6, ROW(Kintoneデータ抽出!$K$2:$K$5000) / ((Kintoneデータ抽出!$K$2:$K$5000="院内")), ROW(A14)))&lt;&gt;"",
VLOOKUP(INDEX(Kintoneデータ抽出!F:F, _xlfn.AGGREGATE(15, 6, ROW(Kintoneデータ抽出!$K$2:$K$5000) / ((Kintoneデータ抽出!$K$2:$K$5000="院内")), ROW(A14))),基本開園日の表記!$A$2:$B$13,2,FALSE),""), "")</f>
        <v/>
      </c>
      <c r="L51" s="75" t="str">
        <f t="array" ref="L51">IFERROR(IF(INDEX(Kintoneデータ抽出!F:F, _xlfn.AGGREGATE(15, 6, ROW(Kintoneデータ抽出!$K$2:$K$5000) / ((Kintoneデータ抽出!$K$2:$K$5000="院内")), ROW(A14)))&lt;&gt;"",
IF(COUNTIF(INDEX(Kintoneデータ抽出!F:F, _xlfn.AGGREGATE(15, 6, ROW(Kintoneデータ抽出!$K$2:$K$5000) / ((Kintoneデータ抽出!$K$2:$K$5000="院内")), ROW(A14))),"*あり*"),"夜間",""),""), "")</f>
        <v/>
      </c>
      <c r="M51" s="75" t="str">
        <f t="array" ref="M51">IFERROR(IF(INDEX(Kintoneデータ抽出!I:I, _xlfn.AGGREGATE(15, 6, ROW(Kintoneデータ抽出!$K$2:$K$5000) / ((Kintoneデータ抽出!$K$2:$K$5000="院内")), ROW(A14)))&lt;&gt;"",
IF(COUNTIF(INDEX(Kintoneデータ抽出!I:I, _xlfn.AGGREGATE(15, 6, ROW(Kintoneデータ抽出!$K$2:$K$5000) / ((Kintoneデータ抽出!$K$2:$K$5000="院内")), ROW(A14))),"*あり*"),"学童",""),""), "")</f>
        <v/>
      </c>
      <c r="N51" s="75" t="str">
        <f t="array" ref="N51">IFERROR(IF(INDEX(Kintoneデータ抽出!H:H, _xlfn.AGGREGATE(15, 6, ROW(Kintoneデータ抽出!$K$2:$K$5000) / ((Kintoneデータ抽出!$K$2:$K$5000="院内")), ROW(A14)))&lt;&gt;"",
IF(COUNTIF(INDEX(Kintoneデータ抽出!H:H, _xlfn.AGGREGATE(15, 6, ROW(Kintoneデータ抽出!$K$2:$K$5000) / ((Kintoneデータ抽出!$K$2:$K$5000="院内")), ROW(A14))),"*あり*"),"病児",""),""), "")</f>
        <v/>
      </c>
      <c r="O51" s="94" t="str" cm="1">
        <f t="array" ref="O51">IFERROR(
IF(INDEX(Kintoneデータ抽出!M:M, _xlfn.AGGREGATE(15, 6, ROW(Kintoneデータ抽出!$K$2:$K$5000) / ((Kintoneデータ抽出!$K$2:$K$5000="院内")), ROW(A14)))&lt;&gt;0,INDEX(Kintoneデータ抽出!M:M, _xlfn.AGGREGATE(15, 6, ROW(Kintoneデータ抽出!$K$2:$K$5000) / ((Kintoneデータ抽出!$K$2:$K$5000="院内")), ROW(A14))),""), "")</f>
        <v/>
      </c>
      <c r="P51" s="78" t="str">
        <f t="array" ref="P51">IFERROR(IF(INDEX(Kintoneデータ抽出!L:L, _xlfn.AGGREGATE(15, 6, ROW(Kintoneデータ抽出!$K$2:$K$5000) / ((Kintoneデータ抽出!$K$2:$K$5000="院内")), ROW(A14)))&lt;&gt;"",
IF(COUNTIF(INDEX(Kintoneデータ抽出!L:L, _xlfn.AGGREGATE(15, 6, ROW(Kintoneデータ抽出!$K$2:$K$5000) / ((Kintoneデータ抽出!$K$2:$K$5000="院内")), ROW(A14))),"*企業主導型以外*"),"",
IF(COUNTIF(INDEX(Kintoneデータ抽出!L:L, _xlfn.AGGREGATE(15, 6, ROW(Kintoneデータ抽出!$K$2:$K$5000) / ((Kintoneデータ抽出!$K$2:$K$5000="院内")), ROW(A14))),"*その他*"),"",
IF(COUNTIF(INDEX(Kintoneデータ抽出!L:L, _xlfn.AGGREGATE(15, 6, ROW(Kintoneデータ抽出!$K$2:$K$5000) / ((Kintoneデータ抽出!$K$2:$K$5000="院内")), ROW(A14))),"*新制度*"),"新制度","企業主導型"))),""), "")</f>
        <v/>
      </c>
    </row>
    <row r="52" spans="2:16" ht="34.799999999999997" customHeight="1" x14ac:dyDescent="0.45">
      <c r="B52" s="45"/>
      <c r="C52" s="46"/>
      <c r="D52" s="98" t="str">
        <f t="shared" si="1"/>
        <v/>
      </c>
      <c r="E52" s="99"/>
      <c r="F52" s="75" t="str">
        <f t="array" ref="F52">IFERROR(INDEX(Kintoneデータ抽出!A:A, _xlfn.AGGREGATE(15, 6, ROW(Kintoneデータ抽出!$K$2:$K$5000) / ((Kintoneデータ抽出!$K$2:$K$5000="院内")), ROW(A15))), "")</f>
        <v/>
      </c>
      <c r="G52" s="77" t="str">
        <f t="array" ref="G52">IFERROR(INDEX(Kintoneデータ抽出!D:D, _xlfn.AGGREGATE(15, 6, ROW(Kintoneデータ抽出!$K$2:$K$5000) / ((Kintoneデータ抽出!$K$2:$K$5000="院内")), ROW(A15))), "")</f>
        <v/>
      </c>
      <c r="H52" s="77" t="str">
        <f t="array" ref="H52">IFERROR(INDEX(Kintoneデータ抽出!C:C, _xlfn.AGGREGATE(15, 6, ROW(Kintoneデータ抽出!$K$2:$K$5000) / ((Kintoneデータ抽出!$K$2:$K$5000="院内")), ROW(A15))), "")</f>
        <v/>
      </c>
      <c r="I52" s="75" t="str">
        <f t="array" ref="I52">IFERROR(IF(INDEX(Kintoneデータ抽出!G:G, _xlfn.AGGREGATE(15, 6, ROW(Kintoneデータ抽出!$K$2:$K$5000) / ((Kintoneデータ抽出!$K$2:$K$5000="院内")), ROW(A15)))&lt;&gt;"",INDEX(Kintoneデータ抽出!G:G, _xlfn.AGGREGATE(15, 6, ROW(Kintoneデータ抽出!$K$2:$K$5000) / ((Kintoneデータ抽出!$K$2:$K$5000="院内")), ROW(A15)))&amp;"名",""), "")</f>
        <v/>
      </c>
      <c r="J52" s="76" t="str">
        <f t="array" ref="J52">IFERROR(IF(INDEX(Kintoneデータ抽出!E:E, _xlfn.AGGREGATE(15, 6, ROW(Kintoneデータ抽出!$K$2:$K$5000) / ((Kintoneデータ抽出!$K$2:$K$5000="院内")), ROW(A15)))&lt;&gt;"",
YEAR(INDEX(Kintoneデータ抽出!E:E, _xlfn.AGGREGATE(15, 6, ROW(Kintoneデータ抽出!$K$2:$K$5000) / ((Kintoneデータ抽出!$K$2:$K$5000="院内")), ROW(A15))))&amp;"年"
&amp;MONTH(INDEX(Kintoneデータ抽出!E:E, _xlfn.AGGREGATE(15, 6, ROW(Kintoneデータ抽出!$K$2:$K$5000) / ((Kintoneデータ抽出!$K$2:$K$5000="院内")), ROW(A15))))&amp;"月"
&amp;DAY(INDEX(Kintoneデータ抽出!E:E, _xlfn.AGGREGATE(15, 6, ROW(Kintoneデータ抽出!$K$2:$K$5000) /((Kintoneデータ抽出!$K$2:$K$5000="院内")), ROW(A15))))&amp;"日",""), "")</f>
        <v/>
      </c>
      <c r="K52" s="77" t="str" cm="1">
        <f t="array" ref="K52">IFERROR(IF(INDEX(Kintoneデータ抽出!F:F, _xlfn.AGGREGATE(15, 6, ROW(Kintoneデータ抽出!$K$2:$K$5000) / ((Kintoneデータ抽出!$K$2:$K$5000="院内")), ROW(A15)))&lt;&gt;"",
VLOOKUP(INDEX(Kintoneデータ抽出!F:F, _xlfn.AGGREGATE(15, 6, ROW(Kintoneデータ抽出!$K$2:$K$5000) / ((Kintoneデータ抽出!$K$2:$K$5000="院内")), ROW(A15))),基本開園日の表記!$A$2:$B$13,2,FALSE),""), "")</f>
        <v/>
      </c>
      <c r="L52" s="75" t="str">
        <f t="array" ref="L52">IFERROR(IF(INDEX(Kintoneデータ抽出!F:F, _xlfn.AGGREGATE(15, 6, ROW(Kintoneデータ抽出!$K$2:$K$5000) / ((Kintoneデータ抽出!$K$2:$K$5000="院内")), ROW(A15)))&lt;&gt;"",
IF(COUNTIF(INDEX(Kintoneデータ抽出!F:F, _xlfn.AGGREGATE(15, 6, ROW(Kintoneデータ抽出!$K$2:$K$5000) / ((Kintoneデータ抽出!$K$2:$K$5000="院内")), ROW(A15))),"*あり*"),"夜間",""),""), "")</f>
        <v/>
      </c>
      <c r="M52" s="75" t="str">
        <f t="array" ref="M52">IFERROR(IF(INDEX(Kintoneデータ抽出!I:I, _xlfn.AGGREGATE(15, 6, ROW(Kintoneデータ抽出!$K$2:$K$5000) / ((Kintoneデータ抽出!$K$2:$K$5000="院内")), ROW(A15)))&lt;&gt;"",
IF(COUNTIF(INDEX(Kintoneデータ抽出!I:I, _xlfn.AGGREGATE(15, 6, ROW(Kintoneデータ抽出!$K$2:$K$5000) / ((Kintoneデータ抽出!$K$2:$K$5000="院内")), ROW(A15))),"*あり*"),"学童",""),""), "")</f>
        <v/>
      </c>
      <c r="N52" s="75" t="str">
        <f t="array" ref="N52">IFERROR(IF(INDEX(Kintoneデータ抽出!H:H, _xlfn.AGGREGATE(15, 6, ROW(Kintoneデータ抽出!$K$2:$K$5000) / ((Kintoneデータ抽出!$K$2:$K$5000="院内")), ROW(A15)))&lt;&gt;"",
IF(COUNTIF(INDEX(Kintoneデータ抽出!H:H, _xlfn.AGGREGATE(15, 6, ROW(Kintoneデータ抽出!$K$2:$K$5000) / ((Kintoneデータ抽出!$K$2:$K$5000="院内")), ROW(A15))),"*あり*"),"病児",""),""), "")</f>
        <v/>
      </c>
      <c r="O52" s="94" t="str" cm="1">
        <f t="array" ref="O52">IFERROR(
IF(INDEX(Kintoneデータ抽出!M:M, _xlfn.AGGREGATE(15, 6, ROW(Kintoneデータ抽出!$K$2:$K$5000) / ((Kintoneデータ抽出!$K$2:$K$5000="院内")), ROW(A15)))&lt;&gt;0,INDEX(Kintoneデータ抽出!M:M, _xlfn.AGGREGATE(15, 6, ROW(Kintoneデータ抽出!$K$2:$K$5000) / ((Kintoneデータ抽出!$K$2:$K$5000="院内")), ROW(A15))),""), "")</f>
        <v/>
      </c>
      <c r="P52" s="78" t="str">
        <f t="array" ref="P52">IFERROR(IF(INDEX(Kintoneデータ抽出!L:L, _xlfn.AGGREGATE(15, 6, ROW(Kintoneデータ抽出!$K$2:$K$5000) / ((Kintoneデータ抽出!$K$2:$K$5000="院内")), ROW(A15)))&lt;&gt;"",
IF(COUNTIF(INDEX(Kintoneデータ抽出!L:L, _xlfn.AGGREGATE(15, 6, ROW(Kintoneデータ抽出!$K$2:$K$5000) / ((Kintoneデータ抽出!$K$2:$K$5000="院内")), ROW(A15))),"*企業主導型以外*"),"",
IF(COUNTIF(INDEX(Kintoneデータ抽出!L:L, _xlfn.AGGREGATE(15, 6, ROW(Kintoneデータ抽出!$K$2:$K$5000) / ((Kintoneデータ抽出!$K$2:$K$5000="院内")), ROW(A15))),"*その他*"),"",
IF(COUNTIF(INDEX(Kintoneデータ抽出!L:L, _xlfn.AGGREGATE(15, 6, ROW(Kintoneデータ抽出!$K$2:$K$5000) / ((Kintoneデータ抽出!$K$2:$K$5000="院内")), ROW(A15))),"*新制度*"),"新制度","企業主導型"))),""), "")</f>
        <v/>
      </c>
    </row>
    <row r="53" spans="2:16" ht="34.799999999999997" customHeight="1" x14ac:dyDescent="0.45">
      <c r="B53" s="45"/>
      <c r="C53" s="46"/>
      <c r="D53" s="98" t="str">
        <f t="shared" si="1"/>
        <v/>
      </c>
      <c r="E53" s="99"/>
      <c r="F53" s="75" t="str">
        <f t="array" ref="F53">IFERROR(INDEX(Kintoneデータ抽出!A:A, _xlfn.AGGREGATE(15, 6, ROW(Kintoneデータ抽出!$K$2:$K$5000) / ((Kintoneデータ抽出!$K$2:$K$5000="院内")), ROW(A16))), "")</f>
        <v/>
      </c>
      <c r="G53" s="77" t="str">
        <f t="array" ref="G53">IFERROR(INDEX(Kintoneデータ抽出!D:D, _xlfn.AGGREGATE(15, 6, ROW(Kintoneデータ抽出!$K$2:$K$5000) / ((Kintoneデータ抽出!$K$2:$K$5000="院内")), ROW(A16))), "")</f>
        <v/>
      </c>
      <c r="H53" s="77" t="str">
        <f t="array" ref="H53">IFERROR(INDEX(Kintoneデータ抽出!C:C, _xlfn.AGGREGATE(15, 6, ROW(Kintoneデータ抽出!$K$2:$K$5000) / ((Kintoneデータ抽出!$K$2:$K$5000="院内")), ROW(A16))), "")</f>
        <v/>
      </c>
      <c r="I53" s="75" t="str">
        <f t="array" ref="I53">IFERROR(IF(INDEX(Kintoneデータ抽出!G:G, _xlfn.AGGREGATE(15, 6, ROW(Kintoneデータ抽出!$K$2:$K$5000) / ((Kintoneデータ抽出!$K$2:$K$5000="院内")), ROW(A16)))&lt;&gt;"",INDEX(Kintoneデータ抽出!G:G, _xlfn.AGGREGATE(15, 6, ROW(Kintoneデータ抽出!$K$2:$K$5000) / ((Kintoneデータ抽出!$K$2:$K$5000="院内")), ROW(A16)))&amp;"名",""), "")</f>
        <v/>
      </c>
      <c r="J53" s="76" t="str">
        <f t="array" ref="J53">IFERROR(IF(INDEX(Kintoneデータ抽出!E:E, _xlfn.AGGREGATE(15, 6, ROW(Kintoneデータ抽出!$K$2:$K$5000) / ((Kintoneデータ抽出!$K$2:$K$5000="院内")), ROW(A16)))&lt;&gt;"",
YEAR(INDEX(Kintoneデータ抽出!E:E, _xlfn.AGGREGATE(15, 6, ROW(Kintoneデータ抽出!$K$2:$K$5000) / ((Kintoneデータ抽出!$K$2:$K$5000="院内")), ROW(A16))))&amp;"年"
&amp;MONTH(INDEX(Kintoneデータ抽出!E:E, _xlfn.AGGREGATE(15, 6, ROW(Kintoneデータ抽出!$K$2:$K$5000) / ((Kintoneデータ抽出!$K$2:$K$5000="院内")), ROW(A16))))&amp;"月"
&amp;DAY(INDEX(Kintoneデータ抽出!E:E, _xlfn.AGGREGATE(15, 6, ROW(Kintoneデータ抽出!$K$2:$K$5000) /((Kintoneデータ抽出!$K$2:$K$5000="院内")), ROW(A16))))&amp;"日",""), "")</f>
        <v/>
      </c>
      <c r="K53" s="77" t="str" cm="1">
        <f t="array" ref="K53">IFERROR(IF(INDEX(Kintoneデータ抽出!F:F, _xlfn.AGGREGATE(15, 6, ROW(Kintoneデータ抽出!$K$2:$K$5000) / ((Kintoneデータ抽出!$K$2:$K$5000="院内")), ROW(A16)))&lt;&gt;"",
VLOOKUP(INDEX(Kintoneデータ抽出!F:F, _xlfn.AGGREGATE(15, 6, ROW(Kintoneデータ抽出!$K$2:$K$5000) / ((Kintoneデータ抽出!$K$2:$K$5000="院内")), ROW(A16))),基本開園日の表記!$A$2:$B$13,2,FALSE),""), "")</f>
        <v/>
      </c>
      <c r="L53" s="75" t="str">
        <f t="array" ref="L53">IFERROR(IF(INDEX(Kintoneデータ抽出!F:F, _xlfn.AGGREGATE(15, 6, ROW(Kintoneデータ抽出!$K$2:$K$5000) / ((Kintoneデータ抽出!$K$2:$K$5000="院内")), ROW(A16)))&lt;&gt;"",
IF(COUNTIF(INDEX(Kintoneデータ抽出!F:F, _xlfn.AGGREGATE(15, 6, ROW(Kintoneデータ抽出!$K$2:$K$5000) / ((Kintoneデータ抽出!$K$2:$K$5000="院内")), ROW(A16))),"*あり*"),"夜間",""),""), "")</f>
        <v/>
      </c>
      <c r="M53" s="75" t="str">
        <f t="array" ref="M53">IFERROR(IF(INDEX(Kintoneデータ抽出!I:I, _xlfn.AGGREGATE(15, 6, ROW(Kintoneデータ抽出!$K$2:$K$5000) / ((Kintoneデータ抽出!$K$2:$K$5000="院内")), ROW(A16)))&lt;&gt;"",
IF(COUNTIF(INDEX(Kintoneデータ抽出!I:I, _xlfn.AGGREGATE(15, 6, ROW(Kintoneデータ抽出!$K$2:$K$5000) / ((Kintoneデータ抽出!$K$2:$K$5000="院内")), ROW(A16))),"*あり*"),"学童",""),""), "")</f>
        <v/>
      </c>
      <c r="N53" s="75" t="str">
        <f t="array" ref="N53">IFERROR(IF(INDEX(Kintoneデータ抽出!H:H, _xlfn.AGGREGATE(15, 6, ROW(Kintoneデータ抽出!$K$2:$K$5000) / ((Kintoneデータ抽出!$K$2:$K$5000="院内")), ROW(A16)))&lt;&gt;"",
IF(COUNTIF(INDEX(Kintoneデータ抽出!H:H, _xlfn.AGGREGATE(15, 6, ROW(Kintoneデータ抽出!$K$2:$K$5000) / ((Kintoneデータ抽出!$K$2:$K$5000="院内")), ROW(A16))),"*あり*"),"病児",""),""), "")</f>
        <v/>
      </c>
      <c r="O53" s="94" t="str" cm="1">
        <f t="array" ref="O53">IFERROR(
IF(INDEX(Kintoneデータ抽出!M:M, _xlfn.AGGREGATE(15, 6, ROW(Kintoneデータ抽出!$K$2:$K$5000) / ((Kintoneデータ抽出!$K$2:$K$5000="院内")), ROW(A16)))&lt;&gt;0,INDEX(Kintoneデータ抽出!M:M, _xlfn.AGGREGATE(15, 6, ROW(Kintoneデータ抽出!$K$2:$K$5000) / ((Kintoneデータ抽出!$K$2:$K$5000="院内")), ROW(A16))),""), "")</f>
        <v/>
      </c>
      <c r="P53" s="78" t="str">
        <f t="array" ref="P53">IFERROR(IF(INDEX(Kintoneデータ抽出!L:L, _xlfn.AGGREGATE(15, 6, ROW(Kintoneデータ抽出!$K$2:$K$5000) / ((Kintoneデータ抽出!$K$2:$K$5000="院内")), ROW(A16)))&lt;&gt;"",
IF(COUNTIF(INDEX(Kintoneデータ抽出!L:L, _xlfn.AGGREGATE(15, 6, ROW(Kintoneデータ抽出!$K$2:$K$5000) / ((Kintoneデータ抽出!$K$2:$K$5000="院内")), ROW(A16))),"*企業主導型以外*"),"",
IF(COUNTIF(INDEX(Kintoneデータ抽出!L:L, _xlfn.AGGREGATE(15, 6, ROW(Kintoneデータ抽出!$K$2:$K$5000) / ((Kintoneデータ抽出!$K$2:$K$5000="院内")), ROW(A16))),"*その他*"),"",
IF(COUNTIF(INDEX(Kintoneデータ抽出!L:L, _xlfn.AGGREGATE(15, 6, ROW(Kintoneデータ抽出!$K$2:$K$5000) / ((Kintoneデータ抽出!$K$2:$K$5000="院内")), ROW(A16))),"*新制度*"),"新制度","企業主導型"))),""), "")</f>
        <v/>
      </c>
    </row>
    <row r="54" spans="2:16" ht="34.799999999999997" customHeight="1" x14ac:dyDescent="0.45">
      <c r="B54" s="45"/>
      <c r="C54" s="46"/>
      <c r="D54" s="98" t="str">
        <f t="shared" si="1"/>
        <v/>
      </c>
      <c r="E54" s="99"/>
      <c r="F54" s="75" t="str">
        <f t="array" ref="F54">IFERROR(INDEX(Kintoneデータ抽出!A:A, _xlfn.AGGREGATE(15, 6, ROW(Kintoneデータ抽出!$K$2:$K$5000) / ((Kintoneデータ抽出!$K$2:$K$5000="院内")), ROW(A17))), "")</f>
        <v/>
      </c>
      <c r="G54" s="77" t="str">
        <f t="array" ref="G54">IFERROR(INDEX(Kintoneデータ抽出!D:D, _xlfn.AGGREGATE(15, 6, ROW(Kintoneデータ抽出!$K$2:$K$5000) / ((Kintoneデータ抽出!$K$2:$K$5000="院内")), ROW(A17))), "")</f>
        <v/>
      </c>
      <c r="H54" s="77" t="str">
        <f t="array" ref="H54">IFERROR(INDEX(Kintoneデータ抽出!C:C, _xlfn.AGGREGATE(15, 6, ROW(Kintoneデータ抽出!$K$2:$K$5000) / ((Kintoneデータ抽出!$K$2:$K$5000="院内")), ROW(A17))), "")</f>
        <v/>
      </c>
      <c r="I54" s="75" t="str">
        <f t="array" ref="I54">IFERROR(IF(INDEX(Kintoneデータ抽出!G:G, _xlfn.AGGREGATE(15, 6, ROW(Kintoneデータ抽出!$K$2:$K$5000) / ((Kintoneデータ抽出!$K$2:$K$5000="院内")), ROW(A17)))&lt;&gt;"",INDEX(Kintoneデータ抽出!G:G, _xlfn.AGGREGATE(15, 6, ROW(Kintoneデータ抽出!$K$2:$K$5000) / ((Kintoneデータ抽出!$K$2:$K$5000="院内")), ROW(A17)))&amp;"名",""), "")</f>
        <v/>
      </c>
      <c r="J54" s="76" t="str">
        <f t="array" ref="J54">IFERROR(IF(INDEX(Kintoneデータ抽出!E:E, _xlfn.AGGREGATE(15, 6, ROW(Kintoneデータ抽出!$K$2:$K$5000) / ((Kintoneデータ抽出!$K$2:$K$5000="院内")), ROW(A17)))&lt;&gt;"",
YEAR(INDEX(Kintoneデータ抽出!E:E, _xlfn.AGGREGATE(15, 6, ROW(Kintoneデータ抽出!$K$2:$K$5000) / ((Kintoneデータ抽出!$K$2:$K$5000="院内")), ROW(A17))))&amp;"年"
&amp;MONTH(INDEX(Kintoneデータ抽出!E:E, _xlfn.AGGREGATE(15, 6, ROW(Kintoneデータ抽出!$K$2:$K$5000) / ((Kintoneデータ抽出!$K$2:$K$5000="院内")), ROW(A17))))&amp;"月"
&amp;DAY(INDEX(Kintoneデータ抽出!E:E, _xlfn.AGGREGATE(15, 6, ROW(Kintoneデータ抽出!$K$2:$K$5000) /((Kintoneデータ抽出!$K$2:$K$5000="院内")), ROW(A17))))&amp;"日",""), "")</f>
        <v/>
      </c>
      <c r="K54" s="77" t="str" cm="1">
        <f t="array" ref="K54">IFERROR(IF(INDEX(Kintoneデータ抽出!F:F, _xlfn.AGGREGATE(15, 6, ROW(Kintoneデータ抽出!$K$2:$K$5000) / ((Kintoneデータ抽出!$K$2:$K$5000="院内")), ROW(A17)))&lt;&gt;"",
VLOOKUP(INDEX(Kintoneデータ抽出!F:F, _xlfn.AGGREGATE(15, 6, ROW(Kintoneデータ抽出!$K$2:$K$5000) / ((Kintoneデータ抽出!$K$2:$K$5000="院内")), ROW(A17))),基本開園日の表記!$A$2:$B$13,2,FALSE),""), "")</f>
        <v/>
      </c>
      <c r="L54" s="75" t="str">
        <f t="array" ref="L54">IFERROR(IF(INDEX(Kintoneデータ抽出!F:F, _xlfn.AGGREGATE(15, 6, ROW(Kintoneデータ抽出!$K$2:$K$5000) / ((Kintoneデータ抽出!$K$2:$K$5000="院内")), ROW(A17)))&lt;&gt;"",
IF(COUNTIF(INDEX(Kintoneデータ抽出!F:F, _xlfn.AGGREGATE(15, 6, ROW(Kintoneデータ抽出!$K$2:$K$5000) / ((Kintoneデータ抽出!$K$2:$K$5000="院内")), ROW(A17))),"*あり*"),"夜間",""),""), "")</f>
        <v/>
      </c>
      <c r="M54" s="75" t="str">
        <f t="array" ref="M54">IFERROR(IF(INDEX(Kintoneデータ抽出!I:I, _xlfn.AGGREGATE(15, 6, ROW(Kintoneデータ抽出!$K$2:$K$5000) / ((Kintoneデータ抽出!$K$2:$K$5000="院内")), ROW(A17)))&lt;&gt;"",
IF(COUNTIF(INDEX(Kintoneデータ抽出!I:I, _xlfn.AGGREGATE(15, 6, ROW(Kintoneデータ抽出!$K$2:$K$5000) / ((Kintoneデータ抽出!$K$2:$K$5000="院内")), ROW(A17))),"*あり*"),"学童",""),""), "")</f>
        <v/>
      </c>
      <c r="N54" s="75" t="str">
        <f t="array" ref="N54">IFERROR(IF(INDEX(Kintoneデータ抽出!H:H, _xlfn.AGGREGATE(15, 6, ROW(Kintoneデータ抽出!$K$2:$K$5000) / ((Kintoneデータ抽出!$K$2:$K$5000="院内")), ROW(A17)))&lt;&gt;"",
IF(COUNTIF(INDEX(Kintoneデータ抽出!H:H, _xlfn.AGGREGATE(15, 6, ROW(Kintoneデータ抽出!$K$2:$K$5000) / ((Kintoneデータ抽出!$K$2:$K$5000="院内")), ROW(A17))),"*あり*"),"病児",""),""), "")</f>
        <v/>
      </c>
      <c r="O54" s="94" t="str" cm="1">
        <f t="array" ref="O54">IFERROR(
IF(INDEX(Kintoneデータ抽出!M:M, _xlfn.AGGREGATE(15, 6, ROW(Kintoneデータ抽出!$K$2:$K$5000) / ((Kintoneデータ抽出!$K$2:$K$5000="院内")), ROW(A17)))&lt;&gt;0,INDEX(Kintoneデータ抽出!M:M, _xlfn.AGGREGATE(15, 6, ROW(Kintoneデータ抽出!$K$2:$K$5000) / ((Kintoneデータ抽出!$K$2:$K$5000="院内")), ROW(A17))),""), "")</f>
        <v/>
      </c>
      <c r="P54" s="78" t="str">
        <f t="array" ref="P54">IFERROR(IF(INDEX(Kintoneデータ抽出!L:L, _xlfn.AGGREGATE(15, 6, ROW(Kintoneデータ抽出!$K$2:$K$5000) / ((Kintoneデータ抽出!$K$2:$K$5000="院内")), ROW(A17)))&lt;&gt;"",
IF(COUNTIF(INDEX(Kintoneデータ抽出!L:L, _xlfn.AGGREGATE(15, 6, ROW(Kintoneデータ抽出!$K$2:$K$5000) / ((Kintoneデータ抽出!$K$2:$K$5000="院内")), ROW(A17))),"*企業主導型以外*"),"",
IF(COUNTIF(INDEX(Kintoneデータ抽出!L:L, _xlfn.AGGREGATE(15, 6, ROW(Kintoneデータ抽出!$K$2:$K$5000) / ((Kintoneデータ抽出!$K$2:$K$5000="院内")), ROW(A17))),"*その他*"),"",
IF(COUNTIF(INDEX(Kintoneデータ抽出!L:L, _xlfn.AGGREGATE(15, 6, ROW(Kintoneデータ抽出!$K$2:$K$5000) / ((Kintoneデータ抽出!$K$2:$K$5000="院内")), ROW(A17))),"*新制度*"),"新制度","企業主導型"))),""), "")</f>
        <v/>
      </c>
    </row>
    <row r="55" spans="2:16" ht="34.799999999999997" customHeight="1" x14ac:dyDescent="0.45">
      <c r="B55" s="45"/>
      <c r="C55" s="46"/>
      <c r="D55" s="98" t="str">
        <f t="shared" si="1"/>
        <v/>
      </c>
      <c r="E55" s="99"/>
      <c r="F55" s="75" t="str">
        <f t="array" ref="F55">IFERROR(INDEX(Kintoneデータ抽出!A:A, _xlfn.AGGREGATE(15, 6, ROW(Kintoneデータ抽出!$K$2:$K$5000) / ((Kintoneデータ抽出!$K$2:$K$5000="院内")), ROW(A18))), "")</f>
        <v/>
      </c>
      <c r="G55" s="77" t="str">
        <f t="array" ref="G55">IFERROR(INDEX(Kintoneデータ抽出!D:D, _xlfn.AGGREGATE(15, 6, ROW(Kintoneデータ抽出!$K$2:$K$5000) / ((Kintoneデータ抽出!$K$2:$K$5000="院内")), ROW(A18))), "")</f>
        <v/>
      </c>
      <c r="H55" s="77" t="str">
        <f t="array" ref="H55">IFERROR(INDEX(Kintoneデータ抽出!C:C, _xlfn.AGGREGATE(15, 6, ROW(Kintoneデータ抽出!$K$2:$K$5000) / ((Kintoneデータ抽出!$K$2:$K$5000="院内")), ROW(A18))), "")</f>
        <v/>
      </c>
      <c r="I55" s="75" t="str">
        <f t="array" ref="I55">IFERROR(IF(INDEX(Kintoneデータ抽出!G:G, _xlfn.AGGREGATE(15, 6, ROW(Kintoneデータ抽出!$K$2:$K$5000) / ((Kintoneデータ抽出!$K$2:$K$5000="院内")), ROW(A18)))&lt;&gt;"",INDEX(Kintoneデータ抽出!G:G, _xlfn.AGGREGATE(15, 6, ROW(Kintoneデータ抽出!$K$2:$K$5000) / ((Kintoneデータ抽出!$K$2:$K$5000="院内")), ROW(A18)))&amp;"名",""), "")</f>
        <v/>
      </c>
      <c r="J55" s="76" t="str">
        <f t="array" ref="J55">IFERROR(IF(INDEX(Kintoneデータ抽出!E:E, _xlfn.AGGREGATE(15, 6, ROW(Kintoneデータ抽出!$K$2:$K$5000) / ((Kintoneデータ抽出!$K$2:$K$5000="院内")), ROW(A18)))&lt;&gt;"",
YEAR(INDEX(Kintoneデータ抽出!E:E, _xlfn.AGGREGATE(15, 6, ROW(Kintoneデータ抽出!$K$2:$K$5000) / ((Kintoneデータ抽出!$K$2:$K$5000="院内")), ROW(A18))))&amp;"年"
&amp;MONTH(INDEX(Kintoneデータ抽出!E:E, _xlfn.AGGREGATE(15, 6, ROW(Kintoneデータ抽出!$K$2:$K$5000) / ((Kintoneデータ抽出!$K$2:$K$5000="院内")), ROW(A18))))&amp;"月"
&amp;DAY(INDEX(Kintoneデータ抽出!E:E, _xlfn.AGGREGATE(15, 6, ROW(Kintoneデータ抽出!$K$2:$K$5000) /((Kintoneデータ抽出!$K$2:$K$5000="院内")), ROW(A18))))&amp;"日",""), "")</f>
        <v/>
      </c>
      <c r="K55" s="77" t="str" cm="1">
        <f t="array" ref="K55">IFERROR(IF(INDEX(Kintoneデータ抽出!F:F, _xlfn.AGGREGATE(15, 6, ROW(Kintoneデータ抽出!$K$2:$K$5000) / ((Kintoneデータ抽出!$K$2:$K$5000="院内")), ROW(A18)))&lt;&gt;"",
VLOOKUP(INDEX(Kintoneデータ抽出!F:F, _xlfn.AGGREGATE(15, 6, ROW(Kintoneデータ抽出!$K$2:$K$5000) / ((Kintoneデータ抽出!$K$2:$K$5000="院内")), ROW(A18))),基本開園日の表記!$A$2:$B$13,2,FALSE),""), "")</f>
        <v/>
      </c>
      <c r="L55" s="75" t="str">
        <f t="array" ref="L55">IFERROR(IF(INDEX(Kintoneデータ抽出!F:F, _xlfn.AGGREGATE(15, 6, ROW(Kintoneデータ抽出!$K$2:$K$5000) / ((Kintoneデータ抽出!$K$2:$K$5000="院内")), ROW(A18)))&lt;&gt;"",
IF(COUNTIF(INDEX(Kintoneデータ抽出!F:F, _xlfn.AGGREGATE(15, 6, ROW(Kintoneデータ抽出!$K$2:$K$5000) / ((Kintoneデータ抽出!$K$2:$K$5000="院内")), ROW(A18))),"*あり*"),"夜間",""),""), "")</f>
        <v/>
      </c>
      <c r="M55" s="75" t="str">
        <f t="array" ref="M55">IFERROR(IF(INDEX(Kintoneデータ抽出!I:I, _xlfn.AGGREGATE(15, 6, ROW(Kintoneデータ抽出!$K$2:$K$5000) / ((Kintoneデータ抽出!$K$2:$K$5000="院内")), ROW(A18)))&lt;&gt;"",
IF(COUNTIF(INDEX(Kintoneデータ抽出!I:I, _xlfn.AGGREGATE(15, 6, ROW(Kintoneデータ抽出!$K$2:$K$5000) / ((Kintoneデータ抽出!$K$2:$K$5000="院内")), ROW(A18))),"*あり*"),"学童",""),""), "")</f>
        <v/>
      </c>
      <c r="N55" s="75" t="str">
        <f t="array" ref="N55">IFERROR(IF(INDEX(Kintoneデータ抽出!H:H, _xlfn.AGGREGATE(15, 6, ROW(Kintoneデータ抽出!$K$2:$K$5000) / ((Kintoneデータ抽出!$K$2:$K$5000="院内")), ROW(A18)))&lt;&gt;"",
IF(COUNTIF(INDEX(Kintoneデータ抽出!H:H, _xlfn.AGGREGATE(15, 6, ROW(Kintoneデータ抽出!$K$2:$K$5000) / ((Kintoneデータ抽出!$K$2:$K$5000="院内")), ROW(A18))),"*あり*"),"病児",""),""), "")</f>
        <v/>
      </c>
      <c r="O55" s="94" t="str" cm="1">
        <f t="array" ref="O55">IFERROR(
IF(INDEX(Kintoneデータ抽出!M:M, _xlfn.AGGREGATE(15, 6, ROW(Kintoneデータ抽出!$K$2:$K$5000) / ((Kintoneデータ抽出!$K$2:$K$5000="院内")), ROW(A18)))&lt;&gt;0,INDEX(Kintoneデータ抽出!M:M, _xlfn.AGGREGATE(15, 6, ROW(Kintoneデータ抽出!$K$2:$K$5000) / ((Kintoneデータ抽出!$K$2:$K$5000="院内")), ROW(A18))),""), "")</f>
        <v/>
      </c>
      <c r="P55" s="78" t="str">
        <f t="array" ref="P55">IFERROR(IF(INDEX(Kintoneデータ抽出!L:L, _xlfn.AGGREGATE(15, 6, ROW(Kintoneデータ抽出!$K$2:$K$5000) / ((Kintoneデータ抽出!$K$2:$K$5000="院内")), ROW(A18)))&lt;&gt;"",
IF(COUNTIF(INDEX(Kintoneデータ抽出!L:L, _xlfn.AGGREGATE(15, 6, ROW(Kintoneデータ抽出!$K$2:$K$5000) / ((Kintoneデータ抽出!$K$2:$K$5000="院内")), ROW(A18))),"*企業主導型以外*"),"",
IF(COUNTIF(INDEX(Kintoneデータ抽出!L:L, _xlfn.AGGREGATE(15, 6, ROW(Kintoneデータ抽出!$K$2:$K$5000) / ((Kintoneデータ抽出!$K$2:$K$5000="院内")), ROW(A18))),"*その他*"),"",
IF(COUNTIF(INDEX(Kintoneデータ抽出!L:L, _xlfn.AGGREGATE(15, 6, ROW(Kintoneデータ抽出!$K$2:$K$5000) / ((Kintoneデータ抽出!$K$2:$K$5000="院内")), ROW(A18))),"*新制度*"),"新制度","企業主導型"))),""), "")</f>
        <v/>
      </c>
    </row>
    <row r="56" spans="2:16" ht="34.799999999999997" customHeight="1" x14ac:dyDescent="0.45">
      <c r="B56" s="45"/>
      <c r="C56" s="46"/>
      <c r="D56" s="98" t="str">
        <f t="shared" si="1"/>
        <v/>
      </c>
      <c r="E56" s="99"/>
      <c r="F56" s="75" t="str">
        <f t="array" ref="F56">IFERROR(INDEX(Kintoneデータ抽出!A:A, _xlfn.AGGREGATE(15, 6, ROW(Kintoneデータ抽出!$K$2:$K$5000) / ((Kintoneデータ抽出!$K$2:$K$5000="院内")), ROW(A19))), "")</f>
        <v/>
      </c>
      <c r="G56" s="77" t="str">
        <f t="array" ref="G56">IFERROR(INDEX(Kintoneデータ抽出!D:D, _xlfn.AGGREGATE(15, 6, ROW(Kintoneデータ抽出!$K$2:$K$5000) / ((Kintoneデータ抽出!$K$2:$K$5000="院内")), ROW(A19))), "")</f>
        <v/>
      </c>
      <c r="H56" s="77" t="str">
        <f t="array" ref="H56">IFERROR(INDEX(Kintoneデータ抽出!C:C, _xlfn.AGGREGATE(15, 6, ROW(Kintoneデータ抽出!$K$2:$K$5000) / ((Kintoneデータ抽出!$K$2:$K$5000="院内")), ROW(A19))), "")</f>
        <v/>
      </c>
      <c r="I56" s="75" t="str">
        <f t="array" ref="I56">IFERROR(IF(INDEX(Kintoneデータ抽出!G:G, _xlfn.AGGREGATE(15, 6, ROW(Kintoneデータ抽出!$K$2:$K$5000) / ((Kintoneデータ抽出!$K$2:$K$5000="院内")), ROW(A19)))&lt;&gt;"",INDEX(Kintoneデータ抽出!G:G, _xlfn.AGGREGATE(15, 6, ROW(Kintoneデータ抽出!$K$2:$K$5000) / ((Kintoneデータ抽出!$K$2:$K$5000="院内")), ROW(A19)))&amp;"名",""), "")</f>
        <v/>
      </c>
      <c r="J56" s="76" t="str">
        <f t="array" ref="J56">IFERROR(IF(INDEX(Kintoneデータ抽出!E:E, _xlfn.AGGREGATE(15, 6, ROW(Kintoneデータ抽出!$K$2:$K$5000) / ((Kintoneデータ抽出!$K$2:$K$5000="院内")), ROW(A19)))&lt;&gt;"",
YEAR(INDEX(Kintoneデータ抽出!E:E, _xlfn.AGGREGATE(15, 6, ROW(Kintoneデータ抽出!$K$2:$K$5000) / ((Kintoneデータ抽出!$K$2:$K$5000="院内")), ROW(A19))))&amp;"年"
&amp;MONTH(INDEX(Kintoneデータ抽出!E:E, _xlfn.AGGREGATE(15, 6, ROW(Kintoneデータ抽出!$K$2:$K$5000) / ((Kintoneデータ抽出!$K$2:$K$5000="院内")), ROW(A19))))&amp;"月"
&amp;DAY(INDEX(Kintoneデータ抽出!E:E, _xlfn.AGGREGATE(15, 6, ROW(Kintoneデータ抽出!$K$2:$K$5000) /((Kintoneデータ抽出!$K$2:$K$5000="院内")), ROW(A19))))&amp;"日",""), "")</f>
        <v/>
      </c>
      <c r="K56" s="77" t="str" cm="1">
        <f t="array" ref="K56">IFERROR(IF(INDEX(Kintoneデータ抽出!F:F, _xlfn.AGGREGATE(15, 6, ROW(Kintoneデータ抽出!$K$2:$K$5000) / ((Kintoneデータ抽出!$K$2:$K$5000="院内")), ROW(A19)))&lt;&gt;"",
VLOOKUP(INDEX(Kintoneデータ抽出!F:F, _xlfn.AGGREGATE(15, 6, ROW(Kintoneデータ抽出!$K$2:$K$5000) / ((Kintoneデータ抽出!$K$2:$K$5000="院内")), ROW(A19))),基本開園日の表記!$A$2:$B$13,2,FALSE),""), "")</f>
        <v/>
      </c>
      <c r="L56" s="75" t="str">
        <f t="array" ref="L56">IFERROR(IF(INDEX(Kintoneデータ抽出!F:F, _xlfn.AGGREGATE(15, 6, ROW(Kintoneデータ抽出!$K$2:$K$5000) / ((Kintoneデータ抽出!$K$2:$K$5000="院内")), ROW(A19)))&lt;&gt;"",
IF(COUNTIF(INDEX(Kintoneデータ抽出!F:F, _xlfn.AGGREGATE(15, 6, ROW(Kintoneデータ抽出!$K$2:$K$5000) / ((Kintoneデータ抽出!$K$2:$K$5000="院内")), ROW(A19))),"*あり*"),"夜間",""),""), "")</f>
        <v/>
      </c>
      <c r="M56" s="75" t="str">
        <f t="array" ref="M56">IFERROR(IF(INDEX(Kintoneデータ抽出!I:I, _xlfn.AGGREGATE(15, 6, ROW(Kintoneデータ抽出!$K$2:$K$5000) / ((Kintoneデータ抽出!$K$2:$K$5000="院内")), ROW(A19)))&lt;&gt;"",
IF(COUNTIF(INDEX(Kintoneデータ抽出!I:I, _xlfn.AGGREGATE(15, 6, ROW(Kintoneデータ抽出!$K$2:$K$5000) / ((Kintoneデータ抽出!$K$2:$K$5000="院内")), ROW(A19))),"*あり*"),"学童",""),""), "")</f>
        <v/>
      </c>
      <c r="N56" s="75" t="str">
        <f t="array" ref="N56">IFERROR(IF(INDEX(Kintoneデータ抽出!H:H, _xlfn.AGGREGATE(15, 6, ROW(Kintoneデータ抽出!$K$2:$K$5000) / ((Kintoneデータ抽出!$K$2:$K$5000="院内")), ROW(A19)))&lt;&gt;"",
IF(COUNTIF(INDEX(Kintoneデータ抽出!H:H, _xlfn.AGGREGATE(15, 6, ROW(Kintoneデータ抽出!$K$2:$K$5000) / ((Kintoneデータ抽出!$K$2:$K$5000="院内")), ROW(A19))),"*あり*"),"病児",""),""), "")</f>
        <v/>
      </c>
      <c r="O56" s="94" t="str" cm="1">
        <f t="array" ref="O56">IFERROR(
IF(INDEX(Kintoneデータ抽出!M:M, _xlfn.AGGREGATE(15, 6, ROW(Kintoneデータ抽出!$K$2:$K$5000) / ((Kintoneデータ抽出!$K$2:$K$5000="院内")), ROW(A19)))&lt;&gt;0,INDEX(Kintoneデータ抽出!M:M, _xlfn.AGGREGATE(15, 6, ROW(Kintoneデータ抽出!$K$2:$K$5000) / ((Kintoneデータ抽出!$K$2:$K$5000="院内")), ROW(A19))),""), "")</f>
        <v/>
      </c>
      <c r="P56" s="78" t="str">
        <f t="array" ref="P56">IFERROR(IF(INDEX(Kintoneデータ抽出!L:L, _xlfn.AGGREGATE(15, 6, ROW(Kintoneデータ抽出!$K$2:$K$5000) / ((Kintoneデータ抽出!$K$2:$K$5000="院内")), ROW(A19)))&lt;&gt;"",
IF(COUNTIF(INDEX(Kintoneデータ抽出!L:L, _xlfn.AGGREGATE(15, 6, ROW(Kintoneデータ抽出!$K$2:$K$5000) / ((Kintoneデータ抽出!$K$2:$K$5000="院内")), ROW(A19))),"*企業主導型以外*"),"",
IF(COUNTIF(INDEX(Kintoneデータ抽出!L:L, _xlfn.AGGREGATE(15, 6, ROW(Kintoneデータ抽出!$K$2:$K$5000) / ((Kintoneデータ抽出!$K$2:$K$5000="院内")), ROW(A19))),"*その他*"),"",
IF(COUNTIF(INDEX(Kintoneデータ抽出!L:L, _xlfn.AGGREGATE(15, 6, ROW(Kintoneデータ抽出!$K$2:$K$5000) / ((Kintoneデータ抽出!$K$2:$K$5000="院内")), ROW(A19))),"*新制度*"),"新制度","企業主導型"))),""), "")</f>
        <v/>
      </c>
    </row>
    <row r="57" spans="2:16" ht="34.799999999999997" customHeight="1" x14ac:dyDescent="0.45">
      <c r="B57" s="45"/>
      <c r="C57" s="46"/>
      <c r="D57" s="98" t="str">
        <f t="shared" si="1"/>
        <v/>
      </c>
      <c r="E57" s="99"/>
      <c r="F57" s="75" t="str">
        <f t="array" ref="F57">IFERROR(INDEX(Kintoneデータ抽出!A:A, _xlfn.AGGREGATE(15, 6, ROW(Kintoneデータ抽出!$K$2:$K$5000) / ((Kintoneデータ抽出!$K$2:$K$5000="院内")), ROW(A20))), "")</f>
        <v/>
      </c>
      <c r="G57" s="77" t="str">
        <f t="array" ref="G57">IFERROR(INDEX(Kintoneデータ抽出!D:D, _xlfn.AGGREGATE(15, 6, ROW(Kintoneデータ抽出!$K$2:$K$5000) / ((Kintoneデータ抽出!$K$2:$K$5000="院内")), ROW(A20))), "")</f>
        <v/>
      </c>
      <c r="H57" s="77" t="str">
        <f t="array" ref="H57">IFERROR(INDEX(Kintoneデータ抽出!C:C, _xlfn.AGGREGATE(15, 6, ROW(Kintoneデータ抽出!$K$2:$K$5000) / ((Kintoneデータ抽出!$K$2:$K$5000="院内")), ROW(A20))), "")</f>
        <v/>
      </c>
      <c r="I57" s="75" t="str">
        <f t="array" ref="I57">IFERROR(IF(INDEX(Kintoneデータ抽出!G:G, _xlfn.AGGREGATE(15, 6, ROW(Kintoneデータ抽出!$K$2:$K$5000) / ((Kintoneデータ抽出!$K$2:$K$5000="院内")), ROW(A20)))&lt;&gt;"",INDEX(Kintoneデータ抽出!G:G, _xlfn.AGGREGATE(15, 6, ROW(Kintoneデータ抽出!$K$2:$K$5000) / ((Kintoneデータ抽出!$K$2:$K$5000="院内")), ROW(A20)))&amp;"名",""), "")</f>
        <v/>
      </c>
      <c r="J57" s="76" t="str">
        <f t="array" ref="J57">IFERROR(IF(INDEX(Kintoneデータ抽出!E:E, _xlfn.AGGREGATE(15, 6, ROW(Kintoneデータ抽出!$K$2:$K$5000) / ((Kintoneデータ抽出!$K$2:$K$5000="院内")), ROW(A20)))&lt;&gt;"",
YEAR(INDEX(Kintoneデータ抽出!E:E, _xlfn.AGGREGATE(15, 6, ROW(Kintoneデータ抽出!$K$2:$K$5000) / ((Kintoneデータ抽出!$K$2:$K$5000="院内")), ROW(A20))))&amp;"年"
&amp;MONTH(INDEX(Kintoneデータ抽出!E:E, _xlfn.AGGREGATE(15, 6, ROW(Kintoneデータ抽出!$K$2:$K$5000) / ((Kintoneデータ抽出!$K$2:$K$5000="院内")), ROW(A20))))&amp;"月"
&amp;DAY(INDEX(Kintoneデータ抽出!E:E, _xlfn.AGGREGATE(15, 6, ROW(Kintoneデータ抽出!$K$2:$K$5000) /((Kintoneデータ抽出!$K$2:$K$5000="院内")), ROW(A20))))&amp;"日",""), "")</f>
        <v/>
      </c>
      <c r="K57" s="77" t="str" cm="1">
        <f t="array" ref="K57">IFERROR(IF(INDEX(Kintoneデータ抽出!F:F, _xlfn.AGGREGATE(15, 6, ROW(Kintoneデータ抽出!$K$2:$K$5000) / ((Kintoneデータ抽出!$K$2:$K$5000="院内")), ROW(A20)))&lt;&gt;"",
VLOOKUP(INDEX(Kintoneデータ抽出!F:F, _xlfn.AGGREGATE(15, 6, ROW(Kintoneデータ抽出!$K$2:$K$5000) / ((Kintoneデータ抽出!$K$2:$K$5000="院内")), ROW(A20))),基本開園日の表記!$A$2:$B$13,2,FALSE),""), "")</f>
        <v/>
      </c>
      <c r="L57" s="75" t="str">
        <f t="array" ref="L57">IFERROR(IF(INDEX(Kintoneデータ抽出!F:F, _xlfn.AGGREGATE(15, 6, ROW(Kintoneデータ抽出!$K$2:$K$5000) / ((Kintoneデータ抽出!$K$2:$K$5000="院内")), ROW(A20)))&lt;&gt;"",
IF(COUNTIF(INDEX(Kintoneデータ抽出!F:F, _xlfn.AGGREGATE(15, 6, ROW(Kintoneデータ抽出!$K$2:$K$5000) / ((Kintoneデータ抽出!$K$2:$K$5000="院内")), ROW(A20))),"*あり*"),"夜間",""),""), "")</f>
        <v/>
      </c>
      <c r="M57" s="75" t="str">
        <f t="array" ref="M57">IFERROR(IF(INDEX(Kintoneデータ抽出!I:I, _xlfn.AGGREGATE(15, 6, ROW(Kintoneデータ抽出!$K$2:$K$5000) / ((Kintoneデータ抽出!$K$2:$K$5000="院内")), ROW(A20)))&lt;&gt;"",
IF(COUNTIF(INDEX(Kintoneデータ抽出!I:I, _xlfn.AGGREGATE(15, 6, ROW(Kintoneデータ抽出!$K$2:$K$5000) / ((Kintoneデータ抽出!$K$2:$K$5000="院内")), ROW(A20))),"*あり*"),"学童",""),""), "")</f>
        <v/>
      </c>
      <c r="N57" s="75" t="str">
        <f t="array" ref="N57">IFERROR(IF(INDEX(Kintoneデータ抽出!H:H, _xlfn.AGGREGATE(15, 6, ROW(Kintoneデータ抽出!$K$2:$K$5000) / ((Kintoneデータ抽出!$K$2:$K$5000="院内")), ROW(A20)))&lt;&gt;"",
IF(COUNTIF(INDEX(Kintoneデータ抽出!H:H, _xlfn.AGGREGATE(15, 6, ROW(Kintoneデータ抽出!$K$2:$K$5000) / ((Kintoneデータ抽出!$K$2:$K$5000="院内")), ROW(A20))),"*あり*"),"病児",""),""), "")</f>
        <v/>
      </c>
      <c r="O57" s="94" t="str" cm="1">
        <f t="array" ref="O57">IFERROR(
IF(INDEX(Kintoneデータ抽出!M:M, _xlfn.AGGREGATE(15, 6, ROW(Kintoneデータ抽出!$K$2:$K$5000) / ((Kintoneデータ抽出!$K$2:$K$5000="院内")), ROW(A20)))&lt;&gt;0,INDEX(Kintoneデータ抽出!M:M, _xlfn.AGGREGATE(15, 6, ROW(Kintoneデータ抽出!$K$2:$K$5000) / ((Kintoneデータ抽出!$K$2:$K$5000="院内")), ROW(A20))),""), "")</f>
        <v/>
      </c>
      <c r="P57" s="78" t="str">
        <f t="array" ref="P57">IFERROR(IF(INDEX(Kintoneデータ抽出!L:L, _xlfn.AGGREGATE(15, 6, ROW(Kintoneデータ抽出!$K$2:$K$5000) / ((Kintoneデータ抽出!$K$2:$K$5000="院内")), ROW(A20)))&lt;&gt;"",
IF(COUNTIF(INDEX(Kintoneデータ抽出!L:L, _xlfn.AGGREGATE(15, 6, ROW(Kintoneデータ抽出!$K$2:$K$5000) / ((Kintoneデータ抽出!$K$2:$K$5000="院内")), ROW(A20))),"*企業主導型以外*"),"",
IF(COUNTIF(INDEX(Kintoneデータ抽出!L:L, _xlfn.AGGREGATE(15, 6, ROW(Kintoneデータ抽出!$K$2:$K$5000) / ((Kintoneデータ抽出!$K$2:$K$5000="院内")), ROW(A20))),"*その他*"),"",
IF(COUNTIF(INDEX(Kintoneデータ抽出!L:L, _xlfn.AGGREGATE(15, 6, ROW(Kintoneデータ抽出!$K$2:$K$5000) / ((Kintoneデータ抽出!$K$2:$K$5000="院内")), ROW(A20))),"*新制度*"),"新制度","企業主導型"))),""), "")</f>
        <v/>
      </c>
    </row>
    <row r="58" spans="2:16" ht="34.799999999999997" customHeight="1" x14ac:dyDescent="0.45">
      <c r="B58" s="45"/>
      <c r="C58" s="46"/>
      <c r="D58" s="98" t="str">
        <f t="shared" si="1"/>
        <v/>
      </c>
      <c r="E58" s="99"/>
      <c r="F58" s="75" t="str">
        <f t="array" ref="F58">IFERROR(INDEX(Kintoneデータ抽出!A:A, _xlfn.AGGREGATE(15, 6, ROW(Kintoneデータ抽出!$K$2:$K$5000) / ((Kintoneデータ抽出!$K$2:$K$5000="院内")), ROW(A21))), "")</f>
        <v/>
      </c>
      <c r="G58" s="77" t="str">
        <f t="array" ref="G58">IFERROR(INDEX(Kintoneデータ抽出!D:D, _xlfn.AGGREGATE(15, 6, ROW(Kintoneデータ抽出!$K$2:$K$5000) / ((Kintoneデータ抽出!$K$2:$K$5000="院内")), ROW(A21))), "")</f>
        <v/>
      </c>
      <c r="H58" s="77" t="str">
        <f t="array" ref="H58">IFERROR(INDEX(Kintoneデータ抽出!C:C, _xlfn.AGGREGATE(15, 6, ROW(Kintoneデータ抽出!$K$2:$K$5000) / ((Kintoneデータ抽出!$K$2:$K$5000="院内")), ROW(A21))), "")</f>
        <v/>
      </c>
      <c r="I58" s="75" t="str">
        <f t="array" ref="I58">IFERROR(IF(INDEX(Kintoneデータ抽出!G:G, _xlfn.AGGREGATE(15, 6, ROW(Kintoneデータ抽出!$K$2:$K$5000) / ((Kintoneデータ抽出!$K$2:$K$5000="院内")), ROW(A21)))&lt;&gt;"",INDEX(Kintoneデータ抽出!G:G, _xlfn.AGGREGATE(15, 6, ROW(Kintoneデータ抽出!$K$2:$K$5000) / ((Kintoneデータ抽出!$K$2:$K$5000="院内")), ROW(A21)))&amp;"名",""), "")</f>
        <v/>
      </c>
      <c r="J58" s="76" t="str">
        <f t="array" ref="J58">IFERROR(IF(INDEX(Kintoneデータ抽出!E:E, _xlfn.AGGREGATE(15, 6, ROW(Kintoneデータ抽出!$K$2:$K$5000) / ((Kintoneデータ抽出!$K$2:$K$5000="院内")), ROW(A21)))&lt;&gt;"",
YEAR(INDEX(Kintoneデータ抽出!E:E, _xlfn.AGGREGATE(15, 6, ROW(Kintoneデータ抽出!$K$2:$K$5000) / ((Kintoneデータ抽出!$K$2:$K$5000="院内")), ROW(A21))))&amp;"年"
&amp;MONTH(INDEX(Kintoneデータ抽出!E:E, _xlfn.AGGREGATE(15, 6, ROW(Kintoneデータ抽出!$K$2:$K$5000) / ((Kintoneデータ抽出!$K$2:$K$5000="院内")), ROW(A21))))&amp;"月"
&amp;DAY(INDEX(Kintoneデータ抽出!E:E, _xlfn.AGGREGATE(15, 6, ROW(Kintoneデータ抽出!$K$2:$K$5000) /((Kintoneデータ抽出!$K$2:$K$5000="院内")), ROW(A21))))&amp;"日",""), "")</f>
        <v/>
      </c>
      <c r="K58" s="77" t="str" cm="1">
        <f t="array" ref="K58">IFERROR(IF(INDEX(Kintoneデータ抽出!F:F, _xlfn.AGGREGATE(15, 6, ROW(Kintoneデータ抽出!$K$2:$K$5000) / ((Kintoneデータ抽出!$K$2:$K$5000="院内")), ROW(A21)))&lt;&gt;"",
VLOOKUP(INDEX(Kintoneデータ抽出!F:F, _xlfn.AGGREGATE(15, 6, ROW(Kintoneデータ抽出!$K$2:$K$5000) / ((Kintoneデータ抽出!$K$2:$K$5000="院内")), ROW(A21))),基本開園日の表記!$A$2:$B$13,2,FALSE),""), "")</f>
        <v/>
      </c>
      <c r="L58" s="75" t="str">
        <f t="array" ref="L58">IFERROR(IF(INDEX(Kintoneデータ抽出!F:F, _xlfn.AGGREGATE(15, 6, ROW(Kintoneデータ抽出!$K$2:$K$5000) / ((Kintoneデータ抽出!$K$2:$K$5000="院内")), ROW(A21)))&lt;&gt;"",
IF(COUNTIF(INDEX(Kintoneデータ抽出!F:F, _xlfn.AGGREGATE(15, 6, ROW(Kintoneデータ抽出!$K$2:$K$5000) / ((Kintoneデータ抽出!$K$2:$K$5000="院内")), ROW(A21))),"*あり*"),"夜間",""),""), "")</f>
        <v/>
      </c>
      <c r="M58" s="75" t="str">
        <f t="array" ref="M58">IFERROR(IF(INDEX(Kintoneデータ抽出!I:I, _xlfn.AGGREGATE(15, 6, ROW(Kintoneデータ抽出!$K$2:$K$5000) / ((Kintoneデータ抽出!$K$2:$K$5000="院内")), ROW(A21)))&lt;&gt;"",
IF(COUNTIF(INDEX(Kintoneデータ抽出!I:I, _xlfn.AGGREGATE(15, 6, ROW(Kintoneデータ抽出!$K$2:$K$5000) / ((Kintoneデータ抽出!$K$2:$K$5000="院内")), ROW(A21))),"*あり*"),"学童",""),""), "")</f>
        <v/>
      </c>
      <c r="N58" s="75" t="str">
        <f t="array" ref="N58">IFERROR(IF(INDEX(Kintoneデータ抽出!H:H, _xlfn.AGGREGATE(15, 6, ROW(Kintoneデータ抽出!$K$2:$K$5000) / ((Kintoneデータ抽出!$K$2:$K$5000="院内")), ROW(A21)))&lt;&gt;"",
IF(COUNTIF(INDEX(Kintoneデータ抽出!H:H, _xlfn.AGGREGATE(15, 6, ROW(Kintoneデータ抽出!$K$2:$K$5000) / ((Kintoneデータ抽出!$K$2:$K$5000="院内")), ROW(A21))),"*あり*"),"病児",""),""), "")</f>
        <v/>
      </c>
      <c r="O58" s="94" t="str" cm="1">
        <f t="array" ref="O58">IFERROR(
IF(INDEX(Kintoneデータ抽出!M:M, _xlfn.AGGREGATE(15, 6, ROW(Kintoneデータ抽出!$K$2:$K$5000) / ((Kintoneデータ抽出!$K$2:$K$5000="院内")), ROW(A21)))&lt;&gt;0,INDEX(Kintoneデータ抽出!M:M, _xlfn.AGGREGATE(15, 6, ROW(Kintoneデータ抽出!$K$2:$K$5000) / ((Kintoneデータ抽出!$K$2:$K$5000="院内")), ROW(A21))),""), "")</f>
        <v/>
      </c>
      <c r="P58" s="78" t="str">
        <f t="array" ref="P58">IFERROR(IF(INDEX(Kintoneデータ抽出!L:L, _xlfn.AGGREGATE(15, 6, ROW(Kintoneデータ抽出!$K$2:$K$5000) / ((Kintoneデータ抽出!$K$2:$K$5000="院内")), ROW(A21)))&lt;&gt;"",
IF(COUNTIF(INDEX(Kintoneデータ抽出!L:L, _xlfn.AGGREGATE(15, 6, ROW(Kintoneデータ抽出!$K$2:$K$5000) / ((Kintoneデータ抽出!$K$2:$K$5000="院内")), ROW(A21))),"*企業主導型以外*"),"",
IF(COUNTIF(INDEX(Kintoneデータ抽出!L:L, _xlfn.AGGREGATE(15, 6, ROW(Kintoneデータ抽出!$K$2:$K$5000) / ((Kintoneデータ抽出!$K$2:$K$5000="院内")), ROW(A21))),"*その他*"),"",
IF(COUNTIF(INDEX(Kintoneデータ抽出!L:L, _xlfn.AGGREGATE(15, 6, ROW(Kintoneデータ抽出!$K$2:$K$5000) / ((Kintoneデータ抽出!$K$2:$K$5000="院内")), ROW(A21))),"*新制度*"),"新制度","企業主導型"))),""), "")</f>
        <v/>
      </c>
    </row>
    <row r="59" spans="2:16" ht="34.799999999999997" customHeight="1" x14ac:dyDescent="0.45">
      <c r="B59" s="45"/>
      <c r="C59" s="46"/>
      <c r="D59" s="98" t="str">
        <f t="shared" si="1"/>
        <v/>
      </c>
      <c r="E59" s="99"/>
      <c r="F59" s="75" t="str">
        <f t="array" ref="F59">IFERROR(INDEX(Kintoneデータ抽出!A:A, _xlfn.AGGREGATE(15, 6, ROW(Kintoneデータ抽出!$K$2:$K$5000) / ((Kintoneデータ抽出!$K$2:$K$5000="院内")), ROW(A22))), "")</f>
        <v/>
      </c>
      <c r="G59" s="77" t="str">
        <f t="array" ref="G59">IFERROR(INDEX(Kintoneデータ抽出!D:D, _xlfn.AGGREGATE(15, 6, ROW(Kintoneデータ抽出!$K$2:$K$5000) / ((Kintoneデータ抽出!$K$2:$K$5000="院内")), ROW(A22))), "")</f>
        <v/>
      </c>
      <c r="H59" s="77" t="str">
        <f t="array" ref="H59">IFERROR(INDEX(Kintoneデータ抽出!C:C, _xlfn.AGGREGATE(15, 6, ROW(Kintoneデータ抽出!$K$2:$K$5000) / ((Kintoneデータ抽出!$K$2:$K$5000="院内")), ROW(A22))), "")</f>
        <v/>
      </c>
      <c r="I59" s="75" t="str">
        <f t="array" ref="I59">IFERROR(IF(INDEX(Kintoneデータ抽出!G:G, _xlfn.AGGREGATE(15, 6, ROW(Kintoneデータ抽出!$K$2:$K$5000) / ((Kintoneデータ抽出!$K$2:$K$5000="院内")), ROW(A22)))&lt;&gt;"",INDEX(Kintoneデータ抽出!G:G, _xlfn.AGGREGATE(15, 6, ROW(Kintoneデータ抽出!$K$2:$K$5000) / ((Kintoneデータ抽出!$K$2:$K$5000="院内")), ROW(A22)))&amp;"名",""), "")</f>
        <v/>
      </c>
      <c r="J59" s="76" t="str">
        <f t="array" ref="J59">IFERROR(IF(INDEX(Kintoneデータ抽出!E:E, _xlfn.AGGREGATE(15, 6, ROW(Kintoneデータ抽出!$K$2:$K$5000) / ((Kintoneデータ抽出!$K$2:$K$5000="院内")), ROW(A22)))&lt;&gt;"",
YEAR(INDEX(Kintoneデータ抽出!E:E, _xlfn.AGGREGATE(15, 6, ROW(Kintoneデータ抽出!$K$2:$K$5000) / ((Kintoneデータ抽出!$K$2:$K$5000="院内")), ROW(A22))))&amp;"年"
&amp;MONTH(INDEX(Kintoneデータ抽出!E:E, _xlfn.AGGREGATE(15, 6, ROW(Kintoneデータ抽出!$K$2:$K$5000) / ((Kintoneデータ抽出!$K$2:$K$5000="院内")), ROW(A22))))&amp;"月"
&amp;DAY(INDEX(Kintoneデータ抽出!E:E, _xlfn.AGGREGATE(15, 6, ROW(Kintoneデータ抽出!$K$2:$K$5000) /((Kintoneデータ抽出!$K$2:$K$5000="院内")), ROW(A22))))&amp;"日",""), "")</f>
        <v/>
      </c>
      <c r="K59" s="77" t="str" cm="1">
        <f t="array" ref="K59">IFERROR(IF(INDEX(Kintoneデータ抽出!F:F, _xlfn.AGGREGATE(15, 6, ROW(Kintoneデータ抽出!$K$2:$K$5000) / ((Kintoneデータ抽出!$K$2:$K$5000="院内")), ROW(A22)))&lt;&gt;"",
VLOOKUP(INDEX(Kintoneデータ抽出!F:F, _xlfn.AGGREGATE(15, 6, ROW(Kintoneデータ抽出!$K$2:$K$5000) / ((Kintoneデータ抽出!$K$2:$K$5000="院内")), ROW(A22))),基本開園日の表記!$A$2:$B$13,2,FALSE),""), "")</f>
        <v/>
      </c>
      <c r="L59" s="75" t="str">
        <f t="array" ref="L59">IFERROR(IF(INDEX(Kintoneデータ抽出!F:F, _xlfn.AGGREGATE(15, 6, ROW(Kintoneデータ抽出!$K$2:$K$5000) / ((Kintoneデータ抽出!$K$2:$K$5000="院内")), ROW(A22)))&lt;&gt;"",
IF(COUNTIF(INDEX(Kintoneデータ抽出!F:F, _xlfn.AGGREGATE(15, 6, ROW(Kintoneデータ抽出!$K$2:$K$5000) / ((Kintoneデータ抽出!$K$2:$K$5000="院内")), ROW(A22))),"*あり*"),"夜間",""),""), "")</f>
        <v/>
      </c>
      <c r="M59" s="75" t="str">
        <f t="array" ref="M59">IFERROR(IF(INDEX(Kintoneデータ抽出!I:I, _xlfn.AGGREGATE(15, 6, ROW(Kintoneデータ抽出!$K$2:$K$5000) / ((Kintoneデータ抽出!$K$2:$K$5000="院内")), ROW(A22)))&lt;&gt;"",
IF(COUNTIF(INDEX(Kintoneデータ抽出!I:I, _xlfn.AGGREGATE(15, 6, ROW(Kintoneデータ抽出!$K$2:$K$5000) / ((Kintoneデータ抽出!$K$2:$K$5000="院内")), ROW(A22))),"*あり*"),"学童",""),""), "")</f>
        <v/>
      </c>
      <c r="N59" s="75" t="str">
        <f t="array" ref="N59">IFERROR(IF(INDEX(Kintoneデータ抽出!H:H, _xlfn.AGGREGATE(15, 6, ROW(Kintoneデータ抽出!$K$2:$K$5000) / ((Kintoneデータ抽出!$K$2:$K$5000="院内")), ROW(A22)))&lt;&gt;"",
IF(COUNTIF(INDEX(Kintoneデータ抽出!H:H, _xlfn.AGGREGATE(15, 6, ROW(Kintoneデータ抽出!$K$2:$K$5000) / ((Kintoneデータ抽出!$K$2:$K$5000="院内")), ROW(A22))),"*あり*"),"病児",""),""), "")</f>
        <v/>
      </c>
      <c r="O59" s="94" t="str" cm="1">
        <f t="array" ref="O59">IFERROR(
IF(INDEX(Kintoneデータ抽出!M:M, _xlfn.AGGREGATE(15, 6, ROW(Kintoneデータ抽出!$K$2:$K$5000) / ((Kintoneデータ抽出!$K$2:$K$5000="院内")), ROW(A22)))&lt;&gt;0,INDEX(Kintoneデータ抽出!M:M, _xlfn.AGGREGATE(15, 6, ROW(Kintoneデータ抽出!$K$2:$K$5000) / ((Kintoneデータ抽出!$K$2:$K$5000="院内")), ROW(A22))),""), "")</f>
        <v/>
      </c>
      <c r="P59" s="78" t="str">
        <f t="array" ref="P59">IFERROR(IF(INDEX(Kintoneデータ抽出!L:L, _xlfn.AGGREGATE(15, 6, ROW(Kintoneデータ抽出!$K$2:$K$5000) / ((Kintoneデータ抽出!$K$2:$K$5000="院内")), ROW(A22)))&lt;&gt;"",
IF(COUNTIF(INDEX(Kintoneデータ抽出!L:L, _xlfn.AGGREGATE(15, 6, ROW(Kintoneデータ抽出!$K$2:$K$5000) / ((Kintoneデータ抽出!$K$2:$K$5000="院内")), ROW(A22))),"*企業主導型以外*"),"",
IF(COUNTIF(INDEX(Kintoneデータ抽出!L:L, _xlfn.AGGREGATE(15, 6, ROW(Kintoneデータ抽出!$K$2:$K$5000) / ((Kintoneデータ抽出!$K$2:$K$5000="院内")), ROW(A22))),"*その他*"),"",
IF(COUNTIF(INDEX(Kintoneデータ抽出!L:L, _xlfn.AGGREGATE(15, 6, ROW(Kintoneデータ抽出!$K$2:$K$5000) / ((Kintoneデータ抽出!$K$2:$K$5000="院内")), ROW(A22))),"*新制度*"),"新制度","企業主導型"))),""), "")</f>
        <v/>
      </c>
    </row>
    <row r="60" spans="2:16" ht="34.799999999999997" customHeight="1" x14ac:dyDescent="0.45">
      <c r="B60" s="45"/>
      <c r="C60" s="46"/>
      <c r="D60" s="98" t="str">
        <f t="shared" si="1"/>
        <v/>
      </c>
      <c r="E60" s="99"/>
      <c r="F60" s="75" t="str">
        <f t="array" ref="F60">IFERROR(INDEX(Kintoneデータ抽出!A:A, _xlfn.AGGREGATE(15, 6, ROW(Kintoneデータ抽出!$K$2:$K$5000) / ((Kintoneデータ抽出!$K$2:$K$5000="院内")), ROW(A23))), "")</f>
        <v/>
      </c>
      <c r="G60" s="77" t="str">
        <f t="array" ref="G60">IFERROR(INDEX(Kintoneデータ抽出!D:D, _xlfn.AGGREGATE(15, 6, ROW(Kintoneデータ抽出!$K$2:$K$5000) / ((Kintoneデータ抽出!$K$2:$K$5000="院内")), ROW(A23))), "")</f>
        <v/>
      </c>
      <c r="H60" s="77" t="str">
        <f t="array" ref="H60">IFERROR(INDEX(Kintoneデータ抽出!C:C, _xlfn.AGGREGATE(15, 6, ROW(Kintoneデータ抽出!$K$2:$K$5000) / ((Kintoneデータ抽出!$K$2:$K$5000="院内")), ROW(A23))), "")</f>
        <v/>
      </c>
      <c r="I60" s="75" t="str">
        <f t="array" ref="I60">IFERROR(IF(INDEX(Kintoneデータ抽出!G:G, _xlfn.AGGREGATE(15, 6, ROW(Kintoneデータ抽出!$K$2:$K$5000) / ((Kintoneデータ抽出!$K$2:$K$5000="院内")), ROW(A23)))&lt;&gt;"",INDEX(Kintoneデータ抽出!G:G, _xlfn.AGGREGATE(15, 6, ROW(Kintoneデータ抽出!$K$2:$K$5000) / ((Kintoneデータ抽出!$K$2:$K$5000="院内")), ROW(A23)))&amp;"名",""), "")</f>
        <v/>
      </c>
      <c r="J60" s="76" t="str">
        <f t="array" ref="J60">IFERROR(IF(INDEX(Kintoneデータ抽出!E:E, _xlfn.AGGREGATE(15, 6, ROW(Kintoneデータ抽出!$K$2:$K$5000) / ((Kintoneデータ抽出!$K$2:$K$5000="院内")), ROW(A23)))&lt;&gt;"",
YEAR(INDEX(Kintoneデータ抽出!E:E, _xlfn.AGGREGATE(15, 6, ROW(Kintoneデータ抽出!$K$2:$K$5000) / ((Kintoneデータ抽出!$K$2:$K$5000="院内")), ROW(A23))))&amp;"年"
&amp;MONTH(INDEX(Kintoneデータ抽出!E:E, _xlfn.AGGREGATE(15, 6, ROW(Kintoneデータ抽出!$K$2:$K$5000) / ((Kintoneデータ抽出!$K$2:$K$5000="院内")), ROW(A23))))&amp;"月"
&amp;DAY(INDEX(Kintoneデータ抽出!E:E, _xlfn.AGGREGATE(15, 6, ROW(Kintoneデータ抽出!$K$2:$K$5000) /((Kintoneデータ抽出!$K$2:$K$5000="院内")), ROW(A23))))&amp;"日",""), "")</f>
        <v/>
      </c>
      <c r="K60" s="77" t="str" cm="1">
        <f t="array" ref="K60">IFERROR(IF(INDEX(Kintoneデータ抽出!F:F, _xlfn.AGGREGATE(15, 6, ROW(Kintoneデータ抽出!$K$2:$K$5000) / ((Kintoneデータ抽出!$K$2:$K$5000="院内")), ROW(A23)))&lt;&gt;"",
VLOOKUP(INDEX(Kintoneデータ抽出!F:F, _xlfn.AGGREGATE(15, 6, ROW(Kintoneデータ抽出!$K$2:$K$5000) / ((Kintoneデータ抽出!$K$2:$K$5000="院内")), ROW(A23))),基本開園日の表記!$A$2:$B$13,2,FALSE),""), "")</f>
        <v/>
      </c>
      <c r="L60" s="75" t="str">
        <f t="array" ref="L60">IFERROR(IF(INDEX(Kintoneデータ抽出!F:F, _xlfn.AGGREGATE(15, 6, ROW(Kintoneデータ抽出!$K$2:$K$5000) / ((Kintoneデータ抽出!$K$2:$K$5000="院内")), ROW(A23)))&lt;&gt;"",
IF(COUNTIF(INDEX(Kintoneデータ抽出!F:F, _xlfn.AGGREGATE(15, 6, ROW(Kintoneデータ抽出!$K$2:$K$5000) / ((Kintoneデータ抽出!$K$2:$K$5000="院内")), ROW(A23))),"*あり*"),"夜間",""),""), "")</f>
        <v/>
      </c>
      <c r="M60" s="75" t="str">
        <f t="array" ref="M60">IFERROR(IF(INDEX(Kintoneデータ抽出!I:I, _xlfn.AGGREGATE(15, 6, ROW(Kintoneデータ抽出!$K$2:$K$5000) / ((Kintoneデータ抽出!$K$2:$K$5000="院内")), ROW(A23)))&lt;&gt;"",
IF(COUNTIF(INDEX(Kintoneデータ抽出!I:I, _xlfn.AGGREGATE(15, 6, ROW(Kintoneデータ抽出!$K$2:$K$5000) / ((Kintoneデータ抽出!$K$2:$K$5000="院内")), ROW(A23))),"*あり*"),"学童",""),""), "")</f>
        <v/>
      </c>
      <c r="N60" s="75" t="str">
        <f t="array" ref="N60">IFERROR(IF(INDEX(Kintoneデータ抽出!H:H, _xlfn.AGGREGATE(15, 6, ROW(Kintoneデータ抽出!$K$2:$K$5000) / ((Kintoneデータ抽出!$K$2:$K$5000="院内")), ROW(A23)))&lt;&gt;"",
IF(COUNTIF(INDEX(Kintoneデータ抽出!H:H, _xlfn.AGGREGATE(15, 6, ROW(Kintoneデータ抽出!$K$2:$K$5000) / ((Kintoneデータ抽出!$K$2:$K$5000="院内")), ROW(A23))),"*あり*"),"病児",""),""), "")</f>
        <v/>
      </c>
      <c r="O60" s="94" t="str" cm="1">
        <f t="array" ref="O60">IFERROR(
IF(INDEX(Kintoneデータ抽出!M:M, _xlfn.AGGREGATE(15, 6, ROW(Kintoneデータ抽出!$K$2:$K$5000) / ((Kintoneデータ抽出!$K$2:$K$5000="院内")), ROW(A23)))&lt;&gt;0,INDEX(Kintoneデータ抽出!M:M, _xlfn.AGGREGATE(15, 6, ROW(Kintoneデータ抽出!$K$2:$K$5000) / ((Kintoneデータ抽出!$K$2:$K$5000="院内")), ROW(A23))),""), "")</f>
        <v/>
      </c>
      <c r="P60" s="78" t="str">
        <f t="array" ref="P60">IFERROR(IF(INDEX(Kintoneデータ抽出!L:L, _xlfn.AGGREGATE(15, 6, ROW(Kintoneデータ抽出!$K$2:$K$5000) / ((Kintoneデータ抽出!$K$2:$K$5000="院内")), ROW(A23)))&lt;&gt;"",
IF(COUNTIF(INDEX(Kintoneデータ抽出!L:L, _xlfn.AGGREGATE(15, 6, ROW(Kintoneデータ抽出!$K$2:$K$5000) / ((Kintoneデータ抽出!$K$2:$K$5000="院内")), ROW(A23))),"*企業主導型以外*"),"",
IF(COUNTIF(INDEX(Kintoneデータ抽出!L:L, _xlfn.AGGREGATE(15, 6, ROW(Kintoneデータ抽出!$K$2:$K$5000) / ((Kintoneデータ抽出!$K$2:$K$5000="院内")), ROW(A23))),"*その他*"),"",
IF(COUNTIF(INDEX(Kintoneデータ抽出!L:L, _xlfn.AGGREGATE(15, 6, ROW(Kintoneデータ抽出!$K$2:$K$5000) / ((Kintoneデータ抽出!$K$2:$K$5000="院内")), ROW(A23))),"*新制度*"),"新制度","企業主導型"))),""), "")</f>
        <v/>
      </c>
    </row>
    <row r="61" spans="2:16" ht="34.799999999999997" customHeight="1" x14ac:dyDescent="0.45">
      <c r="B61" s="45"/>
      <c r="C61" s="46"/>
      <c r="D61" s="98" t="str">
        <f t="shared" si="1"/>
        <v/>
      </c>
      <c r="E61" s="99"/>
      <c r="F61" s="75" t="str">
        <f t="array" ref="F61">IFERROR(INDEX(Kintoneデータ抽出!A:A, _xlfn.AGGREGATE(15, 6, ROW(Kintoneデータ抽出!$K$2:$K$5000) / ((Kintoneデータ抽出!$K$2:$K$5000="院内")), ROW(A24))), "")</f>
        <v/>
      </c>
      <c r="G61" s="77" t="str">
        <f t="array" ref="G61">IFERROR(INDEX(Kintoneデータ抽出!D:D, _xlfn.AGGREGATE(15, 6, ROW(Kintoneデータ抽出!$K$2:$K$5000) / ((Kintoneデータ抽出!$K$2:$K$5000="院内")), ROW(A24))), "")</f>
        <v/>
      </c>
      <c r="H61" s="77" t="str">
        <f t="array" ref="H61">IFERROR(INDEX(Kintoneデータ抽出!C:C, _xlfn.AGGREGATE(15, 6, ROW(Kintoneデータ抽出!$K$2:$K$5000) / ((Kintoneデータ抽出!$K$2:$K$5000="院内")), ROW(A24))), "")</f>
        <v/>
      </c>
      <c r="I61" s="75" t="str">
        <f t="array" ref="I61">IFERROR(IF(INDEX(Kintoneデータ抽出!G:G, _xlfn.AGGREGATE(15, 6, ROW(Kintoneデータ抽出!$K$2:$K$5000) / ((Kintoneデータ抽出!$K$2:$K$5000="院内")), ROW(A24)))&lt;&gt;"",INDEX(Kintoneデータ抽出!G:G, _xlfn.AGGREGATE(15, 6, ROW(Kintoneデータ抽出!$K$2:$K$5000) / ((Kintoneデータ抽出!$K$2:$K$5000="院内")), ROW(A24)))&amp;"名",""), "")</f>
        <v/>
      </c>
      <c r="J61" s="76" t="str">
        <f t="array" ref="J61">IFERROR(IF(INDEX(Kintoneデータ抽出!E:E, _xlfn.AGGREGATE(15, 6, ROW(Kintoneデータ抽出!$K$2:$K$5000) / ((Kintoneデータ抽出!$K$2:$K$5000="院内")), ROW(A24)))&lt;&gt;"",
YEAR(INDEX(Kintoneデータ抽出!E:E, _xlfn.AGGREGATE(15, 6, ROW(Kintoneデータ抽出!$K$2:$K$5000) / ((Kintoneデータ抽出!$K$2:$K$5000="院内")), ROW(A24))))&amp;"年"
&amp;MONTH(INDEX(Kintoneデータ抽出!E:E, _xlfn.AGGREGATE(15, 6, ROW(Kintoneデータ抽出!$K$2:$K$5000) / ((Kintoneデータ抽出!$K$2:$K$5000="院内")), ROW(A24))))&amp;"月"
&amp;DAY(INDEX(Kintoneデータ抽出!E:E, _xlfn.AGGREGATE(15, 6, ROW(Kintoneデータ抽出!$K$2:$K$5000) /((Kintoneデータ抽出!$K$2:$K$5000="院内")), ROW(A24))))&amp;"日",""), "")</f>
        <v/>
      </c>
      <c r="K61" s="77" t="str" cm="1">
        <f t="array" ref="K61">IFERROR(IF(INDEX(Kintoneデータ抽出!F:F, _xlfn.AGGREGATE(15, 6, ROW(Kintoneデータ抽出!$K$2:$K$5000) / ((Kintoneデータ抽出!$K$2:$K$5000="院内")), ROW(A24)))&lt;&gt;"",
VLOOKUP(INDEX(Kintoneデータ抽出!F:F, _xlfn.AGGREGATE(15, 6, ROW(Kintoneデータ抽出!$K$2:$K$5000) / ((Kintoneデータ抽出!$K$2:$K$5000="院内")), ROW(A24))),基本開園日の表記!$A$2:$B$13,2,FALSE),""), "")</f>
        <v/>
      </c>
      <c r="L61" s="75" t="str">
        <f t="array" ref="L61">IFERROR(IF(INDEX(Kintoneデータ抽出!F:F, _xlfn.AGGREGATE(15, 6, ROW(Kintoneデータ抽出!$K$2:$K$5000) / ((Kintoneデータ抽出!$K$2:$K$5000="院内")), ROW(A24)))&lt;&gt;"",
IF(COUNTIF(INDEX(Kintoneデータ抽出!F:F, _xlfn.AGGREGATE(15, 6, ROW(Kintoneデータ抽出!$K$2:$K$5000) / ((Kintoneデータ抽出!$K$2:$K$5000="院内")), ROW(A24))),"*あり*"),"夜間",""),""), "")</f>
        <v/>
      </c>
      <c r="M61" s="75" t="str">
        <f t="array" ref="M61">IFERROR(IF(INDEX(Kintoneデータ抽出!I:I, _xlfn.AGGREGATE(15, 6, ROW(Kintoneデータ抽出!$K$2:$K$5000) / ((Kintoneデータ抽出!$K$2:$K$5000="院内")), ROW(A24)))&lt;&gt;"",
IF(COUNTIF(INDEX(Kintoneデータ抽出!I:I, _xlfn.AGGREGATE(15, 6, ROW(Kintoneデータ抽出!$K$2:$K$5000) / ((Kintoneデータ抽出!$K$2:$K$5000="院内")), ROW(A24))),"*あり*"),"学童",""),""), "")</f>
        <v/>
      </c>
      <c r="N61" s="75" t="str">
        <f t="array" ref="N61">IFERROR(IF(INDEX(Kintoneデータ抽出!H:H, _xlfn.AGGREGATE(15, 6, ROW(Kintoneデータ抽出!$K$2:$K$5000) / ((Kintoneデータ抽出!$K$2:$K$5000="院内")), ROW(A24)))&lt;&gt;"",
IF(COUNTIF(INDEX(Kintoneデータ抽出!H:H, _xlfn.AGGREGATE(15, 6, ROW(Kintoneデータ抽出!$K$2:$K$5000) / ((Kintoneデータ抽出!$K$2:$K$5000="院内")), ROW(A24))),"*あり*"),"病児",""),""), "")</f>
        <v/>
      </c>
      <c r="O61" s="94" t="str" cm="1">
        <f t="array" ref="O61">IFERROR(
IF(INDEX(Kintoneデータ抽出!M:M, _xlfn.AGGREGATE(15, 6, ROW(Kintoneデータ抽出!$K$2:$K$5000) / ((Kintoneデータ抽出!$K$2:$K$5000="院内")), ROW(A24)))&lt;&gt;0,INDEX(Kintoneデータ抽出!M:M, _xlfn.AGGREGATE(15, 6, ROW(Kintoneデータ抽出!$K$2:$K$5000) / ((Kintoneデータ抽出!$K$2:$K$5000="院内")), ROW(A24))),""), "")</f>
        <v/>
      </c>
      <c r="P61" s="78" t="str">
        <f t="array" ref="P61">IFERROR(IF(INDEX(Kintoneデータ抽出!L:L, _xlfn.AGGREGATE(15, 6, ROW(Kintoneデータ抽出!$K$2:$K$5000) / ((Kintoneデータ抽出!$K$2:$K$5000="院内")), ROW(A24)))&lt;&gt;"",
IF(COUNTIF(INDEX(Kintoneデータ抽出!L:L, _xlfn.AGGREGATE(15, 6, ROW(Kintoneデータ抽出!$K$2:$K$5000) / ((Kintoneデータ抽出!$K$2:$K$5000="院内")), ROW(A24))),"*企業主導型以外*"),"",
IF(COUNTIF(INDEX(Kintoneデータ抽出!L:L, _xlfn.AGGREGATE(15, 6, ROW(Kintoneデータ抽出!$K$2:$K$5000) / ((Kintoneデータ抽出!$K$2:$K$5000="院内")), ROW(A24))),"*その他*"),"",
IF(COUNTIF(INDEX(Kintoneデータ抽出!L:L, _xlfn.AGGREGATE(15, 6, ROW(Kintoneデータ抽出!$K$2:$K$5000) / ((Kintoneデータ抽出!$K$2:$K$5000="院内")), ROW(A24))),"*新制度*"),"新制度","企業主導型"))),""), "")</f>
        <v/>
      </c>
    </row>
    <row r="62" spans="2:16" ht="34.799999999999997" customHeight="1" x14ac:dyDescent="0.45">
      <c r="B62" s="45"/>
      <c r="C62" s="46"/>
      <c r="D62" s="98" t="str">
        <f t="shared" si="1"/>
        <v/>
      </c>
      <c r="E62" s="99"/>
      <c r="F62" s="75" t="str">
        <f t="array" ref="F62">IFERROR(INDEX(Kintoneデータ抽出!A:A, _xlfn.AGGREGATE(15, 6, ROW(Kintoneデータ抽出!$K$2:$K$5000) / ((Kintoneデータ抽出!$K$2:$K$5000="院内")), ROW(A25))), "")</f>
        <v/>
      </c>
      <c r="G62" s="77" t="str">
        <f t="array" ref="G62">IFERROR(INDEX(Kintoneデータ抽出!D:D, _xlfn.AGGREGATE(15, 6, ROW(Kintoneデータ抽出!$K$2:$K$5000) / ((Kintoneデータ抽出!$K$2:$K$5000="院内")), ROW(A25))), "")</f>
        <v/>
      </c>
      <c r="H62" s="77" t="str">
        <f t="array" ref="H62">IFERROR(INDEX(Kintoneデータ抽出!C:C, _xlfn.AGGREGATE(15, 6, ROW(Kintoneデータ抽出!$K$2:$K$5000) / ((Kintoneデータ抽出!$K$2:$K$5000="院内")), ROW(A25))), "")</f>
        <v/>
      </c>
      <c r="I62" s="75" t="str">
        <f t="array" ref="I62">IFERROR(IF(INDEX(Kintoneデータ抽出!G:G, _xlfn.AGGREGATE(15, 6, ROW(Kintoneデータ抽出!$K$2:$K$5000) / ((Kintoneデータ抽出!$K$2:$K$5000="院内")), ROW(A25)))&lt;&gt;"",INDEX(Kintoneデータ抽出!G:G, _xlfn.AGGREGATE(15, 6, ROW(Kintoneデータ抽出!$K$2:$K$5000) / ((Kintoneデータ抽出!$K$2:$K$5000="院内")), ROW(A25)))&amp;"名",""), "")</f>
        <v/>
      </c>
      <c r="J62" s="76" t="str">
        <f t="array" ref="J62">IFERROR(IF(INDEX(Kintoneデータ抽出!E:E, _xlfn.AGGREGATE(15, 6, ROW(Kintoneデータ抽出!$K$2:$K$5000) / ((Kintoneデータ抽出!$K$2:$K$5000="院内")), ROW(A25)))&lt;&gt;"",
YEAR(INDEX(Kintoneデータ抽出!E:E, _xlfn.AGGREGATE(15, 6, ROW(Kintoneデータ抽出!$K$2:$K$5000) / ((Kintoneデータ抽出!$K$2:$K$5000="院内")), ROW(A25))))&amp;"年"
&amp;MONTH(INDEX(Kintoneデータ抽出!E:E, _xlfn.AGGREGATE(15, 6, ROW(Kintoneデータ抽出!$K$2:$K$5000) / ((Kintoneデータ抽出!$K$2:$K$5000="院内")), ROW(A25))))&amp;"月"
&amp;DAY(INDEX(Kintoneデータ抽出!E:E, _xlfn.AGGREGATE(15, 6, ROW(Kintoneデータ抽出!$K$2:$K$5000) /((Kintoneデータ抽出!$K$2:$K$5000="院内")), ROW(A25))))&amp;"日",""), "")</f>
        <v/>
      </c>
      <c r="K62" s="77" t="str" cm="1">
        <f t="array" ref="K62">IFERROR(IF(INDEX(Kintoneデータ抽出!F:F, _xlfn.AGGREGATE(15, 6, ROW(Kintoneデータ抽出!$K$2:$K$5000) / ((Kintoneデータ抽出!$K$2:$K$5000="院内")), ROW(A25)))&lt;&gt;"",
VLOOKUP(INDEX(Kintoneデータ抽出!F:F, _xlfn.AGGREGATE(15, 6, ROW(Kintoneデータ抽出!$K$2:$K$5000) / ((Kintoneデータ抽出!$K$2:$K$5000="院内")), ROW(A25))),基本開園日の表記!$A$2:$B$13,2,FALSE),""), "")</f>
        <v/>
      </c>
      <c r="L62" s="75" t="str">
        <f t="array" ref="L62">IFERROR(IF(INDEX(Kintoneデータ抽出!F:F, _xlfn.AGGREGATE(15, 6, ROW(Kintoneデータ抽出!$K$2:$K$5000) / ((Kintoneデータ抽出!$K$2:$K$5000="院内")), ROW(A25)))&lt;&gt;"",
IF(COUNTIF(INDEX(Kintoneデータ抽出!F:F, _xlfn.AGGREGATE(15, 6, ROW(Kintoneデータ抽出!$K$2:$K$5000) / ((Kintoneデータ抽出!$K$2:$K$5000="院内")), ROW(A25))),"*あり*"),"夜間",""),""), "")</f>
        <v/>
      </c>
      <c r="M62" s="75" t="str">
        <f t="array" ref="M62">IFERROR(IF(INDEX(Kintoneデータ抽出!I:I, _xlfn.AGGREGATE(15, 6, ROW(Kintoneデータ抽出!$K$2:$K$5000) / ((Kintoneデータ抽出!$K$2:$K$5000="院内")), ROW(A25)))&lt;&gt;"",
IF(COUNTIF(INDEX(Kintoneデータ抽出!I:I, _xlfn.AGGREGATE(15, 6, ROW(Kintoneデータ抽出!$K$2:$K$5000) / ((Kintoneデータ抽出!$K$2:$K$5000="院内")), ROW(A25))),"*あり*"),"学童",""),""), "")</f>
        <v/>
      </c>
      <c r="N62" s="75" t="str">
        <f t="array" ref="N62">IFERROR(IF(INDEX(Kintoneデータ抽出!H:H, _xlfn.AGGREGATE(15, 6, ROW(Kintoneデータ抽出!$K$2:$K$5000) / ((Kintoneデータ抽出!$K$2:$K$5000="院内")), ROW(A25)))&lt;&gt;"",
IF(COUNTIF(INDEX(Kintoneデータ抽出!H:H, _xlfn.AGGREGATE(15, 6, ROW(Kintoneデータ抽出!$K$2:$K$5000) / ((Kintoneデータ抽出!$K$2:$K$5000="院内")), ROW(A25))),"*あり*"),"病児",""),""), "")</f>
        <v/>
      </c>
      <c r="O62" s="94" t="str" cm="1">
        <f t="array" ref="O62">IFERROR(
IF(INDEX(Kintoneデータ抽出!M:M, _xlfn.AGGREGATE(15, 6, ROW(Kintoneデータ抽出!$K$2:$K$5000) / ((Kintoneデータ抽出!$K$2:$K$5000="院内")), ROW(A25)))&lt;&gt;0,INDEX(Kintoneデータ抽出!M:M, _xlfn.AGGREGATE(15, 6, ROW(Kintoneデータ抽出!$K$2:$K$5000) / ((Kintoneデータ抽出!$K$2:$K$5000="院内")), ROW(A25))),""), "")</f>
        <v/>
      </c>
      <c r="P62" s="78" t="str">
        <f t="array" ref="P62">IFERROR(IF(INDEX(Kintoneデータ抽出!L:L, _xlfn.AGGREGATE(15, 6, ROW(Kintoneデータ抽出!$K$2:$K$5000) / ((Kintoneデータ抽出!$K$2:$K$5000="院内")), ROW(A25)))&lt;&gt;"",
IF(COUNTIF(INDEX(Kintoneデータ抽出!L:L, _xlfn.AGGREGATE(15, 6, ROW(Kintoneデータ抽出!$K$2:$K$5000) / ((Kintoneデータ抽出!$K$2:$K$5000="院内")), ROW(A25))),"*企業主導型以外*"),"",
IF(COUNTIF(INDEX(Kintoneデータ抽出!L:L, _xlfn.AGGREGATE(15, 6, ROW(Kintoneデータ抽出!$K$2:$K$5000) / ((Kintoneデータ抽出!$K$2:$K$5000="院内")), ROW(A25))),"*その他*"),"",
IF(COUNTIF(INDEX(Kintoneデータ抽出!L:L, _xlfn.AGGREGATE(15, 6, ROW(Kintoneデータ抽出!$K$2:$K$5000) / ((Kintoneデータ抽出!$K$2:$K$5000="院内")), ROW(A25))),"*新制度*"),"新制度","企業主導型"))),""), "")</f>
        <v/>
      </c>
    </row>
    <row r="63" spans="2:16" ht="34.799999999999997" customHeight="1" x14ac:dyDescent="0.45">
      <c r="B63" s="45"/>
      <c r="C63" s="46"/>
      <c r="D63" s="98" t="str">
        <f t="shared" si="1"/>
        <v/>
      </c>
      <c r="E63" s="99"/>
      <c r="F63" s="75" t="str">
        <f t="array" ref="F63">IFERROR(INDEX(Kintoneデータ抽出!A:A, _xlfn.AGGREGATE(15, 6, ROW(Kintoneデータ抽出!$K$2:$K$5000) / ((Kintoneデータ抽出!$K$2:$K$5000="院内")), ROW(A26))), "")</f>
        <v/>
      </c>
      <c r="G63" s="77" t="str">
        <f t="array" ref="G63">IFERROR(INDEX(Kintoneデータ抽出!D:D, _xlfn.AGGREGATE(15, 6, ROW(Kintoneデータ抽出!$K$2:$K$5000) / ((Kintoneデータ抽出!$K$2:$K$5000="院内")), ROW(A26))), "")</f>
        <v/>
      </c>
      <c r="H63" s="77" t="str">
        <f t="array" ref="H63">IFERROR(INDEX(Kintoneデータ抽出!C:C, _xlfn.AGGREGATE(15, 6, ROW(Kintoneデータ抽出!$K$2:$K$5000) / ((Kintoneデータ抽出!$K$2:$K$5000="院内")), ROW(A26))), "")</f>
        <v/>
      </c>
      <c r="I63" s="75" t="str">
        <f t="array" ref="I63">IFERROR(IF(INDEX(Kintoneデータ抽出!G:G, _xlfn.AGGREGATE(15, 6, ROW(Kintoneデータ抽出!$K$2:$K$5000) / ((Kintoneデータ抽出!$K$2:$K$5000="院内")), ROW(A26)))&lt;&gt;"",INDEX(Kintoneデータ抽出!G:G, _xlfn.AGGREGATE(15, 6, ROW(Kintoneデータ抽出!$K$2:$K$5000) / ((Kintoneデータ抽出!$K$2:$K$5000="院内")), ROW(A26)))&amp;"名",""), "")</f>
        <v/>
      </c>
      <c r="J63" s="76" t="str">
        <f t="array" ref="J63">IFERROR(IF(INDEX(Kintoneデータ抽出!E:E, _xlfn.AGGREGATE(15, 6, ROW(Kintoneデータ抽出!$K$2:$K$5000) / ((Kintoneデータ抽出!$K$2:$K$5000="院内")), ROW(A26)))&lt;&gt;"",
YEAR(INDEX(Kintoneデータ抽出!E:E, _xlfn.AGGREGATE(15, 6, ROW(Kintoneデータ抽出!$K$2:$K$5000) / ((Kintoneデータ抽出!$K$2:$K$5000="院内")), ROW(A26))))&amp;"年"
&amp;MONTH(INDEX(Kintoneデータ抽出!E:E, _xlfn.AGGREGATE(15, 6, ROW(Kintoneデータ抽出!$K$2:$K$5000) / ((Kintoneデータ抽出!$K$2:$K$5000="院内")), ROW(A26))))&amp;"月"
&amp;DAY(INDEX(Kintoneデータ抽出!E:E, _xlfn.AGGREGATE(15, 6, ROW(Kintoneデータ抽出!$K$2:$K$5000) /((Kintoneデータ抽出!$K$2:$K$5000="院内")), ROW(A26))))&amp;"日",""), "")</f>
        <v/>
      </c>
      <c r="K63" s="77" t="str" cm="1">
        <f t="array" ref="K63">IFERROR(IF(INDEX(Kintoneデータ抽出!F:F, _xlfn.AGGREGATE(15, 6, ROW(Kintoneデータ抽出!$K$2:$K$5000) / ((Kintoneデータ抽出!$K$2:$K$5000="院内")), ROW(A26)))&lt;&gt;"",
VLOOKUP(INDEX(Kintoneデータ抽出!F:F, _xlfn.AGGREGATE(15, 6, ROW(Kintoneデータ抽出!$K$2:$K$5000) / ((Kintoneデータ抽出!$K$2:$K$5000="院内")), ROW(A26))),基本開園日の表記!$A$2:$B$13,2,FALSE),""), "")</f>
        <v/>
      </c>
      <c r="L63" s="75" t="str">
        <f t="array" ref="L63">IFERROR(IF(INDEX(Kintoneデータ抽出!F:F, _xlfn.AGGREGATE(15, 6, ROW(Kintoneデータ抽出!$K$2:$K$5000) / ((Kintoneデータ抽出!$K$2:$K$5000="院内")), ROW(A26)))&lt;&gt;"",
IF(COUNTIF(INDEX(Kintoneデータ抽出!F:F, _xlfn.AGGREGATE(15, 6, ROW(Kintoneデータ抽出!$K$2:$K$5000) / ((Kintoneデータ抽出!$K$2:$K$5000="院内")), ROW(A26))),"*あり*"),"夜間",""),""), "")</f>
        <v/>
      </c>
      <c r="M63" s="75" t="str">
        <f t="array" ref="M63">IFERROR(IF(INDEX(Kintoneデータ抽出!I:I, _xlfn.AGGREGATE(15, 6, ROW(Kintoneデータ抽出!$K$2:$K$5000) / ((Kintoneデータ抽出!$K$2:$K$5000="院内")), ROW(A26)))&lt;&gt;"",
IF(COUNTIF(INDEX(Kintoneデータ抽出!I:I, _xlfn.AGGREGATE(15, 6, ROW(Kintoneデータ抽出!$K$2:$K$5000) / ((Kintoneデータ抽出!$K$2:$K$5000="院内")), ROW(A26))),"*あり*"),"学童",""),""), "")</f>
        <v/>
      </c>
      <c r="N63" s="75" t="str">
        <f t="array" ref="N63">IFERROR(IF(INDEX(Kintoneデータ抽出!H:H, _xlfn.AGGREGATE(15, 6, ROW(Kintoneデータ抽出!$K$2:$K$5000) / ((Kintoneデータ抽出!$K$2:$K$5000="院内")), ROW(A26)))&lt;&gt;"",
IF(COUNTIF(INDEX(Kintoneデータ抽出!H:H, _xlfn.AGGREGATE(15, 6, ROW(Kintoneデータ抽出!$K$2:$K$5000) / ((Kintoneデータ抽出!$K$2:$K$5000="院内")), ROW(A26))),"*あり*"),"病児",""),""), "")</f>
        <v/>
      </c>
      <c r="O63" s="94" t="str" cm="1">
        <f t="array" ref="O63">IFERROR(
IF(INDEX(Kintoneデータ抽出!M:M, _xlfn.AGGREGATE(15, 6, ROW(Kintoneデータ抽出!$K$2:$K$5000) / ((Kintoneデータ抽出!$K$2:$K$5000="院内")), ROW(A26)))&lt;&gt;0,INDEX(Kintoneデータ抽出!M:M, _xlfn.AGGREGATE(15, 6, ROW(Kintoneデータ抽出!$K$2:$K$5000) / ((Kintoneデータ抽出!$K$2:$K$5000="院内")), ROW(A26))),""), "")</f>
        <v/>
      </c>
      <c r="P63" s="78" t="str">
        <f t="array" ref="P63">IFERROR(IF(INDEX(Kintoneデータ抽出!L:L, _xlfn.AGGREGATE(15, 6, ROW(Kintoneデータ抽出!$K$2:$K$5000) / ((Kintoneデータ抽出!$K$2:$K$5000="院内")), ROW(A26)))&lt;&gt;"",
IF(COUNTIF(INDEX(Kintoneデータ抽出!L:L, _xlfn.AGGREGATE(15, 6, ROW(Kintoneデータ抽出!$K$2:$K$5000) / ((Kintoneデータ抽出!$K$2:$K$5000="院内")), ROW(A26))),"*企業主導型以外*"),"",
IF(COUNTIF(INDEX(Kintoneデータ抽出!L:L, _xlfn.AGGREGATE(15, 6, ROW(Kintoneデータ抽出!$K$2:$K$5000) / ((Kintoneデータ抽出!$K$2:$K$5000="院内")), ROW(A26))),"*その他*"),"",
IF(COUNTIF(INDEX(Kintoneデータ抽出!L:L, _xlfn.AGGREGATE(15, 6, ROW(Kintoneデータ抽出!$K$2:$K$5000) / ((Kintoneデータ抽出!$K$2:$K$5000="院内")), ROW(A26))),"*新制度*"),"新制度","企業主導型"))),""), "")</f>
        <v/>
      </c>
    </row>
    <row r="64" spans="2:16" ht="34.799999999999997" customHeight="1" x14ac:dyDescent="0.45">
      <c r="B64" s="45"/>
      <c r="C64" s="46"/>
      <c r="D64" s="98" t="str">
        <f t="shared" si="1"/>
        <v/>
      </c>
      <c r="E64" s="99"/>
      <c r="F64" s="75" t="str">
        <f t="array" ref="F64">IFERROR(INDEX(Kintoneデータ抽出!A:A, _xlfn.AGGREGATE(15, 6, ROW(Kintoneデータ抽出!$K$2:$K$5000) / ((Kintoneデータ抽出!$K$2:$K$5000="院内")), ROW(A27))), "")</f>
        <v/>
      </c>
      <c r="G64" s="77" t="str">
        <f t="array" ref="G64">IFERROR(INDEX(Kintoneデータ抽出!D:D, _xlfn.AGGREGATE(15, 6, ROW(Kintoneデータ抽出!$K$2:$K$5000) / ((Kintoneデータ抽出!$K$2:$K$5000="院内")), ROW(A27))), "")</f>
        <v/>
      </c>
      <c r="H64" s="77" t="str">
        <f t="array" ref="H64">IFERROR(INDEX(Kintoneデータ抽出!C:C, _xlfn.AGGREGATE(15, 6, ROW(Kintoneデータ抽出!$K$2:$K$5000) / ((Kintoneデータ抽出!$K$2:$K$5000="院内")), ROW(A27))), "")</f>
        <v/>
      </c>
      <c r="I64" s="75" t="str">
        <f t="array" ref="I64">IFERROR(IF(INDEX(Kintoneデータ抽出!G:G, _xlfn.AGGREGATE(15, 6, ROW(Kintoneデータ抽出!$K$2:$K$5000) / ((Kintoneデータ抽出!$K$2:$K$5000="院内")), ROW(A27)))&lt;&gt;"",INDEX(Kintoneデータ抽出!G:G, _xlfn.AGGREGATE(15, 6, ROW(Kintoneデータ抽出!$K$2:$K$5000) / ((Kintoneデータ抽出!$K$2:$K$5000="院内")), ROW(A27)))&amp;"名",""), "")</f>
        <v/>
      </c>
      <c r="J64" s="76" t="str">
        <f t="array" ref="J64">IFERROR(IF(INDEX(Kintoneデータ抽出!E:E, _xlfn.AGGREGATE(15, 6, ROW(Kintoneデータ抽出!$K$2:$K$5000) / ((Kintoneデータ抽出!$K$2:$K$5000="院内")), ROW(A27)))&lt;&gt;"",
YEAR(INDEX(Kintoneデータ抽出!E:E, _xlfn.AGGREGATE(15, 6, ROW(Kintoneデータ抽出!$K$2:$K$5000) / ((Kintoneデータ抽出!$K$2:$K$5000="院内")), ROW(A27))))&amp;"年"
&amp;MONTH(INDEX(Kintoneデータ抽出!E:E, _xlfn.AGGREGATE(15, 6, ROW(Kintoneデータ抽出!$K$2:$K$5000) / ((Kintoneデータ抽出!$K$2:$K$5000="院内")), ROW(A27))))&amp;"月"
&amp;DAY(INDEX(Kintoneデータ抽出!E:E, _xlfn.AGGREGATE(15, 6, ROW(Kintoneデータ抽出!$K$2:$K$5000) /((Kintoneデータ抽出!$K$2:$K$5000="院内")), ROW(A27))))&amp;"日",""), "")</f>
        <v/>
      </c>
      <c r="K64" s="77" t="str" cm="1">
        <f t="array" ref="K64">IFERROR(IF(INDEX(Kintoneデータ抽出!F:F, _xlfn.AGGREGATE(15, 6, ROW(Kintoneデータ抽出!$K$2:$K$5000) / ((Kintoneデータ抽出!$K$2:$K$5000="院内")), ROW(A27)))&lt;&gt;"",
VLOOKUP(INDEX(Kintoneデータ抽出!F:F, _xlfn.AGGREGATE(15, 6, ROW(Kintoneデータ抽出!$K$2:$K$5000) / ((Kintoneデータ抽出!$K$2:$K$5000="院内")), ROW(A27))),基本開園日の表記!$A$2:$B$13,2,FALSE),""), "")</f>
        <v/>
      </c>
      <c r="L64" s="75" t="str">
        <f t="array" ref="L64">IFERROR(IF(INDEX(Kintoneデータ抽出!F:F, _xlfn.AGGREGATE(15, 6, ROW(Kintoneデータ抽出!$K$2:$K$5000) / ((Kintoneデータ抽出!$K$2:$K$5000="院内")), ROW(A27)))&lt;&gt;"",
IF(COUNTIF(INDEX(Kintoneデータ抽出!F:F, _xlfn.AGGREGATE(15, 6, ROW(Kintoneデータ抽出!$K$2:$K$5000) / ((Kintoneデータ抽出!$K$2:$K$5000="院内")), ROW(A27))),"*あり*"),"夜間",""),""), "")</f>
        <v/>
      </c>
      <c r="M64" s="75" t="str">
        <f t="array" ref="M64">IFERROR(IF(INDEX(Kintoneデータ抽出!I:I, _xlfn.AGGREGATE(15, 6, ROW(Kintoneデータ抽出!$K$2:$K$5000) / ((Kintoneデータ抽出!$K$2:$K$5000="院内")), ROW(A27)))&lt;&gt;"",
IF(COUNTIF(INDEX(Kintoneデータ抽出!I:I, _xlfn.AGGREGATE(15, 6, ROW(Kintoneデータ抽出!$K$2:$K$5000) / ((Kintoneデータ抽出!$K$2:$K$5000="院内")), ROW(A27))),"*あり*"),"学童",""),""), "")</f>
        <v/>
      </c>
      <c r="N64" s="75" t="str">
        <f t="array" ref="N64">IFERROR(IF(INDEX(Kintoneデータ抽出!H:H, _xlfn.AGGREGATE(15, 6, ROW(Kintoneデータ抽出!$K$2:$K$5000) / ((Kintoneデータ抽出!$K$2:$K$5000="院内")), ROW(A27)))&lt;&gt;"",
IF(COUNTIF(INDEX(Kintoneデータ抽出!H:H, _xlfn.AGGREGATE(15, 6, ROW(Kintoneデータ抽出!$K$2:$K$5000) / ((Kintoneデータ抽出!$K$2:$K$5000="院内")), ROW(A27))),"*あり*"),"病児",""),""), "")</f>
        <v/>
      </c>
      <c r="O64" s="94" t="str" cm="1">
        <f t="array" ref="O64">IFERROR(
IF(INDEX(Kintoneデータ抽出!M:M, _xlfn.AGGREGATE(15, 6, ROW(Kintoneデータ抽出!$K$2:$K$5000) / ((Kintoneデータ抽出!$K$2:$K$5000="院内")), ROW(A27)))&lt;&gt;0,INDEX(Kintoneデータ抽出!M:M, _xlfn.AGGREGATE(15, 6, ROW(Kintoneデータ抽出!$K$2:$K$5000) / ((Kintoneデータ抽出!$K$2:$K$5000="院内")), ROW(A27))),""), "")</f>
        <v/>
      </c>
      <c r="P64" s="78" t="str">
        <f t="array" ref="P64">IFERROR(IF(INDEX(Kintoneデータ抽出!L:L, _xlfn.AGGREGATE(15, 6, ROW(Kintoneデータ抽出!$K$2:$K$5000) / ((Kintoneデータ抽出!$K$2:$K$5000="院内")), ROW(A27)))&lt;&gt;"",
IF(COUNTIF(INDEX(Kintoneデータ抽出!L:L, _xlfn.AGGREGATE(15, 6, ROW(Kintoneデータ抽出!$K$2:$K$5000) / ((Kintoneデータ抽出!$K$2:$K$5000="院内")), ROW(A27))),"*企業主導型以外*"),"",
IF(COUNTIF(INDEX(Kintoneデータ抽出!L:L, _xlfn.AGGREGATE(15, 6, ROW(Kintoneデータ抽出!$K$2:$K$5000) / ((Kintoneデータ抽出!$K$2:$K$5000="院内")), ROW(A27))),"*その他*"),"",
IF(COUNTIF(INDEX(Kintoneデータ抽出!L:L, _xlfn.AGGREGATE(15, 6, ROW(Kintoneデータ抽出!$K$2:$K$5000) / ((Kintoneデータ抽出!$K$2:$K$5000="院内")), ROW(A27))),"*新制度*"),"新制度","企業主導型"))),""), "")</f>
        <v/>
      </c>
    </row>
    <row r="65" spans="2:16" ht="34.799999999999997" customHeight="1" x14ac:dyDescent="0.45">
      <c r="B65" s="45"/>
      <c r="C65" s="46"/>
      <c r="D65" s="98" t="str">
        <f t="shared" si="1"/>
        <v/>
      </c>
      <c r="E65" s="99"/>
      <c r="F65" s="75" t="str">
        <f t="array" ref="F65">IFERROR(INDEX(Kintoneデータ抽出!A:A, _xlfn.AGGREGATE(15, 6, ROW(Kintoneデータ抽出!$K$2:$K$5000) / ((Kintoneデータ抽出!$K$2:$K$5000="院内")), ROW(A28))), "")</f>
        <v/>
      </c>
      <c r="G65" s="77" t="str">
        <f t="array" ref="G65">IFERROR(INDEX(Kintoneデータ抽出!D:D, _xlfn.AGGREGATE(15, 6, ROW(Kintoneデータ抽出!$K$2:$K$5000) / ((Kintoneデータ抽出!$K$2:$K$5000="院内")), ROW(A28))), "")</f>
        <v/>
      </c>
      <c r="H65" s="77" t="str">
        <f t="array" ref="H65">IFERROR(INDEX(Kintoneデータ抽出!C:C, _xlfn.AGGREGATE(15, 6, ROW(Kintoneデータ抽出!$K$2:$K$5000) / ((Kintoneデータ抽出!$K$2:$K$5000="院内")), ROW(A28))), "")</f>
        <v/>
      </c>
      <c r="I65" s="75" t="str">
        <f t="array" ref="I65">IFERROR(IF(INDEX(Kintoneデータ抽出!G:G, _xlfn.AGGREGATE(15, 6, ROW(Kintoneデータ抽出!$K$2:$K$5000) / ((Kintoneデータ抽出!$K$2:$K$5000="院内")), ROW(A28)))&lt;&gt;"",INDEX(Kintoneデータ抽出!G:G, _xlfn.AGGREGATE(15, 6, ROW(Kintoneデータ抽出!$K$2:$K$5000) / ((Kintoneデータ抽出!$K$2:$K$5000="院内")), ROW(A28)))&amp;"名",""), "")</f>
        <v/>
      </c>
      <c r="J65" s="76" t="str">
        <f t="array" ref="J65">IFERROR(IF(INDEX(Kintoneデータ抽出!E:E, _xlfn.AGGREGATE(15, 6, ROW(Kintoneデータ抽出!$K$2:$K$5000) / ((Kintoneデータ抽出!$K$2:$K$5000="院内")), ROW(A28)))&lt;&gt;"",
YEAR(INDEX(Kintoneデータ抽出!E:E, _xlfn.AGGREGATE(15, 6, ROW(Kintoneデータ抽出!$K$2:$K$5000) / ((Kintoneデータ抽出!$K$2:$K$5000="院内")), ROW(A28))))&amp;"年"
&amp;MONTH(INDEX(Kintoneデータ抽出!E:E, _xlfn.AGGREGATE(15, 6, ROW(Kintoneデータ抽出!$K$2:$K$5000) / ((Kintoneデータ抽出!$K$2:$K$5000="院内")), ROW(A28))))&amp;"月"
&amp;DAY(INDEX(Kintoneデータ抽出!E:E, _xlfn.AGGREGATE(15, 6, ROW(Kintoneデータ抽出!$K$2:$K$5000) /((Kintoneデータ抽出!$K$2:$K$5000="院内")), ROW(A28))))&amp;"日",""), "")</f>
        <v/>
      </c>
      <c r="K65" s="77" t="str" cm="1">
        <f t="array" ref="K65">IFERROR(IF(INDEX(Kintoneデータ抽出!F:F, _xlfn.AGGREGATE(15, 6, ROW(Kintoneデータ抽出!$K$2:$K$5000) / ((Kintoneデータ抽出!$K$2:$K$5000="院内")), ROW(A28)))&lt;&gt;"",
VLOOKUP(INDEX(Kintoneデータ抽出!F:F, _xlfn.AGGREGATE(15, 6, ROW(Kintoneデータ抽出!$K$2:$K$5000) / ((Kintoneデータ抽出!$K$2:$K$5000="院内")), ROW(A28))),基本開園日の表記!$A$2:$B$13,2,FALSE),""), "")</f>
        <v/>
      </c>
      <c r="L65" s="75" t="str">
        <f t="array" ref="L65">IFERROR(IF(INDEX(Kintoneデータ抽出!F:F, _xlfn.AGGREGATE(15, 6, ROW(Kintoneデータ抽出!$K$2:$K$5000) / ((Kintoneデータ抽出!$K$2:$K$5000="院内")), ROW(A28)))&lt;&gt;"",
IF(COUNTIF(INDEX(Kintoneデータ抽出!F:F, _xlfn.AGGREGATE(15, 6, ROW(Kintoneデータ抽出!$K$2:$K$5000) / ((Kintoneデータ抽出!$K$2:$K$5000="院内")), ROW(A28))),"*あり*"),"夜間",""),""), "")</f>
        <v/>
      </c>
      <c r="M65" s="75" t="str">
        <f t="array" ref="M65">IFERROR(IF(INDEX(Kintoneデータ抽出!I:I, _xlfn.AGGREGATE(15, 6, ROW(Kintoneデータ抽出!$K$2:$K$5000) / ((Kintoneデータ抽出!$K$2:$K$5000="院内")), ROW(A28)))&lt;&gt;"",
IF(COUNTIF(INDEX(Kintoneデータ抽出!I:I, _xlfn.AGGREGATE(15, 6, ROW(Kintoneデータ抽出!$K$2:$K$5000) / ((Kintoneデータ抽出!$K$2:$K$5000="院内")), ROW(A28))),"*あり*"),"学童",""),""), "")</f>
        <v/>
      </c>
      <c r="N65" s="75" t="str">
        <f t="array" ref="N65">IFERROR(IF(INDEX(Kintoneデータ抽出!H:H, _xlfn.AGGREGATE(15, 6, ROW(Kintoneデータ抽出!$K$2:$K$5000) / ((Kintoneデータ抽出!$K$2:$K$5000="院内")), ROW(A28)))&lt;&gt;"",
IF(COUNTIF(INDEX(Kintoneデータ抽出!H:H, _xlfn.AGGREGATE(15, 6, ROW(Kintoneデータ抽出!$K$2:$K$5000) / ((Kintoneデータ抽出!$K$2:$K$5000="院内")), ROW(A28))),"*あり*"),"病児",""),""), "")</f>
        <v/>
      </c>
      <c r="O65" s="94" t="str" cm="1">
        <f t="array" ref="O65">IFERROR(
IF(INDEX(Kintoneデータ抽出!M:M, _xlfn.AGGREGATE(15, 6, ROW(Kintoneデータ抽出!$K$2:$K$5000) / ((Kintoneデータ抽出!$K$2:$K$5000="院内")), ROW(A28)))&lt;&gt;0,INDEX(Kintoneデータ抽出!M:M, _xlfn.AGGREGATE(15, 6, ROW(Kintoneデータ抽出!$K$2:$K$5000) / ((Kintoneデータ抽出!$K$2:$K$5000="院内")), ROW(A28))),""), "")</f>
        <v/>
      </c>
      <c r="P65" s="78" t="str">
        <f t="array" ref="P65">IFERROR(IF(INDEX(Kintoneデータ抽出!L:L, _xlfn.AGGREGATE(15, 6, ROW(Kintoneデータ抽出!$K$2:$K$5000) / ((Kintoneデータ抽出!$K$2:$K$5000="院内")), ROW(A28)))&lt;&gt;"",
IF(COUNTIF(INDEX(Kintoneデータ抽出!L:L, _xlfn.AGGREGATE(15, 6, ROW(Kintoneデータ抽出!$K$2:$K$5000) / ((Kintoneデータ抽出!$K$2:$K$5000="院内")), ROW(A28))),"*企業主導型以外*"),"",
IF(COUNTIF(INDEX(Kintoneデータ抽出!L:L, _xlfn.AGGREGATE(15, 6, ROW(Kintoneデータ抽出!$K$2:$K$5000) / ((Kintoneデータ抽出!$K$2:$K$5000="院内")), ROW(A28))),"*その他*"),"",
IF(COUNTIF(INDEX(Kintoneデータ抽出!L:L, _xlfn.AGGREGATE(15, 6, ROW(Kintoneデータ抽出!$K$2:$K$5000) / ((Kintoneデータ抽出!$K$2:$K$5000="院内")), ROW(A28))),"*新制度*"),"新制度","企業主導型"))),""), "")</f>
        <v/>
      </c>
    </row>
    <row r="66" spans="2:16" ht="34.799999999999997" customHeight="1" x14ac:dyDescent="0.45">
      <c r="B66" s="45"/>
      <c r="C66" s="46"/>
      <c r="D66" s="98" t="str">
        <f t="shared" si="1"/>
        <v/>
      </c>
      <c r="E66" s="99"/>
      <c r="F66" s="75" t="str">
        <f t="array" ref="F66">IFERROR(INDEX(Kintoneデータ抽出!A:A, _xlfn.AGGREGATE(15, 6, ROW(Kintoneデータ抽出!$K$2:$K$5000) / ((Kintoneデータ抽出!$K$2:$K$5000="院内")), ROW(A29))), "")</f>
        <v/>
      </c>
      <c r="G66" s="77" t="str">
        <f t="array" ref="G66">IFERROR(INDEX(Kintoneデータ抽出!D:D, _xlfn.AGGREGATE(15, 6, ROW(Kintoneデータ抽出!$K$2:$K$5000) / ((Kintoneデータ抽出!$K$2:$K$5000="院内")), ROW(A29))), "")</f>
        <v/>
      </c>
      <c r="H66" s="77" t="str">
        <f t="array" ref="H66">IFERROR(INDEX(Kintoneデータ抽出!C:C, _xlfn.AGGREGATE(15, 6, ROW(Kintoneデータ抽出!$K$2:$K$5000) / ((Kintoneデータ抽出!$K$2:$K$5000="院内")), ROW(A29))), "")</f>
        <v/>
      </c>
      <c r="I66" s="75" t="str">
        <f t="array" ref="I66">IFERROR(IF(INDEX(Kintoneデータ抽出!G:G, _xlfn.AGGREGATE(15, 6, ROW(Kintoneデータ抽出!$K$2:$K$5000) / ((Kintoneデータ抽出!$K$2:$K$5000="院内")), ROW(A29)))&lt;&gt;"",INDEX(Kintoneデータ抽出!G:G, _xlfn.AGGREGATE(15, 6, ROW(Kintoneデータ抽出!$K$2:$K$5000) / ((Kintoneデータ抽出!$K$2:$K$5000="院内")), ROW(A29)))&amp;"名",""), "")</f>
        <v/>
      </c>
      <c r="J66" s="76" t="str">
        <f t="array" ref="J66">IFERROR(IF(INDEX(Kintoneデータ抽出!E:E, _xlfn.AGGREGATE(15, 6, ROW(Kintoneデータ抽出!$K$2:$K$5000) / ((Kintoneデータ抽出!$K$2:$K$5000="院内")), ROW(A29)))&lt;&gt;"",
YEAR(INDEX(Kintoneデータ抽出!E:E, _xlfn.AGGREGATE(15, 6, ROW(Kintoneデータ抽出!$K$2:$K$5000) / ((Kintoneデータ抽出!$K$2:$K$5000="院内")), ROW(A29))))&amp;"年"
&amp;MONTH(INDEX(Kintoneデータ抽出!E:E, _xlfn.AGGREGATE(15, 6, ROW(Kintoneデータ抽出!$K$2:$K$5000) / ((Kintoneデータ抽出!$K$2:$K$5000="院内")), ROW(A29))))&amp;"月"
&amp;DAY(INDEX(Kintoneデータ抽出!E:E, _xlfn.AGGREGATE(15, 6, ROW(Kintoneデータ抽出!$K$2:$K$5000) /((Kintoneデータ抽出!$K$2:$K$5000="院内")), ROW(A29))))&amp;"日",""), "")</f>
        <v/>
      </c>
      <c r="K66" s="77" t="str" cm="1">
        <f t="array" ref="K66">IFERROR(IF(INDEX(Kintoneデータ抽出!F:F, _xlfn.AGGREGATE(15, 6, ROW(Kintoneデータ抽出!$K$2:$K$5000) / ((Kintoneデータ抽出!$K$2:$K$5000="院内")), ROW(A29)))&lt;&gt;"",
VLOOKUP(INDEX(Kintoneデータ抽出!F:F, _xlfn.AGGREGATE(15, 6, ROW(Kintoneデータ抽出!$K$2:$K$5000) / ((Kintoneデータ抽出!$K$2:$K$5000="院内")), ROW(A29))),基本開園日の表記!$A$2:$B$13,2,FALSE),""), "")</f>
        <v/>
      </c>
      <c r="L66" s="75" t="str">
        <f t="array" ref="L66">IFERROR(IF(INDEX(Kintoneデータ抽出!F:F, _xlfn.AGGREGATE(15, 6, ROW(Kintoneデータ抽出!$K$2:$K$5000) / ((Kintoneデータ抽出!$K$2:$K$5000="院内")), ROW(A29)))&lt;&gt;"",
IF(COUNTIF(INDEX(Kintoneデータ抽出!F:F, _xlfn.AGGREGATE(15, 6, ROW(Kintoneデータ抽出!$K$2:$K$5000) / ((Kintoneデータ抽出!$K$2:$K$5000="院内")), ROW(A29))),"*あり*"),"夜間",""),""), "")</f>
        <v/>
      </c>
      <c r="M66" s="75" t="str">
        <f t="array" ref="M66">IFERROR(IF(INDEX(Kintoneデータ抽出!I:I, _xlfn.AGGREGATE(15, 6, ROW(Kintoneデータ抽出!$K$2:$K$5000) / ((Kintoneデータ抽出!$K$2:$K$5000="院内")), ROW(A29)))&lt;&gt;"",
IF(COUNTIF(INDEX(Kintoneデータ抽出!I:I, _xlfn.AGGREGATE(15, 6, ROW(Kintoneデータ抽出!$K$2:$K$5000) / ((Kintoneデータ抽出!$K$2:$K$5000="院内")), ROW(A29))),"*あり*"),"学童",""),""), "")</f>
        <v/>
      </c>
      <c r="N66" s="75" t="str">
        <f t="array" ref="N66">IFERROR(IF(INDEX(Kintoneデータ抽出!H:H, _xlfn.AGGREGATE(15, 6, ROW(Kintoneデータ抽出!$K$2:$K$5000) / ((Kintoneデータ抽出!$K$2:$K$5000="院内")), ROW(A29)))&lt;&gt;"",
IF(COUNTIF(INDEX(Kintoneデータ抽出!H:H, _xlfn.AGGREGATE(15, 6, ROW(Kintoneデータ抽出!$K$2:$K$5000) / ((Kintoneデータ抽出!$K$2:$K$5000="院内")), ROW(A29))),"*あり*"),"病児",""),""), "")</f>
        <v/>
      </c>
      <c r="O66" s="94" t="str" cm="1">
        <f t="array" ref="O66">IFERROR(
IF(INDEX(Kintoneデータ抽出!M:M, _xlfn.AGGREGATE(15, 6, ROW(Kintoneデータ抽出!$K$2:$K$5000) / ((Kintoneデータ抽出!$K$2:$K$5000="院内")), ROW(A29)))&lt;&gt;0,INDEX(Kintoneデータ抽出!M:M, _xlfn.AGGREGATE(15, 6, ROW(Kintoneデータ抽出!$K$2:$K$5000) / ((Kintoneデータ抽出!$K$2:$K$5000="院内")), ROW(A29))),""), "")</f>
        <v/>
      </c>
      <c r="P66" s="78" t="str">
        <f t="array" ref="P66">IFERROR(IF(INDEX(Kintoneデータ抽出!L:L, _xlfn.AGGREGATE(15, 6, ROW(Kintoneデータ抽出!$K$2:$K$5000) / ((Kintoneデータ抽出!$K$2:$K$5000="院内")), ROW(A29)))&lt;&gt;"",
IF(COUNTIF(INDEX(Kintoneデータ抽出!L:L, _xlfn.AGGREGATE(15, 6, ROW(Kintoneデータ抽出!$K$2:$K$5000) / ((Kintoneデータ抽出!$K$2:$K$5000="院内")), ROW(A29))),"*企業主導型以外*"),"",
IF(COUNTIF(INDEX(Kintoneデータ抽出!L:L, _xlfn.AGGREGATE(15, 6, ROW(Kintoneデータ抽出!$K$2:$K$5000) / ((Kintoneデータ抽出!$K$2:$K$5000="院内")), ROW(A29))),"*その他*"),"",
IF(COUNTIF(INDEX(Kintoneデータ抽出!L:L, _xlfn.AGGREGATE(15, 6, ROW(Kintoneデータ抽出!$K$2:$K$5000) / ((Kintoneデータ抽出!$K$2:$K$5000="院内")), ROW(A29))),"*新制度*"),"新制度","企業主導型"))),""), "")</f>
        <v/>
      </c>
    </row>
    <row r="67" spans="2:16" ht="34.799999999999997" customHeight="1" x14ac:dyDescent="0.45">
      <c r="B67" s="47"/>
      <c r="C67" s="48"/>
      <c r="D67" s="98" t="str">
        <f t="shared" si="1"/>
        <v/>
      </c>
      <c r="E67" s="99"/>
      <c r="F67" s="75" t="str">
        <f t="array" ref="F67">IFERROR(INDEX(Kintoneデータ抽出!A:A, _xlfn.AGGREGATE(15, 6, ROW(Kintoneデータ抽出!$K$2:$K$5000) / ((Kintoneデータ抽出!$K$2:$K$5000="院内")), ROW(A30))), "")</f>
        <v/>
      </c>
      <c r="G67" s="77" t="str">
        <f t="array" ref="G67">IFERROR(INDEX(Kintoneデータ抽出!D:D, _xlfn.AGGREGATE(15, 6, ROW(Kintoneデータ抽出!$K$2:$K$5000) / ((Kintoneデータ抽出!$K$2:$K$5000="院内")), ROW(A30))), "")</f>
        <v/>
      </c>
      <c r="H67" s="77" t="str">
        <f t="array" ref="H67">IFERROR(INDEX(Kintoneデータ抽出!C:C, _xlfn.AGGREGATE(15, 6, ROW(Kintoneデータ抽出!$K$2:$K$5000) / ((Kintoneデータ抽出!$K$2:$K$5000="院内")), ROW(A30))), "")</f>
        <v/>
      </c>
      <c r="I67" s="75" t="str">
        <f t="array" ref="I67">IFERROR(IF(INDEX(Kintoneデータ抽出!G:G, _xlfn.AGGREGATE(15, 6, ROW(Kintoneデータ抽出!$K$2:$K$5000) / ((Kintoneデータ抽出!$K$2:$K$5000="院内")), ROW(A30)))&lt;&gt;"",INDEX(Kintoneデータ抽出!G:G, _xlfn.AGGREGATE(15, 6, ROW(Kintoneデータ抽出!$K$2:$K$5000) / ((Kintoneデータ抽出!$K$2:$K$5000="院内")), ROW(A30)))&amp;"名",""), "")</f>
        <v/>
      </c>
      <c r="J67" s="76" t="str">
        <f t="array" ref="J67">IFERROR(IF(INDEX(Kintoneデータ抽出!E:E, _xlfn.AGGREGATE(15, 6, ROW(Kintoneデータ抽出!$K$2:$K$5000) / ((Kintoneデータ抽出!$K$2:$K$5000="院内")), ROW(A30)))&lt;&gt;"",
YEAR(INDEX(Kintoneデータ抽出!E:E, _xlfn.AGGREGATE(15, 6, ROW(Kintoneデータ抽出!$K$2:$K$5000) / ((Kintoneデータ抽出!$K$2:$K$5000="院内")), ROW(A30))))&amp;"年"
&amp;MONTH(INDEX(Kintoneデータ抽出!E:E, _xlfn.AGGREGATE(15, 6, ROW(Kintoneデータ抽出!$K$2:$K$5000) / ((Kintoneデータ抽出!$K$2:$K$5000="院内")), ROW(A30))))&amp;"月"
&amp;DAY(INDEX(Kintoneデータ抽出!E:E, _xlfn.AGGREGATE(15, 6, ROW(Kintoneデータ抽出!$K$2:$K$5000) /((Kintoneデータ抽出!$K$2:$K$5000="院内")), ROW(A30))))&amp;"日",""), "")</f>
        <v/>
      </c>
      <c r="K67" s="77" t="str" cm="1">
        <f t="array" ref="K67">IFERROR(IF(INDEX(Kintoneデータ抽出!F:F, _xlfn.AGGREGATE(15, 6, ROW(Kintoneデータ抽出!$K$2:$K$5000) / ((Kintoneデータ抽出!$K$2:$K$5000="院内")), ROW(A30)))&lt;&gt;"",
VLOOKUP(INDEX(Kintoneデータ抽出!F:F, _xlfn.AGGREGATE(15, 6, ROW(Kintoneデータ抽出!$K$2:$K$5000) / ((Kintoneデータ抽出!$K$2:$K$5000="院内")), ROW(A30))),基本開園日の表記!$A$2:$B$13,2,FALSE),""), "")</f>
        <v/>
      </c>
      <c r="L67" s="75" t="str">
        <f t="array" ref="L67">IFERROR(IF(INDEX(Kintoneデータ抽出!F:F, _xlfn.AGGREGATE(15, 6, ROW(Kintoneデータ抽出!$K$2:$K$5000) / ((Kintoneデータ抽出!$K$2:$K$5000="院内")), ROW(A30)))&lt;&gt;"",
IF(COUNTIF(INDEX(Kintoneデータ抽出!F:F, _xlfn.AGGREGATE(15, 6, ROW(Kintoneデータ抽出!$K$2:$K$5000) / ((Kintoneデータ抽出!$K$2:$K$5000="院内")), ROW(A30))),"*あり*"),"夜間",""),""), "")</f>
        <v/>
      </c>
      <c r="M67" s="75" t="str">
        <f t="array" ref="M67">IFERROR(IF(INDEX(Kintoneデータ抽出!I:I, _xlfn.AGGREGATE(15, 6, ROW(Kintoneデータ抽出!$K$2:$K$5000) / ((Kintoneデータ抽出!$K$2:$K$5000="院内")), ROW(A30)))&lt;&gt;"",
IF(COUNTIF(INDEX(Kintoneデータ抽出!I:I, _xlfn.AGGREGATE(15, 6, ROW(Kintoneデータ抽出!$K$2:$K$5000) / ((Kintoneデータ抽出!$K$2:$K$5000="院内")), ROW(A30))),"*あり*"),"学童",""),""), "")</f>
        <v/>
      </c>
      <c r="N67" s="75" t="str">
        <f t="array" ref="N67">IFERROR(IF(INDEX(Kintoneデータ抽出!H:H, _xlfn.AGGREGATE(15, 6, ROW(Kintoneデータ抽出!$K$2:$K$5000) / ((Kintoneデータ抽出!$K$2:$K$5000="院内")), ROW(A30)))&lt;&gt;"",
IF(COUNTIF(INDEX(Kintoneデータ抽出!H:H, _xlfn.AGGREGATE(15, 6, ROW(Kintoneデータ抽出!$K$2:$K$5000) / ((Kintoneデータ抽出!$K$2:$K$5000="院内")), ROW(A30))),"*あり*"),"病児",""),""), "")</f>
        <v/>
      </c>
      <c r="O67" s="94" t="str" cm="1">
        <f t="array" ref="O67">IFERROR(
IF(INDEX(Kintoneデータ抽出!M:M, _xlfn.AGGREGATE(15, 6, ROW(Kintoneデータ抽出!$K$2:$K$5000) / ((Kintoneデータ抽出!$K$2:$K$5000="院内")), ROW(A30)))&lt;&gt;0,INDEX(Kintoneデータ抽出!M:M, _xlfn.AGGREGATE(15, 6, ROW(Kintoneデータ抽出!$K$2:$K$5000) / ((Kintoneデータ抽出!$K$2:$K$5000="院内")), ROW(A30))),""), "")</f>
        <v/>
      </c>
      <c r="P67" s="78" t="str">
        <f t="array" ref="P67">IFERROR(IF(INDEX(Kintoneデータ抽出!L:L, _xlfn.AGGREGATE(15, 6, ROW(Kintoneデータ抽出!$K$2:$K$5000) / ((Kintoneデータ抽出!$K$2:$K$5000="院内")), ROW(A30)))&lt;&gt;"",
IF(COUNTIF(INDEX(Kintoneデータ抽出!L:L, _xlfn.AGGREGATE(15, 6, ROW(Kintoneデータ抽出!$K$2:$K$5000) / ((Kintoneデータ抽出!$K$2:$K$5000="院内")), ROW(A30))),"*企業主導型以外*"),"",
IF(COUNTIF(INDEX(Kintoneデータ抽出!L:L, _xlfn.AGGREGATE(15, 6, ROW(Kintoneデータ抽出!$K$2:$K$5000) / ((Kintoneデータ抽出!$K$2:$K$5000="院内")), ROW(A30))),"*その他*"),"",
IF(COUNTIF(INDEX(Kintoneデータ抽出!L:L, _xlfn.AGGREGATE(15, 6, ROW(Kintoneデータ抽出!$K$2:$K$5000) / ((Kintoneデータ抽出!$K$2:$K$5000="院内")), ROW(A30))),"*新制度*"),"新制度","企業主導型"))),""), "")</f>
        <v/>
      </c>
    </row>
    <row r="68" spans="2:16" ht="34.799999999999997" customHeight="1" x14ac:dyDescent="0.45">
      <c r="B68" s="49" t="s">
        <v>37</v>
      </c>
      <c r="C68" s="50"/>
      <c r="D68" s="98" t="str">
        <f t="shared" si="1"/>
        <v/>
      </c>
      <c r="E68" s="99"/>
      <c r="F68" s="75" t="str">
        <f t="array" ref="F68">IFERROR(INDEX(Kintoneデータ抽出!A:A, _xlfn.AGGREGATE(15, 6, ROW(Kintoneデータ抽出!$K$2:$K$5000) / ((Kintoneデータ抽出!$K$2:$K$5000="院内")), ROW(A31))), "")</f>
        <v/>
      </c>
      <c r="G68" s="77" t="str">
        <f t="array" ref="G68">IFERROR(INDEX(Kintoneデータ抽出!D:D, _xlfn.AGGREGATE(15, 6, ROW(Kintoneデータ抽出!$K$2:$K$5000) / ((Kintoneデータ抽出!$K$2:$K$5000="院内")), ROW(A31))), "")</f>
        <v/>
      </c>
      <c r="H68" s="77" t="str">
        <f t="array" ref="H68">IFERROR(INDEX(Kintoneデータ抽出!C:C, _xlfn.AGGREGATE(15, 6, ROW(Kintoneデータ抽出!$K$2:$K$5000) / ((Kintoneデータ抽出!$K$2:$K$5000="院内")), ROW(A31))), "")</f>
        <v/>
      </c>
      <c r="I68" s="75" t="str">
        <f t="array" ref="I68">IFERROR(IF(INDEX(Kintoneデータ抽出!G:G, _xlfn.AGGREGATE(15, 6, ROW(Kintoneデータ抽出!$K$2:$K$5000) / ((Kintoneデータ抽出!$K$2:$K$5000="院内")), ROW(A31)))&lt;&gt;"",INDEX(Kintoneデータ抽出!G:G, _xlfn.AGGREGATE(15, 6, ROW(Kintoneデータ抽出!$K$2:$K$5000) / ((Kintoneデータ抽出!$K$2:$K$5000="院内")), ROW(A31)))&amp;"名",""), "")</f>
        <v/>
      </c>
      <c r="J68" s="76" t="str">
        <f t="array" ref="J68">IFERROR(IF(INDEX(Kintoneデータ抽出!E:E, _xlfn.AGGREGATE(15, 6, ROW(Kintoneデータ抽出!$K$2:$K$5000) / ((Kintoneデータ抽出!$K$2:$K$5000="院内")), ROW(A31)))&lt;&gt;"",
YEAR(INDEX(Kintoneデータ抽出!E:E, _xlfn.AGGREGATE(15, 6, ROW(Kintoneデータ抽出!$K$2:$K$5000) / ((Kintoneデータ抽出!$K$2:$K$5000="院内")), ROW(A31))))&amp;"年"
&amp;MONTH(INDEX(Kintoneデータ抽出!E:E, _xlfn.AGGREGATE(15, 6, ROW(Kintoneデータ抽出!$K$2:$K$5000) / ((Kintoneデータ抽出!$K$2:$K$5000="院内")), ROW(A31))))&amp;"月"
&amp;DAY(INDEX(Kintoneデータ抽出!E:E, _xlfn.AGGREGATE(15, 6, ROW(Kintoneデータ抽出!$K$2:$K$5000) /((Kintoneデータ抽出!$K$2:$K$5000="院内")), ROW(A31))))&amp;"日",""), "")</f>
        <v/>
      </c>
      <c r="K68" s="77" t="str" cm="1">
        <f t="array" ref="K68">IFERROR(IF(INDEX(Kintoneデータ抽出!F:F, _xlfn.AGGREGATE(15, 6, ROW(Kintoneデータ抽出!$K$2:$K$5000) / ((Kintoneデータ抽出!$K$2:$K$5000="院内")), ROW(A31)))&lt;&gt;"",
VLOOKUP(INDEX(Kintoneデータ抽出!F:F, _xlfn.AGGREGATE(15, 6, ROW(Kintoneデータ抽出!$K$2:$K$5000) / ((Kintoneデータ抽出!$K$2:$K$5000="院内")), ROW(A31))),基本開園日の表記!$A$2:$B$13,2,FALSE),""), "")</f>
        <v/>
      </c>
      <c r="L68" s="75" t="str">
        <f t="array" ref="L68">IFERROR(IF(INDEX(Kintoneデータ抽出!F:F, _xlfn.AGGREGATE(15, 6, ROW(Kintoneデータ抽出!$K$2:$K$5000) / ((Kintoneデータ抽出!$K$2:$K$5000="院内")), ROW(A31)))&lt;&gt;"",
IF(COUNTIF(INDEX(Kintoneデータ抽出!F:F, _xlfn.AGGREGATE(15, 6, ROW(Kintoneデータ抽出!$K$2:$K$5000) / ((Kintoneデータ抽出!$K$2:$K$5000="院内")), ROW(A31))),"*あり*"),"夜間",""),""), "")</f>
        <v/>
      </c>
      <c r="M68" s="75" t="str">
        <f t="array" ref="M68">IFERROR(IF(INDEX(Kintoneデータ抽出!I:I, _xlfn.AGGREGATE(15, 6, ROW(Kintoneデータ抽出!$K$2:$K$5000) / ((Kintoneデータ抽出!$K$2:$K$5000="院内")), ROW(A31)))&lt;&gt;"",
IF(COUNTIF(INDEX(Kintoneデータ抽出!I:I, _xlfn.AGGREGATE(15, 6, ROW(Kintoneデータ抽出!$K$2:$K$5000) / ((Kintoneデータ抽出!$K$2:$K$5000="院内")), ROW(A31))),"*あり*"),"学童",""),""), "")</f>
        <v/>
      </c>
      <c r="N68" s="75" t="str">
        <f t="array" ref="N68">IFERROR(IF(INDEX(Kintoneデータ抽出!H:H, _xlfn.AGGREGATE(15, 6, ROW(Kintoneデータ抽出!$K$2:$K$5000) / ((Kintoneデータ抽出!$K$2:$K$5000="院内")), ROW(A31)))&lt;&gt;"",
IF(COUNTIF(INDEX(Kintoneデータ抽出!H:H, _xlfn.AGGREGATE(15, 6, ROW(Kintoneデータ抽出!$K$2:$K$5000) / ((Kintoneデータ抽出!$K$2:$K$5000="院内")), ROW(A31))),"*あり*"),"病児",""),""), "")</f>
        <v/>
      </c>
      <c r="O68" s="94" t="str" cm="1">
        <f t="array" ref="O68">IFERROR(
IF(INDEX(Kintoneデータ抽出!M:M, _xlfn.AGGREGATE(15, 6, ROW(Kintoneデータ抽出!$K$2:$K$5000) / ((Kintoneデータ抽出!$K$2:$K$5000="院内")), ROW(A31)))&lt;&gt;0,INDEX(Kintoneデータ抽出!M:M, _xlfn.AGGREGATE(15, 6, ROW(Kintoneデータ抽出!$K$2:$K$5000) / ((Kintoneデータ抽出!$K$2:$K$5000="院内")), ROW(A31))),""), "")</f>
        <v/>
      </c>
      <c r="P68" s="78" t="str">
        <f t="array" ref="P68">IFERROR(IF(INDEX(Kintoneデータ抽出!L:L, _xlfn.AGGREGATE(15, 6, ROW(Kintoneデータ抽出!$K$2:$K$5000) / ((Kintoneデータ抽出!$K$2:$K$5000="院内")), ROW(A31)))&lt;&gt;"",
IF(COUNTIF(INDEX(Kintoneデータ抽出!L:L, _xlfn.AGGREGATE(15, 6, ROW(Kintoneデータ抽出!$K$2:$K$5000) / ((Kintoneデータ抽出!$K$2:$K$5000="院内")), ROW(A31))),"*企業主導型以外*"),"",
IF(COUNTIF(INDEX(Kintoneデータ抽出!L:L, _xlfn.AGGREGATE(15, 6, ROW(Kintoneデータ抽出!$K$2:$K$5000) / ((Kintoneデータ抽出!$K$2:$K$5000="院内")), ROW(A31))),"*その他*"),"",
IF(COUNTIF(INDEX(Kintoneデータ抽出!L:L, _xlfn.AGGREGATE(15, 6, ROW(Kintoneデータ抽出!$K$2:$K$5000) / ((Kintoneデータ抽出!$K$2:$K$5000="院内")), ROW(A31))),"*新制度*"),"新制度","企業主導型"))),""), "")</f>
        <v/>
      </c>
    </row>
    <row r="69" spans="2:16" ht="34.799999999999997" customHeight="1" x14ac:dyDescent="0.45">
      <c r="B69" s="45"/>
      <c r="C69" s="46"/>
      <c r="D69" s="98" t="str">
        <f t="shared" si="1"/>
        <v/>
      </c>
      <c r="E69" s="99"/>
      <c r="F69" s="75" t="str">
        <f t="array" ref="F69">IFERROR(INDEX(Kintoneデータ抽出!A:A, _xlfn.AGGREGATE(15, 6, ROW(Kintoneデータ抽出!$K$2:$K$5000) / ((Kintoneデータ抽出!$K$2:$K$5000="院内")), ROW(A32))), "")</f>
        <v/>
      </c>
      <c r="G69" s="77" t="str">
        <f t="array" ref="G69">IFERROR(INDEX(Kintoneデータ抽出!D:D, _xlfn.AGGREGATE(15, 6, ROW(Kintoneデータ抽出!$K$2:$K$5000) / ((Kintoneデータ抽出!$K$2:$K$5000="院内")), ROW(A32))), "")</f>
        <v/>
      </c>
      <c r="H69" s="77" t="str">
        <f t="array" ref="H69">IFERROR(INDEX(Kintoneデータ抽出!C:C, _xlfn.AGGREGATE(15, 6, ROW(Kintoneデータ抽出!$K$2:$K$5000) / ((Kintoneデータ抽出!$K$2:$K$5000="院内")), ROW(A32))), "")</f>
        <v/>
      </c>
      <c r="I69" s="75" t="str">
        <f t="array" ref="I69">IFERROR(IF(INDEX(Kintoneデータ抽出!G:G, _xlfn.AGGREGATE(15, 6, ROW(Kintoneデータ抽出!$K$2:$K$5000) / ((Kintoneデータ抽出!$K$2:$K$5000="院内")), ROW(A32)))&lt;&gt;"",INDEX(Kintoneデータ抽出!G:G, _xlfn.AGGREGATE(15, 6, ROW(Kintoneデータ抽出!$K$2:$K$5000) / ((Kintoneデータ抽出!$K$2:$K$5000="院内")), ROW(A32)))&amp;"名",""), "")</f>
        <v/>
      </c>
      <c r="J69" s="76" t="str">
        <f t="array" ref="J69">IFERROR(IF(INDEX(Kintoneデータ抽出!E:E, _xlfn.AGGREGATE(15, 6, ROW(Kintoneデータ抽出!$K$2:$K$5000) / ((Kintoneデータ抽出!$K$2:$K$5000="院内")), ROW(A32)))&lt;&gt;"",
YEAR(INDEX(Kintoneデータ抽出!E:E, _xlfn.AGGREGATE(15, 6, ROW(Kintoneデータ抽出!$K$2:$K$5000) / ((Kintoneデータ抽出!$K$2:$K$5000="院内")), ROW(A32))))&amp;"年"
&amp;MONTH(INDEX(Kintoneデータ抽出!E:E, _xlfn.AGGREGATE(15, 6, ROW(Kintoneデータ抽出!$K$2:$K$5000) / ((Kintoneデータ抽出!$K$2:$K$5000="院内")), ROW(A32))))&amp;"月"
&amp;DAY(INDEX(Kintoneデータ抽出!E:E, _xlfn.AGGREGATE(15, 6, ROW(Kintoneデータ抽出!$K$2:$K$5000) /((Kintoneデータ抽出!$K$2:$K$5000="院内")), ROW(A32))))&amp;"日",""), "")</f>
        <v/>
      </c>
      <c r="K69" s="77" t="str" cm="1">
        <f t="array" ref="K69">IFERROR(IF(INDEX(Kintoneデータ抽出!F:F, _xlfn.AGGREGATE(15, 6, ROW(Kintoneデータ抽出!$K$2:$K$5000) / ((Kintoneデータ抽出!$K$2:$K$5000="院内")), ROW(A32)))&lt;&gt;"",
VLOOKUP(INDEX(Kintoneデータ抽出!F:F, _xlfn.AGGREGATE(15, 6, ROW(Kintoneデータ抽出!$K$2:$K$5000) / ((Kintoneデータ抽出!$K$2:$K$5000="院内")), ROW(A32))),基本開園日の表記!$A$2:$B$13,2,FALSE),""), "")</f>
        <v/>
      </c>
      <c r="L69" s="75" t="str">
        <f t="array" ref="L69">IFERROR(IF(INDEX(Kintoneデータ抽出!F:F, _xlfn.AGGREGATE(15, 6, ROW(Kintoneデータ抽出!$K$2:$K$5000) / ((Kintoneデータ抽出!$K$2:$K$5000="院内")), ROW(A32)))&lt;&gt;"",
IF(COUNTIF(INDEX(Kintoneデータ抽出!F:F, _xlfn.AGGREGATE(15, 6, ROW(Kintoneデータ抽出!$K$2:$K$5000) / ((Kintoneデータ抽出!$K$2:$K$5000="院内")), ROW(A32))),"*あり*"),"夜間",""),""), "")</f>
        <v/>
      </c>
      <c r="M69" s="75" t="str">
        <f t="array" ref="M69">IFERROR(IF(INDEX(Kintoneデータ抽出!I:I, _xlfn.AGGREGATE(15, 6, ROW(Kintoneデータ抽出!$K$2:$K$5000) / ((Kintoneデータ抽出!$K$2:$K$5000="院内")), ROW(A32)))&lt;&gt;"",
IF(COUNTIF(INDEX(Kintoneデータ抽出!I:I, _xlfn.AGGREGATE(15, 6, ROW(Kintoneデータ抽出!$K$2:$K$5000) / ((Kintoneデータ抽出!$K$2:$K$5000="院内")), ROW(A32))),"*あり*"),"学童",""),""), "")</f>
        <v/>
      </c>
      <c r="N69" s="75" t="str">
        <f t="array" ref="N69">IFERROR(IF(INDEX(Kintoneデータ抽出!H:H, _xlfn.AGGREGATE(15, 6, ROW(Kintoneデータ抽出!$K$2:$K$5000) / ((Kintoneデータ抽出!$K$2:$K$5000="院内")), ROW(A32)))&lt;&gt;"",
IF(COUNTIF(INDEX(Kintoneデータ抽出!H:H, _xlfn.AGGREGATE(15, 6, ROW(Kintoneデータ抽出!$K$2:$K$5000) / ((Kintoneデータ抽出!$K$2:$K$5000="院内")), ROW(A32))),"*あり*"),"病児",""),""), "")</f>
        <v/>
      </c>
      <c r="O69" s="94" t="str" cm="1">
        <f t="array" ref="O69">IFERROR(
IF(INDEX(Kintoneデータ抽出!M:M, _xlfn.AGGREGATE(15, 6, ROW(Kintoneデータ抽出!$K$2:$K$5000) / ((Kintoneデータ抽出!$K$2:$K$5000="院内")), ROW(A32)))&lt;&gt;0,INDEX(Kintoneデータ抽出!M:M, _xlfn.AGGREGATE(15, 6, ROW(Kintoneデータ抽出!$K$2:$K$5000) / ((Kintoneデータ抽出!$K$2:$K$5000="院内")), ROW(A32))),""), "")</f>
        <v/>
      </c>
      <c r="P69" s="78" t="str">
        <f t="array" ref="P69">IFERROR(IF(INDEX(Kintoneデータ抽出!L:L, _xlfn.AGGREGATE(15, 6, ROW(Kintoneデータ抽出!$K$2:$K$5000) / ((Kintoneデータ抽出!$K$2:$K$5000="院内")), ROW(A32)))&lt;&gt;"",
IF(COUNTIF(INDEX(Kintoneデータ抽出!L:L, _xlfn.AGGREGATE(15, 6, ROW(Kintoneデータ抽出!$K$2:$K$5000) / ((Kintoneデータ抽出!$K$2:$K$5000="院内")), ROW(A32))),"*企業主導型以外*"),"",
IF(COUNTIF(INDEX(Kintoneデータ抽出!L:L, _xlfn.AGGREGATE(15, 6, ROW(Kintoneデータ抽出!$K$2:$K$5000) / ((Kintoneデータ抽出!$K$2:$K$5000="院内")), ROW(A32))),"*その他*"),"",
IF(COUNTIF(INDEX(Kintoneデータ抽出!L:L, _xlfn.AGGREGATE(15, 6, ROW(Kintoneデータ抽出!$K$2:$K$5000) / ((Kintoneデータ抽出!$K$2:$K$5000="院内")), ROW(A32))),"*新制度*"),"新制度","企業主導型"))),""), "")</f>
        <v/>
      </c>
    </row>
    <row r="70" spans="2:16" ht="34.799999999999997" customHeight="1" x14ac:dyDescent="0.45">
      <c r="B70" s="45"/>
      <c r="C70" s="46"/>
      <c r="D70" s="98" t="str">
        <f t="shared" si="1"/>
        <v/>
      </c>
      <c r="E70" s="99"/>
      <c r="F70" s="75" t="str">
        <f t="array" ref="F70">IFERROR(INDEX(Kintoneデータ抽出!A:A, _xlfn.AGGREGATE(15, 6, ROW(Kintoneデータ抽出!$K$2:$K$5000) / ((Kintoneデータ抽出!$K$2:$K$5000="院内")), ROW(A33))), "")</f>
        <v/>
      </c>
      <c r="G70" s="77" t="str">
        <f t="array" ref="G70">IFERROR(INDEX(Kintoneデータ抽出!D:D, _xlfn.AGGREGATE(15, 6, ROW(Kintoneデータ抽出!$K$2:$K$5000) / ((Kintoneデータ抽出!$K$2:$K$5000="院内")), ROW(A33))), "")</f>
        <v/>
      </c>
      <c r="H70" s="77" t="str">
        <f t="array" ref="H70">IFERROR(INDEX(Kintoneデータ抽出!C:C, _xlfn.AGGREGATE(15, 6, ROW(Kintoneデータ抽出!$K$2:$K$5000) / ((Kintoneデータ抽出!$K$2:$K$5000="院内")), ROW(A33))), "")</f>
        <v/>
      </c>
      <c r="I70" s="75" t="str">
        <f t="array" ref="I70">IFERROR(IF(INDEX(Kintoneデータ抽出!G:G, _xlfn.AGGREGATE(15, 6, ROW(Kintoneデータ抽出!$K$2:$K$5000) / ((Kintoneデータ抽出!$K$2:$K$5000="院内")), ROW(A33)))&lt;&gt;"",INDEX(Kintoneデータ抽出!G:G, _xlfn.AGGREGATE(15, 6, ROW(Kintoneデータ抽出!$K$2:$K$5000) / ((Kintoneデータ抽出!$K$2:$K$5000="院内")), ROW(A33)))&amp;"名",""), "")</f>
        <v/>
      </c>
      <c r="J70" s="76" t="str">
        <f t="array" ref="J70">IFERROR(IF(INDEX(Kintoneデータ抽出!E:E, _xlfn.AGGREGATE(15, 6, ROW(Kintoneデータ抽出!$K$2:$K$5000) / ((Kintoneデータ抽出!$K$2:$K$5000="院内")), ROW(A33)))&lt;&gt;"",
YEAR(INDEX(Kintoneデータ抽出!E:E, _xlfn.AGGREGATE(15, 6, ROW(Kintoneデータ抽出!$K$2:$K$5000) / ((Kintoneデータ抽出!$K$2:$K$5000="院内")), ROW(A33))))&amp;"年"
&amp;MONTH(INDEX(Kintoneデータ抽出!E:E, _xlfn.AGGREGATE(15, 6, ROW(Kintoneデータ抽出!$K$2:$K$5000) / ((Kintoneデータ抽出!$K$2:$K$5000="院内")), ROW(A33))))&amp;"月"
&amp;DAY(INDEX(Kintoneデータ抽出!E:E, _xlfn.AGGREGATE(15, 6, ROW(Kintoneデータ抽出!$K$2:$K$5000) /((Kintoneデータ抽出!$K$2:$K$5000="院内")), ROW(A33))))&amp;"日",""), "")</f>
        <v/>
      </c>
      <c r="K70" s="77" t="str" cm="1">
        <f t="array" ref="K70">IFERROR(IF(INDEX(Kintoneデータ抽出!F:F, _xlfn.AGGREGATE(15, 6, ROW(Kintoneデータ抽出!$K$2:$K$5000) / ((Kintoneデータ抽出!$K$2:$K$5000="院内")), ROW(A33)))&lt;&gt;"",
VLOOKUP(INDEX(Kintoneデータ抽出!F:F, _xlfn.AGGREGATE(15, 6, ROW(Kintoneデータ抽出!$K$2:$K$5000) / ((Kintoneデータ抽出!$K$2:$K$5000="院内")), ROW(A33))),基本開園日の表記!$A$2:$B$13,2,FALSE),""), "")</f>
        <v/>
      </c>
      <c r="L70" s="75" t="str">
        <f t="array" ref="L70">IFERROR(IF(INDEX(Kintoneデータ抽出!F:F, _xlfn.AGGREGATE(15, 6, ROW(Kintoneデータ抽出!$K$2:$K$5000) / ((Kintoneデータ抽出!$K$2:$K$5000="院内")), ROW(A33)))&lt;&gt;"",
IF(COUNTIF(INDEX(Kintoneデータ抽出!F:F, _xlfn.AGGREGATE(15, 6, ROW(Kintoneデータ抽出!$K$2:$K$5000) / ((Kintoneデータ抽出!$K$2:$K$5000="院内")), ROW(A33))),"*あり*"),"夜間",""),""), "")</f>
        <v/>
      </c>
      <c r="M70" s="75" t="str">
        <f t="array" ref="M70">IFERROR(IF(INDEX(Kintoneデータ抽出!I:I, _xlfn.AGGREGATE(15, 6, ROW(Kintoneデータ抽出!$K$2:$K$5000) / ((Kintoneデータ抽出!$K$2:$K$5000="院内")), ROW(A33)))&lt;&gt;"",
IF(COUNTIF(INDEX(Kintoneデータ抽出!I:I, _xlfn.AGGREGATE(15, 6, ROW(Kintoneデータ抽出!$K$2:$K$5000) / ((Kintoneデータ抽出!$K$2:$K$5000="院内")), ROW(A33))),"*あり*"),"学童",""),""), "")</f>
        <v/>
      </c>
      <c r="N70" s="75" t="str">
        <f t="array" ref="N70">IFERROR(IF(INDEX(Kintoneデータ抽出!H:H, _xlfn.AGGREGATE(15, 6, ROW(Kintoneデータ抽出!$K$2:$K$5000) / ((Kintoneデータ抽出!$K$2:$K$5000="院内")), ROW(A33)))&lt;&gt;"",
IF(COUNTIF(INDEX(Kintoneデータ抽出!H:H, _xlfn.AGGREGATE(15, 6, ROW(Kintoneデータ抽出!$K$2:$K$5000) / ((Kintoneデータ抽出!$K$2:$K$5000="院内")), ROW(A33))),"*あり*"),"病児",""),""), "")</f>
        <v/>
      </c>
      <c r="O70" s="94" t="str" cm="1">
        <f t="array" ref="O70">IFERROR(
IF(INDEX(Kintoneデータ抽出!M:M, _xlfn.AGGREGATE(15, 6, ROW(Kintoneデータ抽出!$K$2:$K$5000) / ((Kintoneデータ抽出!$K$2:$K$5000="院内")), ROW(A33)))&lt;&gt;0,INDEX(Kintoneデータ抽出!M:M, _xlfn.AGGREGATE(15, 6, ROW(Kintoneデータ抽出!$K$2:$K$5000) / ((Kintoneデータ抽出!$K$2:$K$5000="院内")), ROW(A33))),""), "")</f>
        <v/>
      </c>
      <c r="P70" s="78" t="str">
        <f t="array" ref="P70">IFERROR(IF(INDEX(Kintoneデータ抽出!L:L, _xlfn.AGGREGATE(15, 6, ROW(Kintoneデータ抽出!$K$2:$K$5000) / ((Kintoneデータ抽出!$K$2:$K$5000="院内")), ROW(A33)))&lt;&gt;"",
IF(COUNTIF(INDEX(Kintoneデータ抽出!L:L, _xlfn.AGGREGATE(15, 6, ROW(Kintoneデータ抽出!$K$2:$K$5000) / ((Kintoneデータ抽出!$K$2:$K$5000="院内")), ROW(A33))),"*企業主導型以外*"),"",
IF(COUNTIF(INDEX(Kintoneデータ抽出!L:L, _xlfn.AGGREGATE(15, 6, ROW(Kintoneデータ抽出!$K$2:$K$5000) / ((Kintoneデータ抽出!$K$2:$K$5000="院内")), ROW(A33))),"*その他*"),"",
IF(COUNTIF(INDEX(Kintoneデータ抽出!L:L, _xlfn.AGGREGATE(15, 6, ROW(Kintoneデータ抽出!$K$2:$K$5000) / ((Kintoneデータ抽出!$K$2:$K$5000="院内")), ROW(A33))),"*新制度*"),"新制度","企業主導型"))),""), "")</f>
        <v/>
      </c>
    </row>
    <row r="71" spans="2:16" ht="34.799999999999997" customHeight="1" x14ac:dyDescent="0.45">
      <c r="B71" s="45"/>
      <c r="C71" s="46"/>
      <c r="D71" s="98" t="str">
        <f t="shared" si="1"/>
        <v/>
      </c>
      <c r="E71" s="99"/>
      <c r="F71" s="75" t="str">
        <f t="array" ref="F71">IFERROR(INDEX(Kintoneデータ抽出!A:A, _xlfn.AGGREGATE(15, 6, ROW(Kintoneデータ抽出!$K$2:$K$5000) / ((Kintoneデータ抽出!$K$2:$K$5000="院内")), ROW(A34))), "")</f>
        <v/>
      </c>
      <c r="G71" s="77" t="str">
        <f t="array" ref="G71">IFERROR(INDEX(Kintoneデータ抽出!D:D, _xlfn.AGGREGATE(15, 6, ROW(Kintoneデータ抽出!$K$2:$K$5000) / ((Kintoneデータ抽出!$K$2:$K$5000="院内")), ROW(A34))), "")</f>
        <v/>
      </c>
      <c r="H71" s="77" t="str">
        <f t="array" ref="H71">IFERROR(INDEX(Kintoneデータ抽出!C:C, _xlfn.AGGREGATE(15, 6, ROW(Kintoneデータ抽出!$K$2:$K$5000) / ((Kintoneデータ抽出!$K$2:$K$5000="院内")), ROW(A34))), "")</f>
        <v/>
      </c>
      <c r="I71" s="75" t="str">
        <f t="array" ref="I71">IFERROR(IF(INDEX(Kintoneデータ抽出!G:G, _xlfn.AGGREGATE(15, 6, ROW(Kintoneデータ抽出!$K$2:$K$5000) / ((Kintoneデータ抽出!$K$2:$K$5000="院内")), ROW(A34)))&lt;&gt;"",INDEX(Kintoneデータ抽出!G:G, _xlfn.AGGREGATE(15, 6, ROW(Kintoneデータ抽出!$K$2:$K$5000) / ((Kintoneデータ抽出!$K$2:$K$5000="院内")), ROW(A34)))&amp;"名",""), "")</f>
        <v/>
      </c>
      <c r="J71" s="76" t="str">
        <f t="array" ref="J71">IFERROR(IF(INDEX(Kintoneデータ抽出!E:E, _xlfn.AGGREGATE(15, 6, ROW(Kintoneデータ抽出!$K$2:$K$5000) / ((Kintoneデータ抽出!$K$2:$K$5000="院内")), ROW(A34)))&lt;&gt;"",
YEAR(INDEX(Kintoneデータ抽出!E:E, _xlfn.AGGREGATE(15, 6, ROW(Kintoneデータ抽出!$K$2:$K$5000) / ((Kintoneデータ抽出!$K$2:$K$5000="院内")), ROW(A34))))&amp;"年"
&amp;MONTH(INDEX(Kintoneデータ抽出!E:E, _xlfn.AGGREGATE(15, 6, ROW(Kintoneデータ抽出!$K$2:$K$5000) / ((Kintoneデータ抽出!$K$2:$K$5000="院内")), ROW(A34))))&amp;"月"
&amp;DAY(INDEX(Kintoneデータ抽出!E:E, _xlfn.AGGREGATE(15, 6, ROW(Kintoneデータ抽出!$K$2:$K$5000) /((Kintoneデータ抽出!$K$2:$K$5000="院内")), ROW(A34))))&amp;"日",""), "")</f>
        <v/>
      </c>
      <c r="K71" s="77" t="str" cm="1">
        <f t="array" ref="K71">IFERROR(IF(INDEX(Kintoneデータ抽出!F:F, _xlfn.AGGREGATE(15, 6, ROW(Kintoneデータ抽出!$K$2:$K$5000) / ((Kintoneデータ抽出!$K$2:$K$5000="院内")), ROW(A34)))&lt;&gt;"",
VLOOKUP(INDEX(Kintoneデータ抽出!F:F, _xlfn.AGGREGATE(15, 6, ROW(Kintoneデータ抽出!$K$2:$K$5000) / ((Kintoneデータ抽出!$K$2:$K$5000="院内")), ROW(A34))),基本開園日の表記!$A$2:$B$13,2,FALSE),""), "")</f>
        <v/>
      </c>
      <c r="L71" s="75" t="str">
        <f t="array" ref="L71">IFERROR(IF(INDEX(Kintoneデータ抽出!F:F, _xlfn.AGGREGATE(15, 6, ROW(Kintoneデータ抽出!$K$2:$K$5000) / ((Kintoneデータ抽出!$K$2:$K$5000="院内")), ROW(A34)))&lt;&gt;"",
IF(COUNTIF(INDEX(Kintoneデータ抽出!F:F, _xlfn.AGGREGATE(15, 6, ROW(Kintoneデータ抽出!$K$2:$K$5000) / ((Kintoneデータ抽出!$K$2:$K$5000="院内")), ROW(A34))),"*あり*"),"夜間",""),""), "")</f>
        <v/>
      </c>
      <c r="M71" s="75" t="str">
        <f t="array" ref="M71">IFERROR(IF(INDEX(Kintoneデータ抽出!I:I, _xlfn.AGGREGATE(15, 6, ROW(Kintoneデータ抽出!$K$2:$K$5000) / ((Kintoneデータ抽出!$K$2:$K$5000="院内")), ROW(A34)))&lt;&gt;"",
IF(COUNTIF(INDEX(Kintoneデータ抽出!I:I, _xlfn.AGGREGATE(15, 6, ROW(Kintoneデータ抽出!$K$2:$K$5000) / ((Kintoneデータ抽出!$K$2:$K$5000="院内")), ROW(A34))),"*あり*"),"学童",""),""), "")</f>
        <v/>
      </c>
      <c r="N71" s="75" t="str">
        <f t="array" ref="N71">IFERROR(IF(INDEX(Kintoneデータ抽出!H:H, _xlfn.AGGREGATE(15, 6, ROW(Kintoneデータ抽出!$K$2:$K$5000) / ((Kintoneデータ抽出!$K$2:$K$5000="院内")), ROW(A34)))&lt;&gt;"",
IF(COUNTIF(INDEX(Kintoneデータ抽出!H:H, _xlfn.AGGREGATE(15, 6, ROW(Kintoneデータ抽出!$K$2:$K$5000) / ((Kintoneデータ抽出!$K$2:$K$5000="院内")), ROW(A34))),"*あり*"),"病児",""),""), "")</f>
        <v/>
      </c>
      <c r="O71" s="94" t="str" cm="1">
        <f t="array" ref="O71">IFERROR(
IF(INDEX(Kintoneデータ抽出!M:M, _xlfn.AGGREGATE(15, 6, ROW(Kintoneデータ抽出!$K$2:$K$5000) / ((Kintoneデータ抽出!$K$2:$K$5000="院内")), ROW(A34)))&lt;&gt;0,INDEX(Kintoneデータ抽出!M:M, _xlfn.AGGREGATE(15, 6, ROW(Kintoneデータ抽出!$K$2:$K$5000) / ((Kintoneデータ抽出!$K$2:$K$5000="院内")), ROW(A34))),""), "")</f>
        <v/>
      </c>
      <c r="P71" s="78" t="str">
        <f t="array" ref="P71">IFERROR(IF(INDEX(Kintoneデータ抽出!L:L, _xlfn.AGGREGATE(15, 6, ROW(Kintoneデータ抽出!$K$2:$K$5000) / ((Kintoneデータ抽出!$K$2:$K$5000="院内")), ROW(A34)))&lt;&gt;"",
IF(COUNTIF(INDEX(Kintoneデータ抽出!L:L, _xlfn.AGGREGATE(15, 6, ROW(Kintoneデータ抽出!$K$2:$K$5000) / ((Kintoneデータ抽出!$K$2:$K$5000="院内")), ROW(A34))),"*企業主導型以外*"),"",
IF(COUNTIF(INDEX(Kintoneデータ抽出!L:L, _xlfn.AGGREGATE(15, 6, ROW(Kintoneデータ抽出!$K$2:$K$5000) / ((Kintoneデータ抽出!$K$2:$K$5000="院内")), ROW(A34))),"*その他*"),"",
IF(COUNTIF(INDEX(Kintoneデータ抽出!L:L, _xlfn.AGGREGATE(15, 6, ROW(Kintoneデータ抽出!$K$2:$K$5000) / ((Kintoneデータ抽出!$K$2:$K$5000="院内")), ROW(A34))),"*新制度*"),"新制度","企業主導型"))),""), "")</f>
        <v/>
      </c>
    </row>
    <row r="72" spans="2:16" ht="34.799999999999997" customHeight="1" x14ac:dyDescent="0.45">
      <c r="B72" s="45"/>
      <c r="C72" s="46"/>
      <c r="D72" s="98" t="str">
        <f t="shared" si="1"/>
        <v/>
      </c>
      <c r="E72" s="99"/>
      <c r="F72" s="75" t="str">
        <f t="array" ref="F72">IFERROR(INDEX(Kintoneデータ抽出!A:A, _xlfn.AGGREGATE(15, 6, ROW(Kintoneデータ抽出!$K$2:$K$5000) / ((Kintoneデータ抽出!$K$2:$K$5000="院内")), ROW(A35))), "")</f>
        <v/>
      </c>
      <c r="G72" s="77" t="str">
        <f t="array" ref="G72">IFERROR(INDEX(Kintoneデータ抽出!D:D, _xlfn.AGGREGATE(15, 6, ROW(Kintoneデータ抽出!$K$2:$K$5000) / ((Kintoneデータ抽出!$K$2:$K$5000="院内")), ROW(A35))), "")</f>
        <v/>
      </c>
      <c r="H72" s="77" t="str">
        <f t="array" ref="H72">IFERROR(INDEX(Kintoneデータ抽出!C:C, _xlfn.AGGREGATE(15, 6, ROW(Kintoneデータ抽出!$K$2:$K$5000) / ((Kintoneデータ抽出!$K$2:$K$5000="院内")), ROW(A35))), "")</f>
        <v/>
      </c>
      <c r="I72" s="75" t="str">
        <f t="array" ref="I72">IFERROR(IF(INDEX(Kintoneデータ抽出!G:G, _xlfn.AGGREGATE(15, 6, ROW(Kintoneデータ抽出!$K$2:$K$5000) / ((Kintoneデータ抽出!$K$2:$K$5000="院内")), ROW(A35)))&lt;&gt;"",INDEX(Kintoneデータ抽出!G:G, _xlfn.AGGREGATE(15, 6, ROW(Kintoneデータ抽出!$K$2:$K$5000) / ((Kintoneデータ抽出!$K$2:$K$5000="院内")), ROW(A35)))&amp;"名",""), "")</f>
        <v/>
      </c>
      <c r="J72" s="76" t="str">
        <f t="array" ref="J72">IFERROR(IF(INDEX(Kintoneデータ抽出!E:E, _xlfn.AGGREGATE(15, 6, ROW(Kintoneデータ抽出!$K$2:$K$5000) / ((Kintoneデータ抽出!$K$2:$K$5000="院内")), ROW(A35)))&lt;&gt;"",
YEAR(INDEX(Kintoneデータ抽出!E:E, _xlfn.AGGREGATE(15, 6, ROW(Kintoneデータ抽出!$K$2:$K$5000) / ((Kintoneデータ抽出!$K$2:$K$5000="院内")), ROW(A35))))&amp;"年"
&amp;MONTH(INDEX(Kintoneデータ抽出!E:E, _xlfn.AGGREGATE(15, 6, ROW(Kintoneデータ抽出!$K$2:$K$5000) / ((Kintoneデータ抽出!$K$2:$K$5000="院内")), ROW(A35))))&amp;"月"
&amp;DAY(INDEX(Kintoneデータ抽出!E:E, _xlfn.AGGREGATE(15, 6, ROW(Kintoneデータ抽出!$K$2:$K$5000) /((Kintoneデータ抽出!$K$2:$K$5000="院内")), ROW(A35))))&amp;"日",""), "")</f>
        <v/>
      </c>
      <c r="K72" s="77" t="str" cm="1">
        <f t="array" ref="K72">IFERROR(IF(INDEX(Kintoneデータ抽出!F:F, _xlfn.AGGREGATE(15, 6, ROW(Kintoneデータ抽出!$K$2:$K$5000) / ((Kintoneデータ抽出!$K$2:$K$5000="院内")), ROW(A35)))&lt;&gt;"",
VLOOKUP(INDEX(Kintoneデータ抽出!F:F, _xlfn.AGGREGATE(15, 6, ROW(Kintoneデータ抽出!$K$2:$K$5000) / ((Kintoneデータ抽出!$K$2:$K$5000="院内")), ROW(A35))),基本開園日の表記!$A$2:$B$13,2,FALSE),""), "")</f>
        <v/>
      </c>
      <c r="L72" s="75" t="str">
        <f t="array" ref="L72">IFERROR(IF(INDEX(Kintoneデータ抽出!F:F, _xlfn.AGGREGATE(15, 6, ROW(Kintoneデータ抽出!$K$2:$K$5000) / ((Kintoneデータ抽出!$K$2:$K$5000="院内")), ROW(A35)))&lt;&gt;"",
IF(COUNTIF(INDEX(Kintoneデータ抽出!F:F, _xlfn.AGGREGATE(15, 6, ROW(Kintoneデータ抽出!$K$2:$K$5000) / ((Kintoneデータ抽出!$K$2:$K$5000="院内")), ROW(A35))),"*あり*"),"夜間",""),""), "")</f>
        <v/>
      </c>
      <c r="M72" s="75" t="str">
        <f t="array" ref="M72">IFERROR(IF(INDEX(Kintoneデータ抽出!I:I, _xlfn.AGGREGATE(15, 6, ROW(Kintoneデータ抽出!$K$2:$K$5000) / ((Kintoneデータ抽出!$K$2:$K$5000="院内")), ROW(A35)))&lt;&gt;"",
IF(COUNTIF(INDEX(Kintoneデータ抽出!I:I, _xlfn.AGGREGATE(15, 6, ROW(Kintoneデータ抽出!$K$2:$K$5000) / ((Kintoneデータ抽出!$K$2:$K$5000="院内")), ROW(A35))),"*あり*"),"学童",""),""), "")</f>
        <v/>
      </c>
      <c r="N72" s="75" t="str">
        <f t="array" ref="N72">IFERROR(IF(INDEX(Kintoneデータ抽出!H:H, _xlfn.AGGREGATE(15, 6, ROW(Kintoneデータ抽出!$K$2:$K$5000) / ((Kintoneデータ抽出!$K$2:$K$5000="院内")), ROW(A35)))&lt;&gt;"",
IF(COUNTIF(INDEX(Kintoneデータ抽出!H:H, _xlfn.AGGREGATE(15, 6, ROW(Kintoneデータ抽出!$K$2:$K$5000) / ((Kintoneデータ抽出!$K$2:$K$5000="院内")), ROW(A35))),"*あり*"),"病児",""),""), "")</f>
        <v/>
      </c>
      <c r="O72" s="94" t="str" cm="1">
        <f t="array" ref="O72">IFERROR(
IF(INDEX(Kintoneデータ抽出!M:M, _xlfn.AGGREGATE(15, 6, ROW(Kintoneデータ抽出!$K$2:$K$5000) / ((Kintoneデータ抽出!$K$2:$K$5000="院内")), ROW(A35)))&lt;&gt;0,INDEX(Kintoneデータ抽出!M:M, _xlfn.AGGREGATE(15, 6, ROW(Kintoneデータ抽出!$K$2:$K$5000) / ((Kintoneデータ抽出!$K$2:$K$5000="院内")), ROW(A35))),""), "")</f>
        <v/>
      </c>
      <c r="P72" s="78" t="str">
        <f t="array" ref="P72">IFERROR(IF(INDEX(Kintoneデータ抽出!L:L, _xlfn.AGGREGATE(15, 6, ROW(Kintoneデータ抽出!$K$2:$K$5000) / ((Kintoneデータ抽出!$K$2:$K$5000="院内")), ROW(A35)))&lt;&gt;"",
IF(COUNTIF(INDEX(Kintoneデータ抽出!L:L, _xlfn.AGGREGATE(15, 6, ROW(Kintoneデータ抽出!$K$2:$K$5000) / ((Kintoneデータ抽出!$K$2:$K$5000="院内")), ROW(A35))),"*企業主導型以外*"),"",
IF(COUNTIF(INDEX(Kintoneデータ抽出!L:L, _xlfn.AGGREGATE(15, 6, ROW(Kintoneデータ抽出!$K$2:$K$5000) / ((Kintoneデータ抽出!$K$2:$K$5000="院内")), ROW(A35))),"*その他*"),"",
IF(COUNTIF(INDEX(Kintoneデータ抽出!L:L, _xlfn.AGGREGATE(15, 6, ROW(Kintoneデータ抽出!$K$2:$K$5000) / ((Kintoneデータ抽出!$K$2:$K$5000="院内")), ROW(A35))),"*新制度*"),"新制度","企業主導型"))),""), "")</f>
        <v/>
      </c>
    </row>
    <row r="73" spans="2:16" ht="34.799999999999997" customHeight="1" x14ac:dyDescent="0.45">
      <c r="B73" s="45"/>
      <c r="C73" s="46"/>
      <c r="D73" s="98" t="str">
        <f t="shared" si="1"/>
        <v/>
      </c>
      <c r="E73" s="99"/>
      <c r="F73" s="75" t="str">
        <f t="array" ref="F73">IFERROR(INDEX(Kintoneデータ抽出!A:A, _xlfn.AGGREGATE(15, 6, ROW(Kintoneデータ抽出!$K$2:$K$5000) / ((Kintoneデータ抽出!$K$2:$K$5000="院内")), ROW(A36))), "")</f>
        <v/>
      </c>
      <c r="G73" s="77" t="str">
        <f t="array" ref="G73">IFERROR(INDEX(Kintoneデータ抽出!D:D, _xlfn.AGGREGATE(15, 6, ROW(Kintoneデータ抽出!$K$2:$K$5000) / ((Kintoneデータ抽出!$K$2:$K$5000="院内")), ROW(A36))), "")</f>
        <v/>
      </c>
      <c r="H73" s="77" t="str">
        <f t="array" ref="H73">IFERROR(INDEX(Kintoneデータ抽出!C:C, _xlfn.AGGREGATE(15, 6, ROW(Kintoneデータ抽出!$K$2:$K$5000) / ((Kintoneデータ抽出!$K$2:$K$5000="院内")), ROW(A36))), "")</f>
        <v/>
      </c>
      <c r="I73" s="75" t="str">
        <f t="array" ref="I73">IFERROR(IF(INDEX(Kintoneデータ抽出!G:G, _xlfn.AGGREGATE(15, 6, ROW(Kintoneデータ抽出!$K$2:$K$5000) / ((Kintoneデータ抽出!$K$2:$K$5000="院内")), ROW(A36)))&lt;&gt;"",INDEX(Kintoneデータ抽出!G:G, _xlfn.AGGREGATE(15, 6, ROW(Kintoneデータ抽出!$K$2:$K$5000) / ((Kintoneデータ抽出!$K$2:$K$5000="院内")), ROW(A36)))&amp;"名",""), "")</f>
        <v/>
      </c>
      <c r="J73" s="76" t="str">
        <f t="array" ref="J73">IFERROR(IF(INDEX(Kintoneデータ抽出!E:E, _xlfn.AGGREGATE(15, 6, ROW(Kintoneデータ抽出!$K$2:$K$5000) / ((Kintoneデータ抽出!$K$2:$K$5000="院内")), ROW(A36)))&lt;&gt;"",
YEAR(INDEX(Kintoneデータ抽出!E:E, _xlfn.AGGREGATE(15, 6, ROW(Kintoneデータ抽出!$K$2:$K$5000) / ((Kintoneデータ抽出!$K$2:$K$5000="院内")), ROW(A36))))&amp;"年"
&amp;MONTH(INDEX(Kintoneデータ抽出!E:E, _xlfn.AGGREGATE(15, 6, ROW(Kintoneデータ抽出!$K$2:$K$5000) / ((Kintoneデータ抽出!$K$2:$K$5000="院内")), ROW(A36))))&amp;"月"
&amp;DAY(INDEX(Kintoneデータ抽出!E:E, _xlfn.AGGREGATE(15, 6, ROW(Kintoneデータ抽出!$K$2:$K$5000) /((Kintoneデータ抽出!$K$2:$K$5000="院内")), ROW(A36))))&amp;"日",""), "")</f>
        <v/>
      </c>
      <c r="K73" s="77" t="str" cm="1">
        <f t="array" ref="K73">IFERROR(IF(INDEX(Kintoneデータ抽出!F:F, _xlfn.AGGREGATE(15, 6, ROW(Kintoneデータ抽出!$K$2:$K$5000) / ((Kintoneデータ抽出!$K$2:$K$5000="院内")), ROW(A36)))&lt;&gt;"",
VLOOKUP(INDEX(Kintoneデータ抽出!F:F, _xlfn.AGGREGATE(15, 6, ROW(Kintoneデータ抽出!$K$2:$K$5000) / ((Kintoneデータ抽出!$K$2:$K$5000="院内")), ROW(A36))),基本開園日の表記!$A$2:$B$13,2,FALSE),""), "")</f>
        <v/>
      </c>
      <c r="L73" s="75" t="str">
        <f t="array" ref="L73">IFERROR(IF(INDEX(Kintoneデータ抽出!F:F, _xlfn.AGGREGATE(15, 6, ROW(Kintoneデータ抽出!$K$2:$K$5000) / ((Kintoneデータ抽出!$K$2:$K$5000="院内")), ROW(A36)))&lt;&gt;"",
IF(COUNTIF(INDEX(Kintoneデータ抽出!F:F, _xlfn.AGGREGATE(15, 6, ROW(Kintoneデータ抽出!$K$2:$K$5000) / ((Kintoneデータ抽出!$K$2:$K$5000="院内")), ROW(A36))),"*あり*"),"夜間",""),""), "")</f>
        <v/>
      </c>
      <c r="M73" s="75" t="str">
        <f t="array" ref="M73">IFERROR(IF(INDEX(Kintoneデータ抽出!I:I, _xlfn.AGGREGATE(15, 6, ROW(Kintoneデータ抽出!$K$2:$K$5000) / ((Kintoneデータ抽出!$K$2:$K$5000="院内")), ROW(A36)))&lt;&gt;"",
IF(COUNTIF(INDEX(Kintoneデータ抽出!I:I, _xlfn.AGGREGATE(15, 6, ROW(Kintoneデータ抽出!$K$2:$K$5000) / ((Kintoneデータ抽出!$K$2:$K$5000="院内")), ROW(A36))),"*あり*"),"学童",""),""), "")</f>
        <v/>
      </c>
      <c r="N73" s="75" t="str">
        <f t="array" ref="N73">IFERROR(IF(INDEX(Kintoneデータ抽出!H:H, _xlfn.AGGREGATE(15, 6, ROW(Kintoneデータ抽出!$K$2:$K$5000) / ((Kintoneデータ抽出!$K$2:$K$5000="院内")), ROW(A36)))&lt;&gt;"",
IF(COUNTIF(INDEX(Kintoneデータ抽出!H:H, _xlfn.AGGREGATE(15, 6, ROW(Kintoneデータ抽出!$K$2:$K$5000) / ((Kintoneデータ抽出!$K$2:$K$5000="院内")), ROW(A36))),"*あり*"),"病児",""),""), "")</f>
        <v/>
      </c>
      <c r="O73" s="94" t="str" cm="1">
        <f t="array" ref="O73">IFERROR(
IF(INDEX(Kintoneデータ抽出!M:M, _xlfn.AGGREGATE(15, 6, ROW(Kintoneデータ抽出!$K$2:$K$5000) / ((Kintoneデータ抽出!$K$2:$K$5000="院内")), ROW(A36)))&lt;&gt;0,INDEX(Kintoneデータ抽出!M:M, _xlfn.AGGREGATE(15, 6, ROW(Kintoneデータ抽出!$K$2:$K$5000) / ((Kintoneデータ抽出!$K$2:$K$5000="院内")), ROW(A36))),""), "")</f>
        <v/>
      </c>
      <c r="P73" s="78" t="str">
        <f t="array" ref="P73">IFERROR(IF(INDEX(Kintoneデータ抽出!L:L, _xlfn.AGGREGATE(15, 6, ROW(Kintoneデータ抽出!$K$2:$K$5000) / ((Kintoneデータ抽出!$K$2:$K$5000="院内")), ROW(A36)))&lt;&gt;"",
IF(COUNTIF(INDEX(Kintoneデータ抽出!L:L, _xlfn.AGGREGATE(15, 6, ROW(Kintoneデータ抽出!$K$2:$K$5000) / ((Kintoneデータ抽出!$K$2:$K$5000="院内")), ROW(A36))),"*企業主導型以外*"),"",
IF(COUNTIF(INDEX(Kintoneデータ抽出!L:L, _xlfn.AGGREGATE(15, 6, ROW(Kintoneデータ抽出!$K$2:$K$5000) / ((Kintoneデータ抽出!$K$2:$K$5000="院内")), ROW(A36))),"*その他*"),"",
IF(COUNTIF(INDEX(Kintoneデータ抽出!L:L, _xlfn.AGGREGATE(15, 6, ROW(Kintoneデータ抽出!$K$2:$K$5000) / ((Kintoneデータ抽出!$K$2:$K$5000="院内")), ROW(A36))),"*新制度*"),"新制度","企業主導型"))),""), "")</f>
        <v/>
      </c>
    </row>
    <row r="74" spans="2:16" ht="34.799999999999997" customHeight="1" x14ac:dyDescent="0.45">
      <c r="B74" s="45"/>
      <c r="C74" s="46"/>
      <c r="D74" s="98" t="str">
        <f t="shared" si="1"/>
        <v/>
      </c>
      <c r="E74" s="99"/>
      <c r="F74" s="75" t="str">
        <f t="array" ref="F74">IFERROR(INDEX(Kintoneデータ抽出!A:A, _xlfn.AGGREGATE(15, 6, ROW(Kintoneデータ抽出!$K$2:$K$5000) / ((Kintoneデータ抽出!$K$2:$K$5000="院内")), ROW(A37))), "")</f>
        <v/>
      </c>
      <c r="G74" s="77" t="str">
        <f t="array" ref="G74">IFERROR(INDEX(Kintoneデータ抽出!D:D, _xlfn.AGGREGATE(15, 6, ROW(Kintoneデータ抽出!$K$2:$K$5000) / ((Kintoneデータ抽出!$K$2:$K$5000="院内")), ROW(A37))), "")</f>
        <v/>
      </c>
      <c r="H74" s="77" t="str">
        <f t="array" ref="H74">IFERROR(INDEX(Kintoneデータ抽出!C:C, _xlfn.AGGREGATE(15, 6, ROW(Kintoneデータ抽出!$K$2:$K$5000) / ((Kintoneデータ抽出!$K$2:$K$5000="院内")), ROW(A37))), "")</f>
        <v/>
      </c>
      <c r="I74" s="75" t="str">
        <f t="array" ref="I74">IFERROR(IF(INDEX(Kintoneデータ抽出!G:G, _xlfn.AGGREGATE(15, 6, ROW(Kintoneデータ抽出!$K$2:$K$5000) / ((Kintoneデータ抽出!$K$2:$K$5000="院内")), ROW(A37)))&lt;&gt;"",INDEX(Kintoneデータ抽出!G:G, _xlfn.AGGREGATE(15, 6, ROW(Kintoneデータ抽出!$K$2:$K$5000) / ((Kintoneデータ抽出!$K$2:$K$5000="院内")), ROW(A37)))&amp;"名",""), "")</f>
        <v/>
      </c>
      <c r="J74" s="76" t="str">
        <f t="array" ref="J74">IFERROR(IF(INDEX(Kintoneデータ抽出!E:E, _xlfn.AGGREGATE(15, 6, ROW(Kintoneデータ抽出!$K$2:$K$5000) / ((Kintoneデータ抽出!$K$2:$K$5000="院内")), ROW(A37)))&lt;&gt;"",
YEAR(INDEX(Kintoneデータ抽出!E:E, _xlfn.AGGREGATE(15, 6, ROW(Kintoneデータ抽出!$K$2:$K$5000) / ((Kintoneデータ抽出!$K$2:$K$5000="院内")), ROW(A37))))&amp;"年"
&amp;MONTH(INDEX(Kintoneデータ抽出!E:E, _xlfn.AGGREGATE(15, 6, ROW(Kintoneデータ抽出!$K$2:$K$5000) / ((Kintoneデータ抽出!$K$2:$K$5000="院内")), ROW(A37))))&amp;"月"
&amp;DAY(INDEX(Kintoneデータ抽出!E:E, _xlfn.AGGREGATE(15, 6, ROW(Kintoneデータ抽出!$K$2:$K$5000) /((Kintoneデータ抽出!$K$2:$K$5000="院内")), ROW(A37))))&amp;"日",""), "")</f>
        <v/>
      </c>
      <c r="K74" s="77" t="str" cm="1">
        <f t="array" ref="K74">IFERROR(IF(INDEX(Kintoneデータ抽出!F:F, _xlfn.AGGREGATE(15, 6, ROW(Kintoneデータ抽出!$K$2:$K$5000) / ((Kintoneデータ抽出!$K$2:$K$5000="院内")), ROW(A37)))&lt;&gt;"",
VLOOKUP(INDEX(Kintoneデータ抽出!F:F, _xlfn.AGGREGATE(15, 6, ROW(Kintoneデータ抽出!$K$2:$K$5000) / ((Kintoneデータ抽出!$K$2:$K$5000="院内")), ROW(A37))),基本開園日の表記!$A$2:$B$13,2,FALSE),""), "")</f>
        <v/>
      </c>
      <c r="L74" s="75" t="str">
        <f t="array" ref="L74">IFERROR(IF(INDEX(Kintoneデータ抽出!F:F, _xlfn.AGGREGATE(15, 6, ROW(Kintoneデータ抽出!$K$2:$K$5000) / ((Kintoneデータ抽出!$K$2:$K$5000="院内")), ROW(A37)))&lt;&gt;"",
IF(COUNTIF(INDEX(Kintoneデータ抽出!F:F, _xlfn.AGGREGATE(15, 6, ROW(Kintoneデータ抽出!$K$2:$K$5000) / ((Kintoneデータ抽出!$K$2:$K$5000="院内")), ROW(A37))),"*あり*"),"夜間",""),""), "")</f>
        <v/>
      </c>
      <c r="M74" s="75" t="str">
        <f t="array" ref="M74">IFERROR(IF(INDEX(Kintoneデータ抽出!I:I, _xlfn.AGGREGATE(15, 6, ROW(Kintoneデータ抽出!$K$2:$K$5000) / ((Kintoneデータ抽出!$K$2:$K$5000="院内")), ROW(A37)))&lt;&gt;"",
IF(COUNTIF(INDEX(Kintoneデータ抽出!I:I, _xlfn.AGGREGATE(15, 6, ROW(Kintoneデータ抽出!$K$2:$K$5000) / ((Kintoneデータ抽出!$K$2:$K$5000="院内")), ROW(A37))),"*あり*"),"学童",""),""), "")</f>
        <v/>
      </c>
      <c r="N74" s="75" t="str">
        <f t="array" ref="N74">IFERROR(IF(INDEX(Kintoneデータ抽出!H:H, _xlfn.AGGREGATE(15, 6, ROW(Kintoneデータ抽出!$K$2:$K$5000) / ((Kintoneデータ抽出!$K$2:$K$5000="院内")), ROW(A37)))&lt;&gt;"",
IF(COUNTIF(INDEX(Kintoneデータ抽出!H:H, _xlfn.AGGREGATE(15, 6, ROW(Kintoneデータ抽出!$K$2:$K$5000) / ((Kintoneデータ抽出!$K$2:$K$5000="院内")), ROW(A37))),"*あり*"),"病児",""),""), "")</f>
        <v/>
      </c>
      <c r="O74" s="94" t="str" cm="1">
        <f t="array" ref="O74">IFERROR(
IF(INDEX(Kintoneデータ抽出!M:M, _xlfn.AGGREGATE(15, 6, ROW(Kintoneデータ抽出!$K$2:$K$5000) / ((Kintoneデータ抽出!$K$2:$K$5000="院内")), ROW(A37)))&lt;&gt;0,INDEX(Kintoneデータ抽出!M:M, _xlfn.AGGREGATE(15, 6, ROW(Kintoneデータ抽出!$K$2:$K$5000) / ((Kintoneデータ抽出!$K$2:$K$5000="院内")), ROW(A37))),""), "")</f>
        <v/>
      </c>
      <c r="P74" s="78" t="str">
        <f t="array" ref="P74">IFERROR(IF(INDEX(Kintoneデータ抽出!L:L, _xlfn.AGGREGATE(15, 6, ROW(Kintoneデータ抽出!$K$2:$K$5000) / ((Kintoneデータ抽出!$K$2:$K$5000="院内")), ROW(A37)))&lt;&gt;"",
IF(COUNTIF(INDEX(Kintoneデータ抽出!L:L, _xlfn.AGGREGATE(15, 6, ROW(Kintoneデータ抽出!$K$2:$K$5000) / ((Kintoneデータ抽出!$K$2:$K$5000="院内")), ROW(A37))),"*企業主導型以外*"),"",
IF(COUNTIF(INDEX(Kintoneデータ抽出!L:L, _xlfn.AGGREGATE(15, 6, ROW(Kintoneデータ抽出!$K$2:$K$5000) / ((Kintoneデータ抽出!$K$2:$K$5000="院内")), ROW(A37))),"*その他*"),"",
IF(COUNTIF(INDEX(Kintoneデータ抽出!L:L, _xlfn.AGGREGATE(15, 6, ROW(Kintoneデータ抽出!$K$2:$K$5000) / ((Kintoneデータ抽出!$K$2:$K$5000="院内")), ROW(A37))),"*新制度*"),"新制度","企業主導型"))),""), "")</f>
        <v/>
      </c>
    </row>
    <row r="75" spans="2:16" ht="34.799999999999997" customHeight="1" x14ac:dyDescent="0.45">
      <c r="B75" s="45"/>
      <c r="C75" s="46"/>
      <c r="D75" s="98" t="str">
        <f t="shared" si="1"/>
        <v/>
      </c>
      <c r="E75" s="99"/>
      <c r="F75" s="75" t="str">
        <f t="array" ref="F75">IFERROR(INDEX(Kintoneデータ抽出!A:A, _xlfn.AGGREGATE(15, 6, ROW(Kintoneデータ抽出!$K$2:$K$5000) / ((Kintoneデータ抽出!$K$2:$K$5000="院内")), ROW(A38))), "")</f>
        <v/>
      </c>
      <c r="G75" s="77" t="str">
        <f t="array" ref="G75">IFERROR(INDEX(Kintoneデータ抽出!D:D, _xlfn.AGGREGATE(15, 6, ROW(Kintoneデータ抽出!$K$2:$K$5000) / ((Kintoneデータ抽出!$K$2:$K$5000="院内")), ROW(A38))), "")</f>
        <v/>
      </c>
      <c r="H75" s="77" t="str">
        <f t="array" ref="H75">IFERROR(INDEX(Kintoneデータ抽出!C:C, _xlfn.AGGREGATE(15, 6, ROW(Kintoneデータ抽出!$K$2:$K$5000) / ((Kintoneデータ抽出!$K$2:$K$5000="院内")), ROW(A38))), "")</f>
        <v/>
      </c>
      <c r="I75" s="75" t="str">
        <f t="array" ref="I75">IFERROR(IF(INDEX(Kintoneデータ抽出!G:G, _xlfn.AGGREGATE(15, 6, ROW(Kintoneデータ抽出!$K$2:$K$5000) / ((Kintoneデータ抽出!$K$2:$K$5000="院内")), ROW(A38)))&lt;&gt;"",INDEX(Kintoneデータ抽出!G:G, _xlfn.AGGREGATE(15, 6, ROW(Kintoneデータ抽出!$K$2:$K$5000) / ((Kintoneデータ抽出!$K$2:$K$5000="院内")), ROW(A38)))&amp;"名",""), "")</f>
        <v/>
      </c>
      <c r="J75" s="76" t="str">
        <f t="array" ref="J75">IFERROR(IF(INDEX(Kintoneデータ抽出!E:E, _xlfn.AGGREGATE(15, 6, ROW(Kintoneデータ抽出!$K$2:$K$5000) / ((Kintoneデータ抽出!$K$2:$K$5000="院内")), ROW(A38)))&lt;&gt;"",
YEAR(INDEX(Kintoneデータ抽出!E:E, _xlfn.AGGREGATE(15, 6, ROW(Kintoneデータ抽出!$K$2:$K$5000) / ((Kintoneデータ抽出!$K$2:$K$5000="院内")), ROW(A38))))&amp;"年"
&amp;MONTH(INDEX(Kintoneデータ抽出!E:E, _xlfn.AGGREGATE(15, 6, ROW(Kintoneデータ抽出!$K$2:$K$5000) / ((Kintoneデータ抽出!$K$2:$K$5000="院内")), ROW(A38))))&amp;"月"
&amp;DAY(INDEX(Kintoneデータ抽出!E:E, _xlfn.AGGREGATE(15, 6, ROW(Kintoneデータ抽出!$K$2:$K$5000) /((Kintoneデータ抽出!$K$2:$K$5000="院内")), ROW(A38))))&amp;"日",""), "")</f>
        <v/>
      </c>
      <c r="K75" s="77" t="str" cm="1">
        <f t="array" ref="K75">IFERROR(IF(INDEX(Kintoneデータ抽出!F:F, _xlfn.AGGREGATE(15, 6, ROW(Kintoneデータ抽出!$K$2:$K$5000) / ((Kintoneデータ抽出!$K$2:$K$5000="院内")), ROW(A38)))&lt;&gt;"",
VLOOKUP(INDEX(Kintoneデータ抽出!F:F, _xlfn.AGGREGATE(15, 6, ROW(Kintoneデータ抽出!$K$2:$K$5000) / ((Kintoneデータ抽出!$K$2:$K$5000="院内")), ROW(A38))),基本開園日の表記!$A$2:$B$13,2,FALSE),""), "")</f>
        <v/>
      </c>
      <c r="L75" s="75" t="str">
        <f t="array" ref="L75">IFERROR(IF(INDEX(Kintoneデータ抽出!F:F, _xlfn.AGGREGATE(15, 6, ROW(Kintoneデータ抽出!$K$2:$K$5000) / ((Kintoneデータ抽出!$K$2:$K$5000="院内")), ROW(A38)))&lt;&gt;"",
IF(COUNTIF(INDEX(Kintoneデータ抽出!F:F, _xlfn.AGGREGATE(15, 6, ROW(Kintoneデータ抽出!$K$2:$K$5000) / ((Kintoneデータ抽出!$K$2:$K$5000="院内")), ROW(A38))),"*あり*"),"夜間",""),""), "")</f>
        <v/>
      </c>
      <c r="M75" s="75" t="str">
        <f t="array" ref="M75">IFERROR(IF(INDEX(Kintoneデータ抽出!I:I, _xlfn.AGGREGATE(15, 6, ROW(Kintoneデータ抽出!$K$2:$K$5000) / ((Kintoneデータ抽出!$K$2:$K$5000="院内")), ROW(A38)))&lt;&gt;"",
IF(COUNTIF(INDEX(Kintoneデータ抽出!I:I, _xlfn.AGGREGATE(15, 6, ROW(Kintoneデータ抽出!$K$2:$K$5000) / ((Kintoneデータ抽出!$K$2:$K$5000="院内")), ROW(A38))),"*あり*"),"学童",""),""), "")</f>
        <v/>
      </c>
      <c r="N75" s="75" t="str">
        <f t="array" ref="N75">IFERROR(IF(INDEX(Kintoneデータ抽出!H:H, _xlfn.AGGREGATE(15, 6, ROW(Kintoneデータ抽出!$K$2:$K$5000) / ((Kintoneデータ抽出!$K$2:$K$5000="院内")), ROW(A38)))&lt;&gt;"",
IF(COUNTIF(INDEX(Kintoneデータ抽出!H:H, _xlfn.AGGREGATE(15, 6, ROW(Kintoneデータ抽出!$K$2:$K$5000) / ((Kintoneデータ抽出!$K$2:$K$5000="院内")), ROW(A38))),"*あり*"),"病児",""),""), "")</f>
        <v/>
      </c>
      <c r="O75" s="94" t="str" cm="1">
        <f t="array" ref="O75">IFERROR(
IF(INDEX(Kintoneデータ抽出!M:M, _xlfn.AGGREGATE(15, 6, ROW(Kintoneデータ抽出!$K$2:$K$5000) / ((Kintoneデータ抽出!$K$2:$K$5000="院内")), ROW(A38)))&lt;&gt;0,INDEX(Kintoneデータ抽出!M:M, _xlfn.AGGREGATE(15, 6, ROW(Kintoneデータ抽出!$K$2:$K$5000) / ((Kintoneデータ抽出!$K$2:$K$5000="院内")), ROW(A38))),""), "")</f>
        <v/>
      </c>
      <c r="P75" s="78" t="str">
        <f t="array" ref="P75">IFERROR(IF(INDEX(Kintoneデータ抽出!L:L, _xlfn.AGGREGATE(15, 6, ROW(Kintoneデータ抽出!$K$2:$K$5000) / ((Kintoneデータ抽出!$K$2:$K$5000="院内")), ROW(A38)))&lt;&gt;"",
IF(COUNTIF(INDEX(Kintoneデータ抽出!L:L, _xlfn.AGGREGATE(15, 6, ROW(Kintoneデータ抽出!$K$2:$K$5000) / ((Kintoneデータ抽出!$K$2:$K$5000="院内")), ROW(A38))),"*企業主導型以外*"),"",
IF(COUNTIF(INDEX(Kintoneデータ抽出!L:L, _xlfn.AGGREGATE(15, 6, ROW(Kintoneデータ抽出!$K$2:$K$5000) / ((Kintoneデータ抽出!$K$2:$K$5000="院内")), ROW(A38))),"*その他*"),"",
IF(COUNTIF(INDEX(Kintoneデータ抽出!L:L, _xlfn.AGGREGATE(15, 6, ROW(Kintoneデータ抽出!$K$2:$K$5000) / ((Kintoneデータ抽出!$K$2:$K$5000="院内")), ROW(A38))),"*新制度*"),"新制度","企業主導型"))),""), "")</f>
        <v/>
      </c>
    </row>
    <row r="76" spans="2:16" ht="34.799999999999997" customHeight="1" x14ac:dyDescent="0.45">
      <c r="B76" s="45"/>
      <c r="C76" s="46"/>
      <c r="D76" s="98" t="str">
        <f t="shared" si="1"/>
        <v/>
      </c>
      <c r="E76" s="99"/>
      <c r="F76" s="75" t="str">
        <f t="array" ref="F76">IFERROR(INDEX(Kintoneデータ抽出!A:A, _xlfn.AGGREGATE(15, 6, ROW(Kintoneデータ抽出!$K$2:$K$5000) / ((Kintoneデータ抽出!$K$2:$K$5000="院内")), ROW(A39))), "")</f>
        <v/>
      </c>
      <c r="G76" s="77" t="str">
        <f t="array" ref="G76">IFERROR(INDEX(Kintoneデータ抽出!D:D, _xlfn.AGGREGATE(15, 6, ROW(Kintoneデータ抽出!$K$2:$K$5000) / ((Kintoneデータ抽出!$K$2:$K$5000="院内")), ROW(A39))), "")</f>
        <v/>
      </c>
      <c r="H76" s="77" t="str">
        <f t="array" ref="H76">IFERROR(INDEX(Kintoneデータ抽出!C:C, _xlfn.AGGREGATE(15, 6, ROW(Kintoneデータ抽出!$K$2:$K$5000) / ((Kintoneデータ抽出!$K$2:$K$5000="院内")), ROW(A39))), "")</f>
        <v/>
      </c>
      <c r="I76" s="75" t="str">
        <f t="array" ref="I76">IFERROR(IF(INDEX(Kintoneデータ抽出!G:G, _xlfn.AGGREGATE(15, 6, ROW(Kintoneデータ抽出!$K$2:$K$5000) / ((Kintoneデータ抽出!$K$2:$K$5000="院内")), ROW(A39)))&lt;&gt;"",INDEX(Kintoneデータ抽出!G:G, _xlfn.AGGREGATE(15, 6, ROW(Kintoneデータ抽出!$K$2:$K$5000) / ((Kintoneデータ抽出!$K$2:$K$5000="院内")), ROW(A39)))&amp;"名",""), "")</f>
        <v/>
      </c>
      <c r="J76" s="76" t="str">
        <f t="array" ref="J76">IFERROR(IF(INDEX(Kintoneデータ抽出!E:E, _xlfn.AGGREGATE(15, 6, ROW(Kintoneデータ抽出!$K$2:$K$5000) / ((Kintoneデータ抽出!$K$2:$K$5000="院内")), ROW(A39)))&lt;&gt;"",
YEAR(INDEX(Kintoneデータ抽出!E:E, _xlfn.AGGREGATE(15, 6, ROW(Kintoneデータ抽出!$K$2:$K$5000) / ((Kintoneデータ抽出!$K$2:$K$5000="院内")), ROW(A39))))&amp;"年"
&amp;MONTH(INDEX(Kintoneデータ抽出!E:E, _xlfn.AGGREGATE(15, 6, ROW(Kintoneデータ抽出!$K$2:$K$5000) / ((Kintoneデータ抽出!$K$2:$K$5000="院内")), ROW(A39))))&amp;"月"
&amp;DAY(INDEX(Kintoneデータ抽出!E:E, _xlfn.AGGREGATE(15, 6, ROW(Kintoneデータ抽出!$K$2:$K$5000) /((Kintoneデータ抽出!$K$2:$K$5000="院内")), ROW(A39))))&amp;"日",""), "")</f>
        <v/>
      </c>
      <c r="K76" s="77" t="str" cm="1">
        <f t="array" ref="K76">IFERROR(IF(INDEX(Kintoneデータ抽出!F:F, _xlfn.AGGREGATE(15, 6, ROW(Kintoneデータ抽出!$K$2:$K$5000) / ((Kintoneデータ抽出!$K$2:$K$5000="院内")), ROW(A39)))&lt;&gt;"",
VLOOKUP(INDEX(Kintoneデータ抽出!F:F, _xlfn.AGGREGATE(15, 6, ROW(Kintoneデータ抽出!$K$2:$K$5000) / ((Kintoneデータ抽出!$K$2:$K$5000="院内")), ROW(A39))),基本開園日の表記!$A$2:$B$13,2,FALSE),""), "")</f>
        <v/>
      </c>
      <c r="L76" s="75" t="str">
        <f t="array" ref="L76">IFERROR(IF(INDEX(Kintoneデータ抽出!F:F, _xlfn.AGGREGATE(15, 6, ROW(Kintoneデータ抽出!$K$2:$K$5000) / ((Kintoneデータ抽出!$K$2:$K$5000="院内")), ROW(A39)))&lt;&gt;"",
IF(COUNTIF(INDEX(Kintoneデータ抽出!F:F, _xlfn.AGGREGATE(15, 6, ROW(Kintoneデータ抽出!$K$2:$K$5000) / ((Kintoneデータ抽出!$K$2:$K$5000="院内")), ROW(A39))),"*あり*"),"夜間",""),""), "")</f>
        <v/>
      </c>
      <c r="M76" s="75" t="str">
        <f t="array" ref="M76">IFERROR(IF(INDEX(Kintoneデータ抽出!I:I, _xlfn.AGGREGATE(15, 6, ROW(Kintoneデータ抽出!$K$2:$K$5000) / ((Kintoneデータ抽出!$K$2:$K$5000="院内")), ROW(A39)))&lt;&gt;"",
IF(COUNTIF(INDEX(Kintoneデータ抽出!I:I, _xlfn.AGGREGATE(15, 6, ROW(Kintoneデータ抽出!$K$2:$K$5000) / ((Kintoneデータ抽出!$K$2:$K$5000="院内")), ROW(A39))),"*あり*"),"学童",""),""), "")</f>
        <v/>
      </c>
      <c r="N76" s="75" t="str">
        <f t="array" ref="N76">IFERROR(IF(INDEX(Kintoneデータ抽出!H:H, _xlfn.AGGREGATE(15, 6, ROW(Kintoneデータ抽出!$K$2:$K$5000) / ((Kintoneデータ抽出!$K$2:$K$5000="院内")), ROW(A39)))&lt;&gt;"",
IF(COUNTIF(INDEX(Kintoneデータ抽出!H:H, _xlfn.AGGREGATE(15, 6, ROW(Kintoneデータ抽出!$K$2:$K$5000) / ((Kintoneデータ抽出!$K$2:$K$5000="院内")), ROW(A39))),"*あり*"),"病児",""),""), "")</f>
        <v/>
      </c>
      <c r="O76" s="94" t="str" cm="1">
        <f t="array" ref="O76">IFERROR(
IF(INDEX(Kintoneデータ抽出!M:M, _xlfn.AGGREGATE(15, 6, ROW(Kintoneデータ抽出!$K$2:$K$5000) / ((Kintoneデータ抽出!$K$2:$K$5000="院内")), ROW(A39)))&lt;&gt;0,INDEX(Kintoneデータ抽出!M:M, _xlfn.AGGREGATE(15, 6, ROW(Kintoneデータ抽出!$K$2:$K$5000) / ((Kintoneデータ抽出!$K$2:$K$5000="院内")), ROW(A39))),""), "")</f>
        <v/>
      </c>
      <c r="P76" s="78" t="str">
        <f t="array" ref="P76">IFERROR(IF(INDEX(Kintoneデータ抽出!L:L, _xlfn.AGGREGATE(15, 6, ROW(Kintoneデータ抽出!$K$2:$K$5000) / ((Kintoneデータ抽出!$K$2:$K$5000="院内")), ROW(A39)))&lt;&gt;"",
IF(COUNTIF(INDEX(Kintoneデータ抽出!L:L, _xlfn.AGGREGATE(15, 6, ROW(Kintoneデータ抽出!$K$2:$K$5000) / ((Kintoneデータ抽出!$K$2:$K$5000="院内")), ROW(A39))),"*企業主導型以外*"),"",
IF(COUNTIF(INDEX(Kintoneデータ抽出!L:L, _xlfn.AGGREGATE(15, 6, ROW(Kintoneデータ抽出!$K$2:$K$5000) / ((Kintoneデータ抽出!$K$2:$K$5000="院内")), ROW(A39))),"*その他*"),"",
IF(COUNTIF(INDEX(Kintoneデータ抽出!L:L, _xlfn.AGGREGATE(15, 6, ROW(Kintoneデータ抽出!$K$2:$K$5000) / ((Kintoneデータ抽出!$K$2:$K$5000="院内")), ROW(A39))),"*新制度*"),"新制度","企業主導型"))),""), "")</f>
        <v/>
      </c>
    </row>
    <row r="77" spans="2:16" ht="34.799999999999997" customHeight="1" x14ac:dyDescent="0.45">
      <c r="B77" s="45"/>
      <c r="C77" s="46"/>
      <c r="D77" s="98" t="str">
        <f t="shared" si="1"/>
        <v/>
      </c>
      <c r="E77" s="99"/>
      <c r="F77" s="75" t="str">
        <f t="array" ref="F77">IFERROR(INDEX(Kintoneデータ抽出!A:A, _xlfn.AGGREGATE(15, 6, ROW(Kintoneデータ抽出!$K$2:$K$5000) / ((Kintoneデータ抽出!$K$2:$K$5000="院内")), ROW(A40))), "")</f>
        <v/>
      </c>
      <c r="G77" s="77" t="str">
        <f t="array" ref="G77">IFERROR(INDEX(Kintoneデータ抽出!D:D, _xlfn.AGGREGATE(15, 6, ROW(Kintoneデータ抽出!$K$2:$K$5000) / ((Kintoneデータ抽出!$K$2:$K$5000="院内")), ROW(A40))), "")</f>
        <v/>
      </c>
      <c r="H77" s="77" t="str">
        <f t="array" ref="H77">IFERROR(INDEX(Kintoneデータ抽出!C:C, _xlfn.AGGREGATE(15, 6, ROW(Kintoneデータ抽出!$K$2:$K$5000) / ((Kintoneデータ抽出!$K$2:$K$5000="院内")), ROW(A40))), "")</f>
        <v/>
      </c>
      <c r="I77" s="75" t="str">
        <f t="array" ref="I77">IFERROR(IF(INDEX(Kintoneデータ抽出!G:G, _xlfn.AGGREGATE(15, 6, ROW(Kintoneデータ抽出!$K$2:$K$5000) / ((Kintoneデータ抽出!$K$2:$K$5000="院内")), ROW(A40)))&lt;&gt;"",INDEX(Kintoneデータ抽出!G:G, _xlfn.AGGREGATE(15, 6, ROW(Kintoneデータ抽出!$K$2:$K$5000) / ((Kintoneデータ抽出!$K$2:$K$5000="院内")), ROW(A40)))&amp;"名",""), "")</f>
        <v/>
      </c>
      <c r="J77" s="76" t="str">
        <f t="array" ref="J77">IFERROR(IF(INDEX(Kintoneデータ抽出!E:E, _xlfn.AGGREGATE(15, 6, ROW(Kintoneデータ抽出!$K$2:$K$5000) / ((Kintoneデータ抽出!$K$2:$K$5000="院内")), ROW(A40)))&lt;&gt;"",
YEAR(INDEX(Kintoneデータ抽出!E:E, _xlfn.AGGREGATE(15, 6, ROW(Kintoneデータ抽出!$K$2:$K$5000) / ((Kintoneデータ抽出!$K$2:$K$5000="院内")), ROW(A40))))&amp;"年"
&amp;MONTH(INDEX(Kintoneデータ抽出!E:E, _xlfn.AGGREGATE(15, 6, ROW(Kintoneデータ抽出!$K$2:$K$5000) / ((Kintoneデータ抽出!$K$2:$K$5000="院内")), ROW(A40))))&amp;"月"
&amp;DAY(INDEX(Kintoneデータ抽出!E:E, _xlfn.AGGREGATE(15, 6, ROW(Kintoneデータ抽出!$K$2:$K$5000) /((Kintoneデータ抽出!$K$2:$K$5000="院内")), ROW(A40))))&amp;"日",""), "")</f>
        <v/>
      </c>
      <c r="K77" s="77" t="str" cm="1">
        <f t="array" ref="K77">IFERROR(IF(INDEX(Kintoneデータ抽出!F:F, _xlfn.AGGREGATE(15, 6, ROW(Kintoneデータ抽出!$K$2:$K$5000) / ((Kintoneデータ抽出!$K$2:$K$5000="院内")), ROW(A40)))&lt;&gt;"",
VLOOKUP(INDEX(Kintoneデータ抽出!F:F, _xlfn.AGGREGATE(15, 6, ROW(Kintoneデータ抽出!$K$2:$K$5000) / ((Kintoneデータ抽出!$K$2:$K$5000="院内")), ROW(A40))),基本開園日の表記!$A$2:$B$13,2,FALSE),""), "")</f>
        <v/>
      </c>
      <c r="L77" s="75" t="str">
        <f t="array" ref="L77">IFERROR(IF(INDEX(Kintoneデータ抽出!F:F, _xlfn.AGGREGATE(15, 6, ROW(Kintoneデータ抽出!$K$2:$K$5000) / ((Kintoneデータ抽出!$K$2:$K$5000="院内")), ROW(A40)))&lt;&gt;"",
IF(COUNTIF(INDEX(Kintoneデータ抽出!F:F, _xlfn.AGGREGATE(15, 6, ROW(Kintoneデータ抽出!$K$2:$K$5000) / ((Kintoneデータ抽出!$K$2:$K$5000="院内")), ROW(A40))),"*あり*"),"夜間",""),""), "")</f>
        <v/>
      </c>
      <c r="M77" s="75" t="str">
        <f t="array" ref="M77">IFERROR(IF(INDEX(Kintoneデータ抽出!I:I, _xlfn.AGGREGATE(15, 6, ROW(Kintoneデータ抽出!$K$2:$K$5000) / ((Kintoneデータ抽出!$K$2:$K$5000="院内")), ROW(A40)))&lt;&gt;"",
IF(COUNTIF(INDEX(Kintoneデータ抽出!I:I, _xlfn.AGGREGATE(15, 6, ROW(Kintoneデータ抽出!$K$2:$K$5000) / ((Kintoneデータ抽出!$K$2:$K$5000="院内")), ROW(A40))),"*あり*"),"学童",""),""), "")</f>
        <v/>
      </c>
      <c r="N77" s="75" t="str">
        <f t="array" ref="N77">IFERROR(IF(INDEX(Kintoneデータ抽出!H:H, _xlfn.AGGREGATE(15, 6, ROW(Kintoneデータ抽出!$K$2:$K$5000) / ((Kintoneデータ抽出!$K$2:$K$5000="院内")), ROW(A40)))&lt;&gt;"",
IF(COUNTIF(INDEX(Kintoneデータ抽出!H:H, _xlfn.AGGREGATE(15, 6, ROW(Kintoneデータ抽出!$K$2:$K$5000) / ((Kintoneデータ抽出!$K$2:$K$5000="院内")), ROW(A40))),"*あり*"),"病児",""),""), "")</f>
        <v/>
      </c>
      <c r="O77" s="94" t="str" cm="1">
        <f t="array" ref="O77">IFERROR(
IF(INDEX(Kintoneデータ抽出!M:M, _xlfn.AGGREGATE(15, 6, ROW(Kintoneデータ抽出!$K$2:$K$5000) / ((Kintoneデータ抽出!$K$2:$K$5000="院内")), ROW(A40)))&lt;&gt;0,INDEX(Kintoneデータ抽出!M:M, _xlfn.AGGREGATE(15, 6, ROW(Kintoneデータ抽出!$K$2:$K$5000) / ((Kintoneデータ抽出!$K$2:$K$5000="院内")), ROW(A40))),""), "")</f>
        <v/>
      </c>
      <c r="P77" s="78" t="str">
        <f t="array" ref="P77">IFERROR(IF(INDEX(Kintoneデータ抽出!L:L, _xlfn.AGGREGATE(15, 6, ROW(Kintoneデータ抽出!$K$2:$K$5000) / ((Kintoneデータ抽出!$K$2:$K$5000="院内")), ROW(A40)))&lt;&gt;"",
IF(COUNTIF(INDEX(Kintoneデータ抽出!L:L, _xlfn.AGGREGATE(15, 6, ROW(Kintoneデータ抽出!$K$2:$K$5000) / ((Kintoneデータ抽出!$K$2:$K$5000="院内")), ROW(A40))),"*企業主導型以外*"),"",
IF(COUNTIF(INDEX(Kintoneデータ抽出!L:L, _xlfn.AGGREGATE(15, 6, ROW(Kintoneデータ抽出!$K$2:$K$5000) / ((Kintoneデータ抽出!$K$2:$K$5000="院内")), ROW(A40))),"*その他*"),"",
IF(COUNTIF(INDEX(Kintoneデータ抽出!L:L, _xlfn.AGGREGATE(15, 6, ROW(Kintoneデータ抽出!$K$2:$K$5000) / ((Kintoneデータ抽出!$K$2:$K$5000="院内")), ROW(A40))),"*新制度*"),"新制度","企業主導型"))),""), "")</f>
        <v/>
      </c>
    </row>
    <row r="78" spans="2:16" ht="34.799999999999997" customHeight="1" x14ac:dyDescent="0.45">
      <c r="B78" s="45"/>
      <c r="C78" s="46"/>
      <c r="D78" s="98" t="str">
        <f t="shared" si="1"/>
        <v/>
      </c>
      <c r="E78" s="99"/>
      <c r="F78" s="75" t="str">
        <f t="array" ref="F78">IFERROR(INDEX(Kintoneデータ抽出!A:A, _xlfn.AGGREGATE(15, 6, ROW(Kintoneデータ抽出!$K$2:$K$5000) / ((Kintoneデータ抽出!$K$2:$K$5000="院内")), ROW(A41))), "")</f>
        <v/>
      </c>
      <c r="G78" s="77" t="str">
        <f t="array" ref="G78">IFERROR(INDEX(Kintoneデータ抽出!D:D, _xlfn.AGGREGATE(15, 6, ROW(Kintoneデータ抽出!$K$2:$K$5000) / ((Kintoneデータ抽出!$K$2:$K$5000="院内")), ROW(A41))), "")</f>
        <v/>
      </c>
      <c r="H78" s="77" t="str">
        <f t="array" ref="H78">IFERROR(INDEX(Kintoneデータ抽出!C:C, _xlfn.AGGREGATE(15, 6, ROW(Kintoneデータ抽出!$K$2:$K$5000) / ((Kintoneデータ抽出!$K$2:$K$5000="院内")), ROW(A41))), "")</f>
        <v/>
      </c>
      <c r="I78" s="75" t="str">
        <f t="array" ref="I78">IFERROR(IF(INDEX(Kintoneデータ抽出!G:G, _xlfn.AGGREGATE(15, 6, ROW(Kintoneデータ抽出!$K$2:$K$5000) / ((Kintoneデータ抽出!$K$2:$K$5000="院内")), ROW(A41)))&lt;&gt;"",INDEX(Kintoneデータ抽出!G:G, _xlfn.AGGREGATE(15, 6, ROW(Kintoneデータ抽出!$K$2:$K$5000) / ((Kintoneデータ抽出!$K$2:$K$5000="院内")), ROW(A41)))&amp;"名",""), "")</f>
        <v/>
      </c>
      <c r="J78" s="76" t="str">
        <f t="array" ref="J78">IFERROR(IF(INDEX(Kintoneデータ抽出!E:E, _xlfn.AGGREGATE(15, 6, ROW(Kintoneデータ抽出!$K$2:$K$5000) / ((Kintoneデータ抽出!$K$2:$K$5000="院内")), ROW(A41)))&lt;&gt;"",
YEAR(INDEX(Kintoneデータ抽出!E:E, _xlfn.AGGREGATE(15, 6, ROW(Kintoneデータ抽出!$K$2:$K$5000) / ((Kintoneデータ抽出!$K$2:$K$5000="院内")), ROW(A41))))&amp;"年"
&amp;MONTH(INDEX(Kintoneデータ抽出!E:E, _xlfn.AGGREGATE(15, 6, ROW(Kintoneデータ抽出!$K$2:$K$5000) / ((Kintoneデータ抽出!$K$2:$K$5000="院内")), ROW(A41))))&amp;"月"
&amp;DAY(INDEX(Kintoneデータ抽出!E:E, _xlfn.AGGREGATE(15, 6, ROW(Kintoneデータ抽出!$K$2:$K$5000) /((Kintoneデータ抽出!$K$2:$K$5000="院内")), ROW(A41))))&amp;"日",""), "")</f>
        <v/>
      </c>
      <c r="K78" s="77" t="str" cm="1">
        <f t="array" ref="K78">IFERROR(IF(INDEX(Kintoneデータ抽出!F:F, _xlfn.AGGREGATE(15, 6, ROW(Kintoneデータ抽出!$K$2:$K$5000) / ((Kintoneデータ抽出!$K$2:$K$5000="院内")), ROW(A41)))&lt;&gt;"",
VLOOKUP(INDEX(Kintoneデータ抽出!F:F, _xlfn.AGGREGATE(15, 6, ROW(Kintoneデータ抽出!$K$2:$K$5000) / ((Kintoneデータ抽出!$K$2:$K$5000="院内")), ROW(A41))),基本開園日の表記!$A$2:$B$13,2,FALSE),""), "")</f>
        <v/>
      </c>
      <c r="L78" s="75" t="str">
        <f t="array" ref="L78">IFERROR(IF(INDEX(Kintoneデータ抽出!F:F, _xlfn.AGGREGATE(15, 6, ROW(Kintoneデータ抽出!$K$2:$K$5000) / ((Kintoneデータ抽出!$K$2:$K$5000="院内")), ROW(A41)))&lt;&gt;"",
IF(COUNTIF(INDEX(Kintoneデータ抽出!F:F, _xlfn.AGGREGATE(15, 6, ROW(Kintoneデータ抽出!$K$2:$K$5000) / ((Kintoneデータ抽出!$K$2:$K$5000="院内")), ROW(A41))),"*あり*"),"夜間",""),""), "")</f>
        <v/>
      </c>
      <c r="M78" s="75" t="str">
        <f t="array" ref="M78">IFERROR(IF(INDEX(Kintoneデータ抽出!I:I, _xlfn.AGGREGATE(15, 6, ROW(Kintoneデータ抽出!$K$2:$K$5000) / ((Kintoneデータ抽出!$K$2:$K$5000="院内")), ROW(A41)))&lt;&gt;"",
IF(COUNTIF(INDEX(Kintoneデータ抽出!I:I, _xlfn.AGGREGATE(15, 6, ROW(Kintoneデータ抽出!$K$2:$K$5000) / ((Kintoneデータ抽出!$K$2:$K$5000="院内")), ROW(A41))),"*あり*"),"学童",""),""), "")</f>
        <v/>
      </c>
      <c r="N78" s="75" t="str">
        <f t="array" ref="N78">IFERROR(IF(INDEX(Kintoneデータ抽出!H:H, _xlfn.AGGREGATE(15, 6, ROW(Kintoneデータ抽出!$K$2:$K$5000) / ((Kintoneデータ抽出!$K$2:$K$5000="院内")), ROW(A41)))&lt;&gt;"",
IF(COUNTIF(INDEX(Kintoneデータ抽出!H:H, _xlfn.AGGREGATE(15, 6, ROW(Kintoneデータ抽出!$K$2:$K$5000) / ((Kintoneデータ抽出!$K$2:$K$5000="院内")), ROW(A41))),"*あり*"),"病児",""),""), "")</f>
        <v/>
      </c>
      <c r="O78" s="94" t="str" cm="1">
        <f t="array" ref="O78">IFERROR(
IF(INDEX(Kintoneデータ抽出!M:M, _xlfn.AGGREGATE(15, 6, ROW(Kintoneデータ抽出!$K$2:$K$5000) / ((Kintoneデータ抽出!$K$2:$K$5000="院内")), ROW(A41)))&lt;&gt;0,INDEX(Kintoneデータ抽出!M:M, _xlfn.AGGREGATE(15, 6, ROW(Kintoneデータ抽出!$K$2:$K$5000) / ((Kintoneデータ抽出!$K$2:$K$5000="院内")), ROW(A41))),""), "")</f>
        <v/>
      </c>
      <c r="P78" s="78" t="str">
        <f t="array" ref="P78">IFERROR(IF(INDEX(Kintoneデータ抽出!L:L, _xlfn.AGGREGATE(15, 6, ROW(Kintoneデータ抽出!$K$2:$K$5000) / ((Kintoneデータ抽出!$K$2:$K$5000="院内")), ROW(A41)))&lt;&gt;"",
IF(COUNTIF(INDEX(Kintoneデータ抽出!L:L, _xlfn.AGGREGATE(15, 6, ROW(Kintoneデータ抽出!$K$2:$K$5000) / ((Kintoneデータ抽出!$K$2:$K$5000="院内")), ROW(A41))),"*企業主導型以外*"),"",
IF(COUNTIF(INDEX(Kintoneデータ抽出!L:L, _xlfn.AGGREGATE(15, 6, ROW(Kintoneデータ抽出!$K$2:$K$5000) / ((Kintoneデータ抽出!$K$2:$K$5000="院内")), ROW(A41))),"*その他*"),"",
IF(COUNTIF(INDEX(Kintoneデータ抽出!L:L, _xlfn.AGGREGATE(15, 6, ROW(Kintoneデータ抽出!$K$2:$K$5000) / ((Kintoneデータ抽出!$K$2:$K$5000="院内")), ROW(A41))),"*新制度*"),"新制度","企業主導型"))),""), "")</f>
        <v/>
      </c>
    </row>
    <row r="79" spans="2:16" ht="34.799999999999997" customHeight="1" x14ac:dyDescent="0.45">
      <c r="B79" s="45"/>
      <c r="C79" s="46"/>
      <c r="D79" s="98" t="str">
        <f t="shared" si="1"/>
        <v/>
      </c>
      <c r="E79" s="99"/>
      <c r="F79" s="75" t="str">
        <f t="array" ref="F79">IFERROR(INDEX(Kintoneデータ抽出!A:A, _xlfn.AGGREGATE(15, 6, ROW(Kintoneデータ抽出!$K$2:$K$5000) / ((Kintoneデータ抽出!$K$2:$K$5000="院内")), ROW(A42))), "")</f>
        <v/>
      </c>
      <c r="G79" s="77" t="str">
        <f t="array" ref="G79">IFERROR(INDEX(Kintoneデータ抽出!D:D, _xlfn.AGGREGATE(15, 6, ROW(Kintoneデータ抽出!$K$2:$K$5000) / ((Kintoneデータ抽出!$K$2:$K$5000="院内")), ROW(A42))), "")</f>
        <v/>
      </c>
      <c r="H79" s="77" t="str">
        <f t="array" ref="H79">IFERROR(INDEX(Kintoneデータ抽出!C:C, _xlfn.AGGREGATE(15, 6, ROW(Kintoneデータ抽出!$K$2:$K$5000) / ((Kintoneデータ抽出!$K$2:$K$5000="院内")), ROW(A42))), "")</f>
        <v/>
      </c>
      <c r="I79" s="75" t="str">
        <f t="array" ref="I79">IFERROR(IF(INDEX(Kintoneデータ抽出!G:G, _xlfn.AGGREGATE(15, 6, ROW(Kintoneデータ抽出!$K$2:$K$5000) / ((Kintoneデータ抽出!$K$2:$K$5000="院内")), ROW(A42)))&lt;&gt;"",INDEX(Kintoneデータ抽出!G:G, _xlfn.AGGREGATE(15, 6, ROW(Kintoneデータ抽出!$K$2:$K$5000) / ((Kintoneデータ抽出!$K$2:$K$5000="院内")), ROW(A42)))&amp;"名",""), "")</f>
        <v/>
      </c>
      <c r="J79" s="76" t="str">
        <f t="array" ref="J79">IFERROR(IF(INDEX(Kintoneデータ抽出!E:E, _xlfn.AGGREGATE(15, 6, ROW(Kintoneデータ抽出!$K$2:$K$5000) / ((Kintoneデータ抽出!$K$2:$K$5000="院内")), ROW(A42)))&lt;&gt;"",
YEAR(INDEX(Kintoneデータ抽出!E:E, _xlfn.AGGREGATE(15, 6, ROW(Kintoneデータ抽出!$K$2:$K$5000) / ((Kintoneデータ抽出!$K$2:$K$5000="院内")), ROW(A42))))&amp;"年"
&amp;MONTH(INDEX(Kintoneデータ抽出!E:E, _xlfn.AGGREGATE(15, 6, ROW(Kintoneデータ抽出!$K$2:$K$5000) / ((Kintoneデータ抽出!$K$2:$K$5000="院内")), ROW(A42))))&amp;"月"
&amp;DAY(INDEX(Kintoneデータ抽出!E:E, _xlfn.AGGREGATE(15, 6, ROW(Kintoneデータ抽出!$K$2:$K$5000) /((Kintoneデータ抽出!$K$2:$K$5000="院内")), ROW(A42))))&amp;"日",""), "")</f>
        <v/>
      </c>
      <c r="K79" s="77" t="str" cm="1">
        <f t="array" ref="K79">IFERROR(IF(INDEX(Kintoneデータ抽出!F:F, _xlfn.AGGREGATE(15, 6, ROW(Kintoneデータ抽出!$K$2:$K$5000) / ((Kintoneデータ抽出!$K$2:$K$5000="院内")), ROW(A42)))&lt;&gt;"",
VLOOKUP(INDEX(Kintoneデータ抽出!F:F, _xlfn.AGGREGATE(15, 6, ROW(Kintoneデータ抽出!$K$2:$K$5000) / ((Kintoneデータ抽出!$K$2:$K$5000="院内")), ROW(A42))),基本開園日の表記!$A$2:$B$13,2,FALSE),""), "")</f>
        <v/>
      </c>
      <c r="L79" s="75" t="str">
        <f t="array" ref="L79">IFERROR(IF(INDEX(Kintoneデータ抽出!F:F, _xlfn.AGGREGATE(15, 6, ROW(Kintoneデータ抽出!$K$2:$K$5000) / ((Kintoneデータ抽出!$K$2:$K$5000="院内")), ROW(A42)))&lt;&gt;"",
IF(COUNTIF(INDEX(Kintoneデータ抽出!F:F, _xlfn.AGGREGATE(15, 6, ROW(Kintoneデータ抽出!$K$2:$K$5000) / ((Kintoneデータ抽出!$K$2:$K$5000="院内")), ROW(A42))),"*あり*"),"夜間",""),""), "")</f>
        <v/>
      </c>
      <c r="M79" s="75" t="str">
        <f t="array" ref="M79">IFERROR(IF(INDEX(Kintoneデータ抽出!I:I, _xlfn.AGGREGATE(15, 6, ROW(Kintoneデータ抽出!$K$2:$K$5000) / ((Kintoneデータ抽出!$K$2:$K$5000="院内")), ROW(A42)))&lt;&gt;"",
IF(COUNTIF(INDEX(Kintoneデータ抽出!I:I, _xlfn.AGGREGATE(15, 6, ROW(Kintoneデータ抽出!$K$2:$K$5000) / ((Kintoneデータ抽出!$K$2:$K$5000="院内")), ROW(A42))),"*あり*"),"学童",""),""), "")</f>
        <v/>
      </c>
      <c r="N79" s="75" t="str">
        <f t="array" ref="N79">IFERROR(IF(INDEX(Kintoneデータ抽出!H:H, _xlfn.AGGREGATE(15, 6, ROW(Kintoneデータ抽出!$K$2:$K$5000) / ((Kintoneデータ抽出!$K$2:$K$5000="院内")), ROW(A42)))&lt;&gt;"",
IF(COUNTIF(INDEX(Kintoneデータ抽出!H:H, _xlfn.AGGREGATE(15, 6, ROW(Kintoneデータ抽出!$K$2:$K$5000) / ((Kintoneデータ抽出!$K$2:$K$5000="院内")), ROW(A42))),"*あり*"),"病児",""),""), "")</f>
        <v/>
      </c>
      <c r="O79" s="94" t="str" cm="1">
        <f t="array" ref="O79">IFERROR(
IF(INDEX(Kintoneデータ抽出!M:M, _xlfn.AGGREGATE(15, 6, ROW(Kintoneデータ抽出!$K$2:$K$5000) / ((Kintoneデータ抽出!$K$2:$K$5000="院内")), ROW(A42)))&lt;&gt;0,INDEX(Kintoneデータ抽出!M:M, _xlfn.AGGREGATE(15, 6, ROW(Kintoneデータ抽出!$K$2:$K$5000) / ((Kintoneデータ抽出!$K$2:$K$5000="院内")), ROW(A42))),""), "")</f>
        <v/>
      </c>
      <c r="P79" s="78" t="str">
        <f t="array" ref="P79">IFERROR(IF(INDEX(Kintoneデータ抽出!L:L, _xlfn.AGGREGATE(15, 6, ROW(Kintoneデータ抽出!$K$2:$K$5000) / ((Kintoneデータ抽出!$K$2:$K$5000="院内")), ROW(A42)))&lt;&gt;"",
IF(COUNTIF(INDEX(Kintoneデータ抽出!L:L, _xlfn.AGGREGATE(15, 6, ROW(Kintoneデータ抽出!$K$2:$K$5000) / ((Kintoneデータ抽出!$K$2:$K$5000="院内")), ROW(A42))),"*企業主導型以外*"),"",
IF(COUNTIF(INDEX(Kintoneデータ抽出!L:L, _xlfn.AGGREGATE(15, 6, ROW(Kintoneデータ抽出!$K$2:$K$5000) / ((Kintoneデータ抽出!$K$2:$K$5000="院内")), ROW(A42))),"*その他*"),"",
IF(COUNTIF(INDEX(Kintoneデータ抽出!L:L, _xlfn.AGGREGATE(15, 6, ROW(Kintoneデータ抽出!$K$2:$K$5000) / ((Kintoneデータ抽出!$K$2:$K$5000="院内")), ROW(A42))),"*新制度*"),"新制度","企業主導型"))),""), "")</f>
        <v/>
      </c>
    </row>
    <row r="80" spans="2:16" ht="34.799999999999997" customHeight="1" x14ac:dyDescent="0.45">
      <c r="B80" s="45"/>
      <c r="C80" s="46"/>
      <c r="D80" s="98" t="str">
        <f t="shared" si="1"/>
        <v/>
      </c>
      <c r="E80" s="99"/>
      <c r="F80" s="75" t="str">
        <f t="array" ref="F80">IFERROR(INDEX(Kintoneデータ抽出!A:A, _xlfn.AGGREGATE(15, 6, ROW(Kintoneデータ抽出!$K$2:$K$5000) / ((Kintoneデータ抽出!$K$2:$K$5000="院内")), ROW(A43))), "")</f>
        <v/>
      </c>
      <c r="G80" s="77" t="str">
        <f t="array" ref="G80">IFERROR(INDEX(Kintoneデータ抽出!D:D, _xlfn.AGGREGATE(15, 6, ROW(Kintoneデータ抽出!$K$2:$K$5000) / ((Kintoneデータ抽出!$K$2:$K$5000="院内")), ROW(A43))), "")</f>
        <v/>
      </c>
      <c r="H80" s="77" t="str">
        <f t="array" ref="H80">IFERROR(INDEX(Kintoneデータ抽出!C:C, _xlfn.AGGREGATE(15, 6, ROW(Kintoneデータ抽出!$K$2:$K$5000) / ((Kintoneデータ抽出!$K$2:$K$5000="院内")), ROW(A43))), "")</f>
        <v/>
      </c>
      <c r="I80" s="75" t="str">
        <f t="array" ref="I80">IFERROR(IF(INDEX(Kintoneデータ抽出!G:G, _xlfn.AGGREGATE(15, 6, ROW(Kintoneデータ抽出!$K$2:$K$5000) / ((Kintoneデータ抽出!$K$2:$K$5000="院内")), ROW(A43)))&lt;&gt;"",INDEX(Kintoneデータ抽出!G:G, _xlfn.AGGREGATE(15, 6, ROW(Kintoneデータ抽出!$K$2:$K$5000) / ((Kintoneデータ抽出!$K$2:$K$5000="院内")), ROW(A43)))&amp;"名",""), "")</f>
        <v/>
      </c>
      <c r="J80" s="76" t="str">
        <f t="array" ref="J80">IFERROR(IF(INDEX(Kintoneデータ抽出!E:E, _xlfn.AGGREGATE(15, 6, ROW(Kintoneデータ抽出!$K$2:$K$5000) / ((Kintoneデータ抽出!$K$2:$K$5000="院内")), ROW(A43)))&lt;&gt;"",
YEAR(INDEX(Kintoneデータ抽出!E:E, _xlfn.AGGREGATE(15, 6, ROW(Kintoneデータ抽出!$K$2:$K$5000) / ((Kintoneデータ抽出!$K$2:$K$5000="院内")), ROW(A43))))&amp;"年"
&amp;MONTH(INDEX(Kintoneデータ抽出!E:E, _xlfn.AGGREGATE(15, 6, ROW(Kintoneデータ抽出!$K$2:$K$5000) / ((Kintoneデータ抽出!$K$2:$K$5000="院内")), ROW(A43))))&amp;"月"
&amp;DAY(INDEX(Kintoneデータ抽出!E:E, _xlfn.AGGREGATE(15, 6, ROW(Kintoneデータ抽出!$K$2:$K$5000) /((Kintoneデータ抽出!$K$2:$K$5000="院内")), ROW(A43))))&amp;"日",""), "")</f>
        <v/>
      </c>
      <c r="K80" s="77" t="str" cm="1">
        <f t="array" ref="K80">IFERROR(IF(INDEX(Kintoneデータ抽出!F:F, _xlfn.AGGREGATE(15, 6, ROW(Kintoneデータ抽出!$K$2:$K$5000) / ((Kintoneデータ抽出!$K$2:$K$5000="院内")), ROW(A43)))&lt;&gt;"",
VLOOKUP(INDEX(Kintoneデータ抽出!F:F, _xlfn.AGGREGATE(15, 6, ROW(Kintoneデータ抽出!$K$2:$K$5000) / ((Kintoneデータ抽出!$K$2:$K$5000="院内")), ROW(A43))),基本開園日の表記!$A$2:$B$13,2,FALSE),""), "")</f>
        <v/>
      </c>
      <c r="L80" s="75" t="str">
        <f t="array" ref="L80">IFERROR(IF(INDEX(Kintoneデータ抽出!F:F, _xlfn.AGGREGATE(15, 6, ROW(Kintoneデータ抽出!$K$2:$K$5000) / ((Kintoneデータ抽出!$K$2:$K$5000="院内")), ROW(A43)))&lt;&gt;"",
IF(COUNTIF(INDEX(Kintoneデータ抽出!F:F, _xlfn.AGGREGATE(15, 6, ROW(Kintoneデータ抽出!$K$2:$K$5000) / ((Kintoneデータ抽出!$K$2:$K$5000="院内")), ROW(A43))),"*あり*"),"夜間",""),""), "")</f>
        <v/>
      </c>
      <c r="M80" s="75" t="str">
        <f t="array" ref="M80">IFERROR(IF(INDEX(Kintoneデータ抽出!I:I, _xlfn.AGGREGATE(15, 6, ROW(Kintoneデータ抽出!$K$2:$K$5000) / ((Kintoneデータ抽出!$K$2:$K$5000="院内")), ROW(A43)))&lt;&gt;"",
IF(COUNTIF(INDEX(Kintoneデータ抽出!I:I, _xlfn.AGGREGATE(15, 6, ROW(Kintoneデータ抽出!$K$2:$K$5000) / ((Kintoneデータ抽出!$K$2:$K$5000="院内")), ROW(A43))),"*あり*"),"学童",""),""), "")</f>
        <v/>
      </c>
      <c r="N80" s="75" t="str">
        <f t="array" ref="N80">IFERROR(IF(INDEX(Kintoneデータ抽出!H:H, _xlfn.AGGREGATE(15, 6, ROW(Kintoneデータ抽出!$K$2:$K$5000) / ((Kintoneデータ抽出!$K$2:$K$5000="院内")), ROW(A43)))&lt;&gt;"",
IF(COUNTIF(INDEX(Kintoneデータ抽出!H:H, _xlfn.AGGREGATE(15, 6, ROW(Kintoneデータ抽出!$K$2:$K$5000) / ((Kintoneデータ抽出!$K$2:$K$5000="院内")), ROW(A43))),"*あり*"),"病児",""),""), "")</f>
        <v/>
      </c>
      <c r="O80" s="94" t="str" cm="1">
        <f t="array" ref="O80">IFERROR(
IF(INDEX(Kintoneデータ抽出!M:M, _xlfn.AGGREGATE(15, 6, ROW(Kintoneデータ抽出!$K$2:$K$5000) / ((Kintoneデータ抽出!$K$2:$K$5000="院内")), ROW(A43)))&lt;&gt;0,INDEX(Kintoneデータ抽出!M:M, _xlfn.AGGREGATE(15, 6, ROW(Kintoneデータ抽出!$K$2:$K$5000) / ((Kintoneデータ抽出!$K$2:$K$5000="院内")), ROW(A43))),""), "")</f>
        <v/>
      </c>
      <c r="P80" s="78" t="str">
        <f t="array" ref="P80">IFERROR(IF(INDEX(Kintoneデータ抽出!L:L, _xlfn.AGGREGATE(15, 6, ROW(Kintoneデータ抽出!$K$2:$K$5000) / ((Kintoneデータ抽出!$K$2:$K$5000="院内")), ROW(A43)))&lt;&gt;"",
IF(COUNTIF(INDEX(Kintoneデータ抽出!L:L, _xlfn.AGGREGATE(15, 6, ROW(Kintoneデータ抽出!$K$2:$K$5000) / ((Kintoneデータ抽出!$K$2:$K$5000="院内")), ROW(A43))),"*企業主導型以外*"),"",
IF(COUNTIF(INDEX(Kintoneデータ抽出!L:L, _xlfn.AGGREGATE(15, 6, ROW(Kintoneデータ抽出!$K$2:$K$5000) / ((Kintoneデータ抽出!$K$2:$K$5000="院内")), ROW(A43))),"*その他*"),"",
IF(COUNTIF(INDEX(Kintoneデータ抽出!L:L, _xlfn.AGGREGATE(15, 6, ROW(Kintoneデータ抽出!$K$2:$K$5000) / ((Kintoneデータ抽出!$K$2:$K$5000="院内")), ROW(A43))),"*新制度*"),"新制度","企業主導型"))),""), "")</f>
        <v/>
      </c>
    </row>
    <row r="81" spans="2:16" ht="34.799999999999997" customHeight="1" x14ac:dyDescent="0.45">
      <c r="B81" s="45"/>
      <c r="C81" s="46"/>
      <c r="D81" s="98" t="str">
        <f t="shared" si="1"/>
        <v/>
      </c>
      <c r="E81" s="99"/>
      <c r="F81" s="75" t="str">
        <f t="array" ref="F81">IFERROR(INDEX(Kintoneデータ抽出!A:A, _xlfn.AGGREGATE(15, 6, ROW(Kintoneデータ抽出!$K$2:$K$5000) / ((Kintoneデータ抽出!$K$2:$K$5000="院内")), ROW(A44))), "")</f>
        <v/>
      </c>
      <c r="G81" s="77" t="str">
        <f t="array" ref="G81">IFERROR(INDEX(Kintoneデータ抽出!D:D, _xlfn.AGGREGATE(15, 6, ROW(Kintoneデータ抽出!$K$2:$K$5000) / ((Kintoneデータ抽出!$K$2:$K$5000="院内")), ROW(A44))), "")</f>
        <v/>
      </c>
      <c r="H81" s="77" t="str">
        <f t="array" ref="H81">IFERROR(INDEX(Kintoneデータ抽出!C:C, _xlfn.AGGREGATE(15, 6, ROW(Kintoneデータ抽出!$K$2:$K$5000) / ((Kintoneデータ抽出!$K$2:$K$5000="院内")), ROW(A44))), "")</f>
        <v/>
      </c>
      <c r="I81" s="75" t="str">
        <f t="array" ref="I81">IFERROR(IF(INDEX(Kintoneデータ抽出!G:G, _xlfn.AGGREGATE(15, 6, ROW(Kintoneデータ抽出!$K$2:$K$5000) / ((Kintoneデータ抽出!$K$2:$K$5000="院内")), ROW(A44)))&lt;&gt;"",INDEX(Kintoneデータ抽出!G:G, _xlfn.AGGREGATE(15, 6, ROW(Kintoneデータ抽出!$K$2:$K$5000) / ((Kintoneデータ抽出!$K$2:$K$5000="院内")), ROW(A44)))&amp;"名",""), "")</f>
        <v/>
      </c>
      <c r="J81" s="76" t="str">
        <f t="array" ref="J81">IFERROR(IF(INDEX(Kintoneデータ抽出!E:E, _xlfn.AGGREGATE(15, 6, ROW(Kintoneデータ抽出!$K$2:$K$5000) / ((Kintoneデータ抽出!$K$2:$K$5000="院内")), ROW(A44)))&lt;&gt;"",
YEAR(INDEX(Kintoneデータ抽出!E:E, _xlfn.AGGREGATE(15, 6, ROW(Kintoneデータ抽出!$K$2:$K$5000) / ((Kintoneデータ抽出!$K$2:$K$5000="院内")), ROW(A44))))&amp;"年"
&amp;MONTH(INDEX(Kintoneデータ抽出!E:E, _xlfn.AGGREGATE(15, 6, ROW(Kintoneデータ抽出!$K$2:$K$5000) / ((Kintoneデータ抽出!$K$2:$K$5000="院内")), ROW(A44))))&amp;"月"
&amp;DAY(INDEX(Kintoneデータ抽出!E:E, _xlfn.AGGREGATE(15, 6, ROW(Kintoneデータ抽出!$K$2:$K$5000) /((Kintoneデータ抽出!$K$2:$K$5000="院内")), ROW(A44))))&amp;"日",""), "")</f>
        <v/>
      </c>
      <c r="K81" s="77" t="str" cm="1">
        <f t="array" ref="K81">IFERROR(IF(INDEX(Kintoneデータ抽出!F:F, _xlfn.AGGREGATE(15, 6, ROW(Kintoneデータ抽出!$K$2:$K$5000) / ((Kintoneデータ抽出!$K$2:$K$5000="院内")), ROW(A44)))&lt;&gt;"",
VLOOKUP(INDEX(Kintoneデータ抽出!F:F, _xlfn.AGGREGATE(15, 6, ROW(Kintoneデータ抽出!$K$2:$K$5000) / ((Kintoneデータ抽出!$K$2:$K$5000="院内")), ROW(A44))),基本開園日の表記!$A$2:$B$13,2,FALSE),""), "")</f>
        <v/>
      </c>
      <c r="L81" s="75" t="str">
        <f t="array" ref="L81">IFERROR(IF(INDEX(Kintoneデータ抽出!F:F, _xlfn.AGGREGATE(15, 6, ROW(Kintoneデータ抽出!$K$2:$K$5000) / ((Kintoneデータ抽出!$K$2:$K$5000="院内")), ROW(A44)))&lt;&gt;"",
IF(COUNTIF(INDEX(Kintoneデータ抽出!F:F, _xlfn.AGGREGATE(15, 6, ROW(Kintoneデータ抽出!$K$2:$K$5000) / ((Kintoneデータ抽出!$K$2:$K$5000="院内")), ROW(A44))),"*あり*"),"夜間",""),""), "")</f>
        <v/>
      </c>
      <c r="M81" s="75" t="str">
        <f t="array" ref="M81">IFERROR(IF(INDEX(Kintoneデータ抽出!I:I, _xlfn.AGGREGATE(15, 6, ROW(Kintoneデータ抽出!$K$2:$K$5000) / ((Kintoneデータ抽出!$K$2:$K$5000="院内")), ROW(A44)))&lt;&gt;"",
IF(COUNTIF(INDEX(Kintoneデータ抽出!I:I, _xlfn.AGGREGATE(15, 6, ROW(Kintoneデータ抽出!$K$2:$K$5000) / ((Kintoneデータ抽出!$K$2:$K$5000="院内")), ROW(A44))),"*あり*"),"学童",""),""), "")</f>
        <v/>
      </c>
      <c r="N81" s="75" t="str">
        <f t="array" ref="N81">IFERROR(IF(INDEX(Kintoneデータ抽出!H:H, _xlfn.AGGREGATE(15, 6, ROW(Kintoneデータ抽出!$K$2:$K$5000) / ((Kintoneデータ抽出!$K$2:$K$5000="院内")), ROW(A44)))&lt;&gt;"",
IF(COUNTIF(INDEX(Kintoneデータ抽出!H:H, _xlfn.AGGREGATE(15, 6, ROW(Kintoneデータ抽出!$K$2:$K$5000) / ((Kintoneデータ抽出!$K$2:$K$5000="院内")), ROW(A44))),"*あり*"),"病児",""),""), "")</f>
        <v/>
      </c>
      <c r="O81" s="94" t="str" cm="1">
        <f t="array" ref="O81">IFERROR(
IF(INDEX(Kintoneデータ抽出!M:M, _xlfn.AGGREGATE(15, 6, ROW(Kintoneデータ抽出!$K$2:$K$5000) / ((Kintoneデータ抽出!$K$2:$K$5000="院内")), ROW(A44)))&lt;&gt;0,INDEX(Kintoneデータ抽出!M:M, _xlfn.AGGREGATE(15, 6, ROW(Kintoneデータ抽出!$K$2:$K$5000) / ((Kintoneデータ抽出!$K$2:$K$5000="院内")), ROW(A44))),""), "")</f>
        <v/>
      </c>
      <c r="P81" s="78" t="str">
        <f t="array" ref="P81">IFERROR(IF(INDEX(Kintoneデータ抽出!L:L, _xlfn.AGGREGATE(15, 6, ROW(Kintoneデータ抽出!$K$2:$K$5000) / ((Kintoneデータ抽出!$K$2:$K$5000="院内")), ROW(A44)))&lt;&gt;"",
IF(COUNTIF(INDEX(Kintoneデータ抽出!L:L, _xlfn.AGGREGATE(15, 6, ROW(Kintoneデータ抽出!$K$2:$K$5000) / ((Kintoneデータ抽出!$K$2:$K$5000="院内")), ROW(A44))),"*企業主導型以外*"),"",
IF(COUNTIF(INDEX(Kintoneデータ抽出!L:L, _xlfn.AGGREGATE(15, 6, ROW(Kintoneデータ抽出!$K$2:$K$5000) / ((Kintoneデータ抽出!$K$2:$K$5000="院内")), ROW(A44))),"*その他*"),"",
IF(COUNTIF(INDEX(Kintoneデータ抽出!L:L, _xlfn.AGGREGATE(15, 6, ROW(Kintoneデータ抽出!$K$2:$K$5000) / ((Kintoneデータ抽出!$K$2:$K$5000="院内")), ROW(A44))),"*新制度*"),"新制度","企業主導型"))),""), "")</f>
        <v/>
      </c>
    </row>
    <row r="82" spans="2:16" ht="34.799999999999997" customHeight="1" x14ac:dyDescent="0.45">
      <c r="B82" s="45"/>
      <c r="C82" s="46"/>
      <c r="D82" s="98" t="str">
        <f t="shared" si="1"/>
        <v/>
      </c>
      <c r="E82" s="99"/>
      <c r="F82" s="75" t="str">
        <f t="array" ref="F82">IFERROR(INDEX(Kintoneデータ抽出!A:A, _xlfn.AGGREGATE(15, 6, ROW(Kintoneデータ抽出!$K$2:$K$5000) / ((Kintoneデータ抽出!$K$2:$K$5000="院内")), ROW(A45))), "")</f>
        <v/>
      </c>
      <c r="G82" s="77" t="str">
        <f t="array" ref="G82">IFERROR(INDEX(Kintoneデータ抽出!D:D, _xlfn.AGGREGATE(15, 6, ROW(Kintoneデータ抽出!$K$2:$K$5000) / ((Kintoneデータ抽出!$K$2:$K$5000="院内")), ROW(A45))), "")</f>
        <v/>
      </c>
      <c r="H82" s="77" t="str">
        <f t="array" ref="H82">IFERROR(INDEX(Kintoneデータ抽出!C:C, _xlfn.AGGREGATE(15, 6, ROW(Kintoneデータ抽出!$K$2:$K$5000) / ((Kintoneデータ抽出!$K$2:$K$5000="院内")), ROW(A45))), "")</f>
        <v/>
      </c>
      <c r="I82" s="75" t="str">
        <f t="array" ref="I82">IFERROR(IF(INDEX(Kintoneデータ抽出!G:G, _xlfn.AGGREGATE(15, 6, ROW(Kintoneデータ抽出!$K$2:$K$5000) / ((Kintoneデータ抽出!$K$2:$K$5000="院内")), ROW(A45)))&lt;&gt;"",INDEX(Kintoneデータ抽出!G:G, _xlfn.AGGREGATE(15, 6, ROW(Kintoneデータ抽出!$K$2:$K$5000) / ((Kintoneデータ抽出!$K$2:$K$5000="院内")), ROW(A45)))&amp;"名",""), "")</f>
        <v/>
      </c>
      <c r="J82" s="76" t="str">
        <f t="array" ref="J82">IFERROR(IF(INDEX(Kintoneデータ抽出!E:E, _xlfn.AGGREGATE(15, 6, ROW(Kintoneデータ抽出!$K$2:$K$5000) / ((Kintoneデータ抽出!$K$2:$K$5000="院内")), ROW(A45)))&lt;&gt;"",
YEAR(INDEX(Kintoneデータ抽出!E:E, _xlfn.AGGREGATE(15, 6, ROW(Kintoneデータ抽出!$K$2:$K$5000) / ((Kintoneデータ抽出!$K$2:$K$5000="院内")), ROW(A45))))&amp;"年"
&amp;MONTH(INDEX(Kintoneデータ抽出!E:E, _xlfn.AGGREGATE(15, 6, ROW(Kintoneデータ抽出!$K$2:$K$5000) / ((Kintoneデータ抽出!$K$2:$K$5000="院内")), ROW(A45))))&amp;"月"
&amp;DAY(INDEX(Kintoneデータ抽出!E:E, _xlfn.AGGREGATE(15, 6, ROW(Kintoneデータ抽出!$K$2:$K$5000) /((Kintoneデータ抽出!$K$2:$K$5000="院内")), ROW(A45))))&amp;"日",""), "")</f>
        <v/>
      </c>
      <c r="K82" s="77" t="str" cm="1">
        <f t="array" ref="K82">IFERROR(IF(INDEX(Kintoneデータ抽出!F:F, _xlfn.AGGREGATE(15, 6, ROW(Kintoneデータ抽出!$K$2:$K$5000) / ((Kintoneデータ抽出!$K$2:$K$5000="院内")), ROW(A45)))&lt;&gt;"",
VLOOKUP(INDEX(Kintoneデータ抽出!F:F, _xlfn.AGGREGATE(15, 6, ROW(Kintoneデータ抽出!$K$2:$K$5000) / ((Kintoneデータ抽出!$K$2:$K$5000="院内")), ROW(A45))),基本開園日の表記!$A$2:$B$13,2,FALSE),""), "")</f>
        <v/>
      </c>
      <c r="L82" s="75" t="str">
        <f t="array" ref="L82">IFERROR(IF(INDEX(Kintoneデータ抽出!F:F, _xlfn.AGGREGATE(15, 6, ROW(Kintoneデータ抽出!$K$2:$K$5000) / ((Kintoneデータ抽出!$K$2:$K$5000="院内")), ROW(A45)))&lt;&gt;"",
IF(COUNTIF(INDEX(Kintoneデータ抽出!F:F, _xlfn.AGGREGATE(15, 6, ROW(Kintoneデータ抽出!$K$2:$K$5000) / ((Kintoneデータ抽出!$K$2:$K$5000="院内")), ROW(A45))),"*あり*"),"夜間",""),""), "")</f>
        <v/>
      </c>
      <c r="M82" s="75" t="str">
        <f t="array" ref="M82">IFERROR(IF(INDEX(Kintoneデータ抽出!I:I, _xlfn.AGGREGATE(15, 6, ROW(Kintoneデータ抽出!$K$2:$K$5000) / ((Kintoneデータ抽出!$K$2:$K$5000="院内")), ROW(A45)))&lt;&gt;"",
IF(COUNTIF(INDEX(Kintoneデータ抽出!I:I, _xlfn.AGGREGATE(15, 6, ROW(Kintoneデータ抽出!$K$2:$K$5000) / ((Kintoneデータ抽出!$K$2:$K$5000="院内")), ROW(A45))),"*あり*"),"学童",""),""), "")</f>
        <v/>
      </c>
      <c r="N82" s="75" t="str">
        <f t="array" ref="N82">IFERROR(IF(INDEX(Kintoneデータ抽出!H:H, _xlfn.AGGREGATE(15, 6, ROW(Kintoneデータ抽出!$K$2:$K$5000) / ((Kintoneデータ抽出!$K$2:$K$5000="院内")), ROW(A45)))&lt;&gt;"",
IF(COUNTIF(INDEX(Kintoneデータ抽出!H:H, _xlfn.AGGREGATE(15, 6, ROW(Kintoneデータ抽出!$K$2:$K$5000) / ((Kintoneデータ抽出!$K$2:$K$5000="院内")), ROW(A45))),"*あり*"),"病児",""),""), "")</f>
        <v/>
      </c>
      <c r="O82" s="94" t="str" cm="1">
        <f t="array" ref="O82">IFERROR(
IF(INDEX(Kintoneデータ抽出!M:M, _xlfn.AGGREGATE(15, 6, ROW(Kintoneデータ抽出!$K$2:$K$5000) / ((Kintoneデータ抽出!$K$2:$K$5000="院内")), ROW(A45)))&lt;&gt;0,INDEX(Kintoneデータ抽出!M:M, _xlfn.AGGREGATE(15, 6, ROW(Kintoneデータ抽出!$K$2:$K$5000) / ((Kintoneデータ抽出!$K$2:$K$5000="院内")), ROW(A45))),""), "")</f>
        <v/>
      </c>
      <c r="P82" s="78" t="str">
        <f t="array" ref="P82">IFERROR(IF(INDEX(Kintoneデータ抽出!L:L, _xlfn.AGGREGATE(15, 6, ROW(Kintoneデータ抽出!$K$2:$K$5000) / ((Kintoneデータ抽出!$K$2:$K$5000="院内")), ROW(A45)))&lt;&gt;"",
IF(COUNTIF(INDEX(Kintoneデータ抽出!L:L, _xlfn.AGGREGATE(15, 6, ROW(Kintoneデータ抽出!$K$2:$K$5000) / ((Kintoneデータ抽出!$K$2:$K$5000="院内")), ROW(A45))),"*企業主導型以外*"),"",
IF(COUNTIF(INDEX(Kintoneデータ抽出!L:L, _xlfn.AGGREGATE(15, 6, ROW(Kintoneデータ抽出!$K$2:$K$5000) / ((Kintoneデータ抽出!$K$2:$K$5000="院内")), ROW(A45))),"*その他*"),"",
IF(COUNTIF(INDEX(Kintoneデータ抽出!L:L, _xlfn.AGGREGATE(15, 6, ROW(Kintoneデータ抽出!$K$2:$K$5000) / ((Kintoneデータ抽出!$K$2:$K$5000="院内")), ROW(A45))),"*新制度*"),"新制度","企業主導型"))),""), "")</f>
        <v/>
      </c>
    </row>
    <row r="83" spans="2:16" ht="34.799999999999997" customHeight="1" x14ac:dyDescent="0.45">
      <c r="B83" s="45"/>
      <c r="C83" s="46"/>
      <c r="D83" s="98" t="str">
        <f t="shared" si="1"/>
        <v/>
      </c>
      <c r="E83" s="99"/>
      <c r="F83" s="75" t="str">
        <f t="array" ref="F83">IFERROR(INDEX(Kintoneデータ抽出!A:A, _xlfn.AGGREGATE(15, 6, ROW(Kintoneデータ抽出!$K$2:$K$5000) / ((Kintoneデータ抽出!$K$2:$K$5000="院内")), ROW(A46))), "")</f>
        <v/>
      </c>
      <c r="G83" s="77" t="str">
        <f t="array" ref="G83">IFERROR(INDEX(Kintoneデータ抽出!D:D, _xlfn.AGGREGATE(15, 6, ROW(Kintoneデータ抽出!$K$2:$K$5000) / ((Kintoneデータ抽出!$K$2:$K$5000="院内")), ROW(A46))), "")</f>
        <v/>
      </c>
      <c r="H83" s="77" t="str">
        <f t="array" ref="H83">IFERROR(INDEX(Kintoneデータ抽出!C:C, _xlfn.AGGREGATE(15, 6, ROW(Kintoneデータ抽出!$K$2:$K$5000) / ((Kintoneデータ抽出!$K$2:$K$5000="院内")), ROW(A46))), "")</f>
        <v/>
      </c>
      <c r="I83" s="75" t="str">
        <f t="array" ref="I83">IFERROR(IF(INDEX(Kintoneデータ抽出!G:G, _xlfn.AGGREGATE(15, 6, ROW(Kintoneデータ抽出!$K$2:$K$5000) / ((Kintoneデータ抽出!$K$2:$K$5000="院内")), ROW(A46)))&lt;&gt;"",INDEX(Kintoneデータ抽出!G:G, _xlfn.AGGREGATE(15, 6, ROW(Kintoneデータ抽出!$K$2:$K$5000) / ((Kintoneデータ抽出!$K$2:$K$5000="院内")), ROW(A46)))&amp;"名",""), "")</f>
        <v/>
      </c>
      <c r="J83" s="76" t="str">
        <f t="array" ref="J83">IFERROR(IF(INDEX(Kintoneデータ抽出!E:E, _xlfn.AGGREGATE(15, 6, ROW(Kintoneデータ抽出!$K$2:$K$5000) / ((Kintoneデータ抽出!$K$2:$K$5000="院内")), ROW(A46)))&lt;&gt;"",
YEAR(INDEX(Kintoneデータ抽出!E:E, _xlfn.AGGREGATE(15, 6, ROW(Kintoneデータ抽出!$K$2:$K$5000) / ((Kintoneデータ抽出!$K$2:$K$5000="院内")), ROW(A46))))&amp;"年"
&amp;MONTH(INDEX(Kintoneデータ抽出!E:E, _xlfn.AGGREGATE(15, 6, ROW(Kintoneデータ抽出!$K$2:$K$5000) / ((Kintoneデータ抽出!$K$2:$K$5000="院内")), ROW(A46))))&amp;"月"
&amp;DAY(INDEX(Kintoneデータ抽出!E:E, _xlfn.AGGREGATE(15, 6, ROW(Kintoneデータ抽出!$K$2:$K$5000) /((Kintoneデータ抽出!$K$2:$K$5000="院内")), ROW(A46))))&amp;"日",""), "")</f>
        <v/>
      </c>
      <c r="K83" s="77" t="str" cm="1">
        <f t="array" ref="K83">IFERROR(IF(INDEX(Kintoneデータ抽出!F:F, _xlfn.AGGREGATE(15, 6, ROW(Kintoneデータ抽出!$K$2:$K$5000) / ((Kintoneデータ抽出!$K$2:$K$5000="院内")), ROW(A46)))&lt;&gt;"",
VLOOKUP(INDEX(Kintoneデータ抽出!F:F, _xlfn.AGGREGATE(15, 6, ROW(Kintoneデータ抽出!$K$2:$K$5000) / ((Kintoneデータ抽出!$K$2:$K$5000="院内")), ROW(A46))),基本開園日の表記!$A$2:$B$13,2,FALSE),""), "")</f>
        <v/>
      </c>
      <c r="L83" s="75" t="str">
        <f t="array" ref="L83">IFERROR(IF(INDEX(Kintoneデータ抽出!F:F, _xlfn.AGGREGATE(15, 6, ROW(Kintoneデータ抽出!$K$2:$K$5000) / ((Kintoneデータ抽出!$K$2:$K$5000="院内")), ROW(A46)))&lt;&gt;"",
IF(COUNTIF(INDEX(Kintoneデータ抽出!F:F, _xlfn.AGGREGATE(15, 6, ROW(Kintoneデータ抽出!$K$2:$K$5000) / ((Kintoneデータ抽出!$K$2:$K$5000="院内")), ROW(A46))),"*あり*"),"夜間",""),""), "")</f>
        <v/>
      </c>
      <c r="M83" s="75" t="str">
        <f t="array" ref="M83">IFERROR(IF(INDEX(Kintoneデータ抽出!I:I, _xlfn.AGGREGATE(15, 6, ROW(Kintoneデータ抽出!$K$2:$K$5000) / ((Kintoneデータ抽出!$K$2:$K$5000="院内")), ROW(A46)))&lt;&gt;"",
IF(COUNTIF(INDEX(Kintoneデータ抽出!I:I, _xlfn.AGGREGATE(15, 6, ROW(Kintoneデータ抽出!$K$2:$K$5000) / ((Kintoneデータ抽出!$K$2:$K$5000="院内")), ROW(A46))),"*あり*"),"学童",""),""), "")</f>
        <v/>
      </c>
      <c r="N83" s="75" t="str">
        <f t="array" ref="N83">IFERROR(IF(INDEX(Kintoneデータ抽出!H:H, _xlfn.AGGREGATE(15, 6, ROW(Kintoneデータ抽出!$K$2:$K$5000) / ((Kintoneデータ抽出!$K$2:$K$5000="院内")), ROW(A46)))&lt;&gt;"",
IF(COUNTIF(INDEX(Kintoneデータ抽出!H:H, _xlfn.AGGREGATE(15, 6, ROW(Kintoneデータ抽出!$K$2:$K$5000) / ((Kintoneデータ抽出!$K$2:$K$5000="院内")), ROW(A46))),"*あり*"),"病児",""),""), "")</f>
        <v/>
      </c>
      <c r="O83" s="94" t="str" cm="1">
        <f t="array" ref="O83">IFERROR(
IF(INDEX(Kintoneデータ抽出!M:M, _xlfn.AGGREGATE(15, 6, ROW(Kintoneデータ抽出!$K$2:$K$5000) / ((Kintoneデータ抽出!$K$2:$K$5000="院内")), ROW(A46)))&lt;&gt;0,INDEX(Kintoneデータ抽出!M:M, _xlfn.AGGREGATE(15, 6, ROW(Kintoneデータ抽出!$K$2:$K$5000) / ((Kintoneデータ抽出!$K$2:$K$5000="院内")), ROW(A46))),""), "")</f>
        <v/>
      </c>
      <c r="P83" s="78" t="str">
        <f t="array" ref="P83">IFERROR(IF(INDEX(Kintoneデータ抽出!L:L, _xlfn.AGGREGATE(15, 6, ROW(Kintoneデータ抽出!$K$2:$K$5000) / ((Kintoneデータ抽出!$K$2:$K$5000="院内")), ROW(A46)))&lt;&gt;"",
IF(COUNTIF(INDEX(Kintoneデータ抽出!L:L, _xlfn.AGGREGATE(15, 6, ROW(Kintoneデータ抽出!$K$2:$K$5000) / ((Kintoneデータ抽出!$K$2:$K$5000="院内")), ROW(A46))),"*企業主導型以外*"),"",
IF(COUNTIF(INDEX(Kintoneデータ抽出!L:L, _xlfn.AGGREGATE(15, 6, ROW(Kintoneデータ抽出!$K$2:$K$5000) / ((Kintoneデータ抽出!$K$2:$K$5000="院内")), ROW(A46))),"*その他*"),"",
IF(COUNTIF(INDEX(Kintoneデータ抽出!L:L, _xlfn.AGGREGATE(15, 6, ROW(Kintoneデータ抽出!$K$2:$K$5000) / ((Kintoneデータ抽出!$K$2:$K$5000="院内")), ROW(A46))),"*新制度*"),"新制度","企業主導型"))),""), "")</f>
        <v/>
      </c>
    </row>
    <row r="84" spans="2:16" ht="34.799999999999997" customHeight="1" x14ac:dyDescent="0.45">
      <c r="B84" s="45"/>
      <c r="C84" s="46"/>
      <c r="D84" s="98" t="str">
        <f t="shared" si="1"/>
        <v/>
      </c>
      <c r="E84" s="99"/>
      <c r="F84" s="75" t="str">
        <f t="array" ref="F84">IFERROR(INDEX(Kintoneデータ抽出!A:A, _xlfn.AGGREGATE(15, 6, ROW(Kintoneデータ抽出!$K$2:$K$5000) / ((Kintoneデータ抽出!$K$2:$K$5000="院内")), ROW(A47))), "")</f>
        <v/>
      </c>
      <c r="G84" s="77" t="str">
        <f t="array" ref="G84">IFERROR(INDEX(Kintoneデータ抽出!D:D, _xlfn.AGGREGATE(15, 6, ROW(Kintoneデータ抽出!$K$2:$K$5000) / ((Kintoneデータ抽出!$K$2:$K$5000="院内")), ROW(A47))), "")</f>
        <v/>
      </c>
      <c r="H84" s="77" t="str">
        <f t="array" ref="H84">IFERROR(INDEX(Kintoneデータ抽出!C:C, _xlfn.AGGREGATE(15, 6, ROW(Kintoneデータ抽出!$K$2:$K$5000) / ((Kintoneデータ抽出!$K$2:$K$5000="院内")), ROW(A47))), "")</f>
        <v/>
      </c>
      <c r="I84" s="75" t="str">
        <f t="array" ref="I84">IFERROR(IF(INDEX(Kintoneデータ抽出!G:G, _xlfn.AGGREGATE(15, 6, ROW(Kintoneデータ抽出!$K$2:$K$5000) / ((Kintoneデータ抽出!$K$2:$K$5000="院内")), ROW(A47)))&lt;&gt;"",INDEX(Kintoneデータ抽出!G:G, _xlfn.AGGREGATE(15, 6, ROW(Kintoneデータ抽出!$K$2:$K$5000) / ((Kintoneデータ抽出!$K$2:$K$5000="院内")), ROW(A47)))&amp;"名",""), "")</f>
        <v/>
      </c>
      <c r="J84" s="76" t="str">
        <f t="array" ref="J84">IFERROR(IF(INDEX(Kintoneデータ抽出!E:E, _xlfn.AGGREGATE(15, 6, ROW(Kintoneデータ抽出!$K$2:$K$5000) / ((Kintoneデータ抽出!$K$2:$K$5000="院内")), ROW(A47)))&lt;&gt;"",
YEAR(INDEX(Kintoneデータ抽出!E:E, _xlfn.AGGREGATE(15, 6, ROW(Kintoneデータ抽出!$K$2:$K$5000) / ((Kintoneデータ抽出!$K$2:$K$5000="院内")), ROW(A47))))&amp;"年"
&amp;MONTH(INDEX(Kintoneデータ抽出!E:E, _xlfn.AGGREGATE(15, 6, ROW(Kintoneデータ抽出!$K$2:$K$5000) / ((Kintoneデータ抽出!$K$2:$K$5000="院内")), ROW(A47))))&amp;"月"
&amp;DAY(INDEX(Kintoneデータ抽出!E:E, _xlfn.AGGREGATE(15, 6, ROW(Kintoneデータ抽出!$K$2:$K$5000) /((Kintoneデータ抽出!$K$2:$K$5000="院内")), ROW(A47))))&amp;"日",""), "")</f>
        <v/>
      </c>
      <c r="K84" s="77" t="str" cm="1">
        <f t="array" ref="K84">IFERROR(IF(INDEX(Kintoneデータ抽出!F:F, _xlfn.AGGREGATE(15, 6, ROW(Kintoneデータ抽出!$K$2:$K$5000) / ((Kintoneデータ抽出!$K$2:$K$5000="院内")), ROW(A47)))&lt;&gt;"",
VLOOKUP(INDEX(Kintoneデータ抽出!F:F, _xlfn.AGGREGATE(15, 6, ROW(Kintoneデータ抽出!$K$2:$K$5000) / ((Kintoneデータ抽出!$K$2:$K$5000="院内")), ROW(A47))),基本開園日の表記!$A$2:$B$13,2,FALSE),""), "")</f>
        <v/>
      </c>
      <c r="L84" s="75" t="str">
        <f t="array" ref="L84">IFERROR(IF(INDEX(Kintoneデータ抽出!F:F, _xlfn.AGGREGATE(15, 6, ROW(Kintoneデータ抽出!$K$2:$K$5000) / ((Kintoneデータ抽出!$K$2:$K$5000="院内")), ROW(A47)))&lt;&gt;"",
IF(COUNTIF(INDEX(Kintoneデータ抽出!F:F, _xlfn.AGGREGATE(15, 6, ROW(Kintoneデータ抽出!$K$2:$K$5000) / ((Kintoneデータ抽出!$K$2:$K$5000="院内")), ROW(A47))),"*あり*"),"夜間",""),""), "")</f>
        <v/>
      </c>
      <c r="M84" s="75" t="str">
        <f t="array" ref="M84">IFERROR(IF(INDEX(Kintoneデータ抽出!I:I, _xlfn.AGGREGATE(15, 6, ROW(Kintoneデータ抽出!$K$2:$K$5000) / ((Kintoneデータ抽出!$K$2:$K$5000="院内")), ROW(A47)))&lt;&gt;"",
IF(COUNTIF(INDEX(Kintoneデータ抽出!I:I, _xlfn.AGGREGATE(15, 6, ROW(Kintoneデータ抽出!$K$2:$K$5000) / ((Kintoneデータ抽出!$K$2:$K$5000="院内")), ROW(A47))),"*あり*"),"学童",""),""), "")</f>
        <v/>
      </c>
      <c r="N84" s="75" t="str">
        <f t="array" ref="N84">IFERROR(IF(INDEX(Kintoneデータ抽出!H:H, _xlfn.AGGREGATE(15, 6, ROW(Kintoneデータ抽出!$K$2:$K$5000) / ((Kintoneデータ抽出!$K$2:$K$5000="院内")), ROW(A47)))&lt;&gt;"",
IF(COUNTIF(INDEX(Kintoneデータ抽出!H:H, _xlfn.AGGREGATE(15, 6, ROW(Kintoneデータ抽出!$K$2:$K$5000) / ((Kintoneデータ抽出!$K$2:$K$5000="院内")), ROW(A47))),"*あり*"),"病児",""),""), "")</f>
        <v/>
      </c>
      <c r="O84" s="94" t="str" cm="1">
        <f t="array" ref="O84">IFERROR(
IF(INDEX(Kintoneデータ抽出!M:M, _xlfn.AGGREGATE(15, 6, ROW(Kintoneデータ抽出!$K$2:$K$5000) / ((Kintoneデータ抽出!$K$2:$K$5000="院内")), ROW(A47)))&lt;&gt;0,INDEX(Kintoneデータ抽出!M:M, _xlfn.AGGREGATE(15, 6, ROW(Kintoneデータ抽出!$K$2:$K$5000) / ((Kintoneデータ抽出!$K$2:$K$5000="院内")), ROW(A47))),""), "")</f>
        <v/>
      </c>
      <c r="P84" s="78" t="str">
        <f t="array" ref="P84">IFERROR(IF(INDEX(Kintoneデータ抽出!L:L, _xlfn.AGGREGATE(15, 6, ROW(Kintoneデータ抽出!$K$2:$K$5000) / ((Kintoneデータ抽出!$K$2:$K$5000="院内")), ROW(A47)))&lt;&gt;"",
IF(COUNTIF(INDEX(Kintoneデータ抽出!L:L, _xlfn.AGGREGATE(15, 6, ROW(Kintoneデータ抽出!$K$2:$K$5000) / ((Kintoneデータ抽出!$K$2:$K$5000="院内")), ROW(A47))),"*企業主導型以外*"),"",
IF(COUNTIF(INDEX(Kintoneデータ抽出!L:L, _xlfn.AGGREGATE(15, 6, ROW(Kintoneデータ抽出!$K$2:$K$5000) / ((Kintoneデータ抽出!$K$2:$K$5000="院内")), ROW(A47))),"*その他*"),"",
IF(COUNTIF(INDEX(Kintoneデータ抽出!L:L, _xlfn.AGGREGATE(15, 6, ROW(Kintoneデータ抽出!$K$2:$K$5000) / ((Kintoneデータ抽出!$K$2:$K$5000="院内")), ROW(A47))),"*新制度*"),"新制度","企業主導型"))),""), "")</f>
        <v/>
      </c>
    </row>
    <row r="85" spans="2:16" ht="34.799999999999997" customHeight="1" x14ac:dyDescent="0.45">
      <c r="B85" s="45"/>
      <c r="C85" s="46"/>
      <c r="D85" s="98" t="str">
        <f t="shared" si="1"/>
        <v/>
      </c>
      <c r="E85" s="99"/>
      <c r="F85" s="75" t="str">
        <f t="array" ref="F85">IFERROR(INDEX(Kintoneデータ抽出!A:A, _xlfn.AGGREGATE(15, 6, ROW(Kintoneデータ抽出!$K$2:$K$5000) / ((Kintoneデータ抽出!$K$2:$K$5000="院内")), ROW(A48))), "")</f>
        <v/>
      </c>
      <c r="G85" s="77" t="str">
        <f t="array" ref="G85">IFERROR(INDEX(Kintoneデータ抽出!D:D, _xlfn.AGGREGATE(15, 6, ROW(Kintoneデータ抽出!$K$2:$K$5000) / ((Kintoneデータ抽出!$K$2:$K$5000="院内")), ROW(A48))), "")</f>
        <v/>
      </c>
      <c r="H85" s="77" t="str">
        <f t="array" ref="H85">IFERROR(INDEX(Kintoneデータ抽出!C:C, _xlfn.AGGREGATE(15, 6, ROW(Kintoneデータ抽出!$K$2:$K$5000) / ((Kintoneデータ抽出!$K$2:$K$5000="院内")), ROW(A48))), "")</f>
        <v/>
      </c>
      <c r="I85" s="75" t="str">
        <f t="array" ref="I85">IFERROR(IF(INDEX(Kintoneデータ抽出!G:G, _xlfn.AGGREGATE(15, 6, ROW(Kintoneデータ抽出!$K$2:$K$5000) / ((Kintoneデータ抽出!$K$2:$K$5000="院内")), ROW(A48)))&lt;&gt;"",INDEX(Kintoneデータ抽出!G:G, _xlfn.AGGREGATE(15, 6, ROW(Kintoneデータ抽出!$K$2:$K$5000) / ((Kintoneデータ抽出!$K$2:$K$5000="院内")), ROW(A48)))&amp;"名",""), "")</f>
        <v/>
      </c>
      <c r="J85" s="76" t="str">
        <f t="array" ref="J85">IFERROR(IF(INDEX(Kintoneデータ抽出!E:E, _xlfn.AGGREGATE(15, 6, ROW(Kintoneデータ抽出!$K$2:$K$5000) / ((Kintoneデータ抽出!$K$2:$K$5000="院内")), ROW(A48)))&lt;&gt;"",
YEAR(INDEX(Kintoneデータ抽出!E:E, _xlfn.AGGREGATE(15, 6, ROW(Kintoneデータ抽出!$K$2:$K$5000) / ((Kintoneデータ抽出!$K$2:$K$5000="院内")), ROW(A48))))&amp;"年"
&amp;MONTH(INDEX(Kintoneデータ抽出!E:E, _xlfn.AGGREGATE(15, 6, ROW(Kintoneデータ抽出!$K$2:$K$5000) / ((Kintoneデータ抽出!$K$2:$K$5000="院内")), ROW(A48))))&amp;"月"
&amp;DAY(INDEX(Kintoneデータ抽出!E:E, _xlfn.AGGREGATE(15, 6, ROW(Kintoneデータ抽出!$K$2:$K$5000) /((Kintoneデータ抽出!$K$2:$K$5000="院内")), ROW(A48))))&amp;"日",""), "")</f>
        <v/>
      </c>
      <c r="K85" s="77" t="str" cm="1">
        <f t="array" ref="K85">IFERROR(IF(INDEX(Kintoneデータ抽出!F:F, _xlfn.AGGREGATE(15, 6, ROW(Kintoneデータ抽出!$K$2:$K$5000) / ((Kintoneデータ抽出!$K$2:$K$5000="院内")), ROW(A48)))&lt;&gt;"",
VLOOKUP(INDEX(Kintoneデータ抽出!F:F, _xlfn.AGGREGATE(15, 6, ROW(Kintoneデータ抽出!$K$2:$K$5000) / ((Kintoneデータ抽出!$K$2:$K$5000="院内")), ROW(A48))),基本開園日の表記!$A$2:$B$13,2,FALSE),""), "")</f>
        <v/>
      </c>
      <c r="L85" s="75" t="str">
        <f t="array" ref="L85">IFERROR(IF(INDEX(Kintoneデータ抽出!F:F, _xlfn.AGGREGATE(15, 6, ROW(Kintoneデータ抽出!$K$2:$K$5000) / ((Kintoneデータ抽出!$K$2:$K$5000="院内")), ROW(A48)))&lt;&gt;"",
IF(COUNTIF(INDEX(Kintoneデータ抽出!F:F, _xlfn.AGGREGATE(15, 6, ROW(Kintoneデータ抽出!$K$2:$K$5000) / ((Kintoneデータ抽出!$K$2:$K$5000="院内")), ROW(A48))),"*あり*"),"夜間",""),""), "")</f>
        <v/>
      </c>
      <c r="M85" s="75" t="str">
        <f t="array" ref="M85">IFERROR(IF(INDEX(Kintoneデータ抽出!I:I, _xlfn.AGGREGATE(15, 6, ROW(Kintoneデータ抽出!$K$2:$K$5000) / ((Kintoneデータ抽出!$K$2:$K$5000="院内")), ROW(A48)))&lt;&gt;"",
IF(COUNTIF(INDEX(Kintoneデータ抽出!I:I, _xlfn.AGGREGATE(15, 6, ROW(Kintoneデータ抽出!$K$2:$K$5000) / ((Kintoneデータ抽出!$K$2:$K$5000="院内")), ROW(A48))),"*あり*"),"学童",""),""), "")</f>
        <v/>
      </c>
      <c r="N85" s="75" t="str">
        <f t="array" ref="N85">IFERROR(IF(INDEX(Kintoneデータ抽出!H:H, _xlfn.AGGREGATE(15, 6, ROW(Kintoneデータ抽出!$K$2:$K$5000) / ((Kintoneデータ抽出!$K$2:$K$5000="院内")), ROW(A48)))&lt;&gt;"",
IF(COUNTIF(INDEX(Kintoneデータ抽出!H:H, _xlfn.AGGREGATE(15, 6, ROW(Kintoneデータ抽出!$K$2:$K$5000) / ((Kintoneデータ抽出!$K$2:$K$5000="院内")), ROW(A48))),"*あり*"),"病児",""),""), "")</f>
        <v/>
      </c>
      <c r="O85" s="94" t="str" cm="1">
        <f t="array" ref="O85">IFERROR(
IF(INDEX(Kintoneデータ抽出!M:M, _xlfn.AGGREGATE(15, 6, ROW(Kintoneデータ抽出!$K$2:$K$5000) / ((Kintoneデータ抽出!$K$2:$K$5000="院内")), ROW(A48)))&lt;&gt;0,INDEX(Kintoneデータ抽出!M:M, _xlfn.AGGREGATE(15, 6, ROW(Kintoneデータ抽出!$K$2:$K$5000) / ((Kintoneデータ抽出!$K$2:$K$5000="院内")), ROW(A48))),""), "")</f>
        <v/>
      </c>
      <c r="P85" s="78" t="str">
        <f t="array" ref="P85">IFERROR(IF(INDEX(Kintoneデータ抽出!L:L, _xlfn.AGGREGATE(15, 6, ROW(Kintoneデータ抽出!$K$2:$K$5000) / ((Kintoneデータ抽出!$K$2:$K$5000="院内")), ROW(A48)))&lt;&gt;"",
IF(COUNTIF(INDEX(Kintoneデータ抽出!L:L, _xlfn.AGGREGATE(15, 6, ROW(Kintoneデータ抽出!$K$2:$K$5000) / ((Kintoneデータ抽出!$K$2:$K$5000="院内")), ROW(A48))),"*企業主導型以外*"),"",
IF(COUNTIF(INDEX(Kintoneデータ抽出!L:L, _xlfn.AGGREGATE(15, 6, ROW(Kintoneデータ抽出!$K$2:$K$5000) / ((Kintoneデータ抽出!$K$2:$K$5000="院内")), ROW(A48))),"*その他*"),"",
IF(COUNTIF(INDEX(Kintoneデータ抽出!L:L, _xlfn.AGGREGATE(15, 6, ROW(Kintoneデータ抽出!$K$2:$K$5000) / ((Kintoneデータ抽出!$K$2:$K$5000="院内")), ROW(A48))),"*新制度*"),"新制度","企業主導型"))),""), "")</f>
        <v/>
      </c>
    </row>
    <row r="86" spans="2:16" ht="34.799999999999997" customHeight="1" x14ac:dyDescent="0.45">
      <c r="B86" s="45"/>
      <c r="C86" s="46"/>
      <c r="D86" s="98" t="str">
        <f t="shared" si="1"/>
        <v/>
      </c>
      <c r="E86" s="99"/>
      <c r="F86" s="75" t="str">
        <f t="array" ref="F86">IFERROR(INDEX(Kintoneデータ抽出!A:A, _xlfn.AGGREGATE(15, 6, ROW(Kintoneデータ抽出!$K$2:$K$5000) / ((Kintoneデータ抽出!$K$2:$K$5000="院内")), ROW(A49))), "")</f>
        <v/>
      </c>
      <c r="G86" s="77" t="str">
        <f t="array" ref="G86">IFERROR(INDEX(Kintoneデータ抽出!D:D, _xlfn.AGGREGATE(15, 6, ROW(Kintoneデータ抽出!$K$2:$K$5000) / ((Kintoneデータ抽出!$K$2:$K$5000="院内")), ROW(A49))), "")</f>
        <v/>
      </c>
      <c r="H86" s="77" t="str">
        <f t="array" ref="H86">IFERROR(INDEX(Kintoneデータ抽出!C:C, _xlfn.AGGREGATE(15, 6, ROW(Kintoneデータ抽出!$K$2:$K$5000) / ((Kintoneデータ抽出!$K$2:$K$5000="院内")), ROW(A49))), "")</f>
        <v/>
      </c>
      <c r="I86" s="75" t="str">
        <f t="array" ref="I86">IFERROR(IF(INDEX(Kintoneデータ抽出!G:G, _xlfn.AGGREGATE(15, 6, ROW(Kintoneデータ抽出!$K$2:$K$5000) / ((Kintoneデータ抽出!$K$2:$K$5000="院内")), ROW(A49)))&lt;&gt;"",INDEX(Kintoneデータ抽出!G:G, _xlfn.AGGREGATE(15, 6, ROW(Kintoneデータ抽出!$K$2:$K$5000) / ((Kintoneデータ抽出!$K$2:$K$5000="院内")), ROW(A49)))&amp;"名",""), "")</f>
        <v/>
      </c>
      <c r="J86" s="76" t="str">
        <f t="array" ref="J86">IFERROR(IF(INDEX(Kintoneデータ抽出!E:E, _xlfn.AGGREGATE(15, 6, ROW(Kintoneデータ抽出!$K$2:$K$5000) / ((Kintoneデータ抽出!$K$2:$K$5000="院内")), ROW(A49)))&lt;&gt;"",
YEAR(INDEX(Kintoneデータ抽出!E:E, _xlfn.AGGREGATE(15, 6, ROW(Kintoneデータ抽出!$K$2:$K$5000) / ((Kintoneデータ抽出!$K$2:$K$5000="院内")), ROW(A49))))&amp;"年"
&amp;MONTH(INDEX(Kintoneデータ抽出!E:E, _xlfn.AGGREGATE(15, 6, ROW(Kintoneデータ抽出!$K$2:$K$5000) / ((Kintoneデータ抽出!$K$2:$K$5000="院内")), ROW(A49))))&amp;"月"
&amp;DAY(INDEX(Kintoneデータ抽出!E:E, _xlfn.AGGREGATE(15, 6, ROW(Kintoneデータ抽出!$K$2:$K$5000) /((Kintoneデータ抽出!$K$2:$K$5000="院内")), ROW(A49))))&amp;"日",""), "")</f>
        <v/>
      </c>
      <c r="K86" s="77" t="str" cm="1">
        <f t="array" ref="K86">IFERROR(IF(INDEX(Kintoneデータ抽出!F:F, _xlfn.AGGREGATE(15, 6, ROW(Kintoneデータ抽出!$K$2:$K$5000) / ((Kintoneデータ抽出!$K$2:$K$5000="院内")), ROW(A49)))&lt;&gt;"",
VLOOKUP(INDEX(Kintoneデータ抽出!F:F, _xlfn.AGGREGATE(15, 6, ROW(Kintoneデータ抽出!$K$2:$K$5000) / ((Kintoneデータ抽出!$K$2:$K$5000="院内")), ROW(A49))),基本開園日の表記!$A$2:$B$13,2,FALSE),""), "")</f>
        <v/>
      </c>
      <c r="L86" s="75" t="str">
        <f t="array" ref="L86">IFERROR(IF(INDEX(Kintoneデータ抽出!F:F, _xlfn.AGGREGATE(15, 6, ROW(Kintoneデータ抽出!$K$2:$K$5000) / ((Kintoneデータ抽出!$K$2:$K$5000="院内")), ROW(A49)))&lt;&gt;"",
IF(COUNTIF(INDEX(Kintoneデータ抽出!F:F, _xlfn.AGGREGATE(15, 6, ROW(Kintoneデータ抽出!$K$2:$K$5000) / ((Kintoneデータ抽出!$K$2:$K$5000="院内")), ROW(A49))),"*あり*"),"夜間",""),""), "")</f>
        <v/>
      </c>
      <c r="M86" s="75" t="str">
        <f t="array" ref="M86">IFERROR(IF(INDEX(Kintoneデータ抽出!I:I, _xlfn.AGGREGATE(15, 6, ROW(Kintoneデータ抽出!$K$2:$K$5000) / ((Kintoneデータ抽出!$K$2:$K$5000="院内")), ROW(A49)))&lt;&gt;"",
IF(COUNTIF(INDEX(Kintoneデータ抽出!I:I, _xlfn.AGGREGATE(15, 6, ROW(Kintoneデータ抽出!$K$2:$K$5000) / ((Kintoneデータ抽出!$K$2:$K$5000="院内")), ROW(A49))),"*あり*"),"学童",""),""), "")</f>
        <v/>
      </c>
      <c r="N86" s="75" t="str">
        <f t="array" ref="N86">IFERROR(IF(INDEX(Kintoneデータ抽出!H:H, _xlfn.AGGREGATE(15, 6, ROW(Kintoneデータ抽出!$K$2:$K$5000) / ((Kintoneデータ抽出!$K$2:$K$5000="院内")), ROW(A49)))&lt;&gt;"",
IF(COUNTIF(INDEX(Kintoneデータ抽出!H:H, _xlfn.AGGREGATE(15, 6, ROW(Kintoneデータ抽出!$K$2:$K$5000) / ((Kintoneデータ抽出!$K$2:$K$5000="院内")), ROW(A49))),"*あり*"),"病児",""),""), "")</f>
        <v/>
      </c>
      <c r="O86" s="94" t="str" cm="1">
        <f t="array" ref="O86">IFERROR(
IF(INDEX(Kintoneデータ抽出!M:M, _xlfn.AGGREGATE(15, 6, ROW(Kintoneデータ抽出!$K$2:$K$5000) / ((Kintoneデータ抽出!$K$2:$K$5000="院内")), ROW(A49)))&lt;&gt;0,INDEX(Kintoneデータ抽出!M:M, _xlfn.AGGREGATE(15, 6, ROW(Kintoneデータ抽出!$K$2:$K$5000) / ((Kintoneデータ抽出!$K$2:$K$5000="院内")), ROW(A49))),""), "")</f>
        <v/>
      </c>
      <c r="P86" s="78" t="str">
        <f t="array" ref="P86">IFERROR(IF(INDEX(Kintoneデータ抽出!L:L, _xlfn.AGGREGATE(15, 6, ROW(Kintoneデータ抽出!$K$2:$K$5000) / ((Kintoneデータ抽出!$K$2:$K$5000="院内")), ROW(A49)))&lt;&gt;"",
IF(COUNTIF(INDEX(Kintoneデータ抽出!L:L, _xlfn.AGGREGATE(15, 6, ROW(Kintoneデータ抽出!$K$2:$K$5000) / ((Kintoneデータ抽出!$K$2:$K$5000="院内")), ROW(A49))),"*企業主導型以外*"),"",
IF(COUNTIF(INDEX(Kintoneデータ抽出!L:L, _xlfn.AGGREGATE(15, 6, ROW(Kintoneデータ抽出!$K$2:$K$5000) / ((Kintoneデータ抽出!$K$2:$K$5000="院内")), ROW(A49))),"*その他*"),"",
IF(COUNTIF(INDEX(Kintoneデータ抽出!L:L, _xlfn.AGGREGATE(15, 6, ROW(Kintoneデータ抽出!$K$2:$K$5000) / ((Kintoneデータ抽出!$K$2:$K$5000="院内")), ROW(A49))),"*新制度*"),"新制度","企業主導型"))),""), "")</f>
        <v/>
      </c>
    </row>
    <row r="87" spans="2:16" ht="34.799999999999997" customHeight="1" x14ac:dyDescent="0.45">
      <c r="B87" s="45"/>
      <c r="C87" s="46"/>
      <c r="D87" s="98" t="str">
        <f t="shared" si="1"/>
        <v/>
      </c>
      <c r="E87" s="99"/>
      <c r="F87" s="75" t="str">
        <f t="array" ref="F87">IFERROR(INDEX(Kintoneデータ抽出!A:A, _xlfn.AGGREGATE(15, 6, ROW(Kintoneデータ抽出!$K$2:$K$5000) / ((Kintoneデータ抽出!$K$2:$K$5000="院内")), ROW(A50))), "")</f>
        <v/>
      </c>
      <c r="G87" s="77" t="str">
        <f t="array" ref="G87">IFERROR(INDEX(Kintoneデータ抽出!D:D, _xlfn.AGGREGATE(15, 6, ROW(Kintoneデータ抽出!$K$2:$K$5000) / ((Kintoneデータ抽出!$K$2:$K$5000="院内")), ROW(A50))), "")</f>
        <v/>
      </c>
      <c r="H87" s="77" t="str">
        <f t="array" ref="H87">IFERROR(INDEX(Kintoneデータ抽出!C:C, _xlfn.AGGREGATE(15, 6, ROW(Kintoneデータ抽出!$K$2:$K$5000) / ((Kintoneデータ抽出!$K$2:$K$5000="院内")), ROW(A50))), "")</f>
        <v/>
      </c>
      <c r="I87" s="75" t="str">
        <f t="array" ref="I87">IFERROR(IF(INDEX(Kintoneデータ抽出!G:G, _xlfn.AGGREGATE(15, 6, ROW(Kintoneデータ抽出!$K$2:$K$5000) / ((Kintoneデータ抽出!$K$2:$K$5000="院内")), ROW(A50)))&lt;&gt;"",INDEX(Kintoneデータ抽出!G:G, _xlfn.AGGREGATE(15, 6, ROW(Kintoneデータ抽出!$K$2:$K$5000) / ((Kintoneデータ抽出!$K$2:$K$5000="院内")), ROW(A50)))&amp;"名",""), "")</f>
        <v/>
      </c>
      <c r="J87" s="76" t="str">
        <f t="array" ref="J87">IFERROR(IF(INDEX(Kintoneデータ抽出!E:E, _xlfn.AGGREGATE(15, 6, ROW(Kintoneデータ抽出!$K$2:$K$5000) / ((Kintoneデータ抽出!$K$2:$K$5000="院内")), ROW(A50)))&lt;&gt;"",
YEAR(INDEX(Kintoneデータ抽出!E:E, _xlfn.AGGREGATE(15, 6, ROW(Kintoneデータ抽出!$K$2:$K$5000) / ((Kintoneデータ抽出!$K$2:$K$5000="院内")), ROW(A50))))&amp;"年"
&amp;MONTH(INDEX(Kintoneデータ抽出!E:E, _xlfn.AGGREGATE(15, 6, ROW(Kintoneデータ抽出!$K$2:$K$5000) / ((Kintoneデータ抽出!$K$2:$K$5000="院内")), ROW(A50))))&amp;"月"
&amp;DAY(INDEX(Kintoneデータ抽出!E:E, _xlfn.AGGREGATE(15, 6, ROW(Kintoneデータ抽出!$K$2:$K$5000) /((Kintoneデータ抽出!$K$2:$K$5000="院内")), ROW(A50))))&amp;"日",""), "")</f>
        <v/>
      </c>
      <c r="K87" s="77" t="str" cm="1">
        <f t="array" ref="K87">IFERROR(IF(INDEX(Kintoneデータ抽出!F:F, _xlfn.AGGREGATE(15, 6, ROW(Kintoneデータ抽出!$K$2:$K$5000) / ((Kintoneデータ抽出!$K$2:$K$5000="院内")), ROW(A50)))&lt;&gt;"",
VLOOKUP(INDEX(Kintoneデータ抽出!F:F, _xlfn.AGGREGATE(15, 6, ROW(Kintoneデータ抽出!$K$2:$K$5000) / ((Kintoneデータ抽出!$K$2:$K$5000="院内")), ROW(A50))),基本開園日の表記!$A$2:$B$13,2,FALSE),""), "")</f>
        <v/>
      </c>
      <c r="L87" s="75" t="str">
        <f t="array" ref="L87">IFERROR(IF(INDEX(Kintoneデータ抽出!F:F, _xlfn.AGGREGATE(15, 6, ROW(Kintoneデータ抽出!$K$2:$K$5000) / ((Kintoneデータ抽出!$K$2:$K$5000="院内")), ROW(A50)))&lt;&gt;"",
IF(COUNTIF(INDEX(Kintoneデータ抽出!F:F, _xlfn.AGGREGATE(15, 6, ROW(Kintoneデータ抽出!$K$2:$K$5000) / ((Kintoneデータ抽出!$K$2:$K$5000="院内")), ROW(A50))),"*あり*"),"夜間",""),""), "")</f>
        <v/>
      </c>
      <c r="M87" s="75" t="str">
        <f t="array" ref="M87">IFERROR(IF(INDEX(Kintoneデータ抽出!I:I, _xlfn.AGGREGATE(15, 6, ROW(Kintoneデータ抽出!$K$2:$K$5000) / ((Kintoneデータ抽出!$K$2:$K$5000="院内")), ROW(A50)))&lt;&gt;"",
IF(COUNTIF(INDEX(Kintoneデータ抽出!I:I, _xlfn.AGGREGATE(15, 6, ROW(Kintoneデータ抽出!$K$2:$K$5000) / ((Kintoneデータ抽出!$K$2:$K$5000="院内")), ROW(A50))),"*あり*"),"学童",""),""), "")</f>
        <v/>
      </c>
      <c r="N87" s="75" t="str">
        <f t="array" ref="N87">IFERROR(IF(INDEX(Kintoneデータ抽出!H:H, _xlfn.AGGREGATE(15, 6, ROW(Kintoneデータ抽出!$K$2:$K$5000) / ((Kintoneデータ抽出!$K$2:$K$5000="院内")), ROW(A50)))&lt;&gt;"",
IF(COUNTIF(INDEX(Kintoneデータ抽出!H:H, _xlfn.AGGREGATE(15, 6, ROW(Kintoneデータ抽出!$K$2:$K$5000) / ((Kintoneデータ抽出!$K$2:$K$5000="院内")), ROW(A50))),"*あり*"),"病児",""),""), "")</f>
        <v/>
      </c>
      <c r="O87" s="94" t="str" cm="1">
        <f t="array" ref="O87">IFERROR(
IF(INDEX(Kintoneデータ抽出!M:M, _xlfn.AGGREGATE(15, 6, ROW(Kintoneデータ抽出!$K$2:$K$5000) / ((Kintoneデータ抽出!$K$2:$K$5000="院内")), ROW(A50)))&lt;&gt;0,INDEX(Kintoneデータ抽出!M:M, _xlfn.AGGREGATE(15, 6, ROW(Kintoneデータ抽出!$K$2:$K$5000) / ((Kintoneデータ抽出!$K$2:$K$5000="院内")), ROW(A50))),""), "")</f>
        <v/>
      </c>
      <c r="P87" s="78" t="str">
        <f t="array" ref="P87">IFERROR(IF(INDEX(Kintoneデータ抽出!L:L, _xlfn.AGGREGATE(15, 6, ROW(Kintoneデータ抽出!$K$2:$K$5000) / ((Kintoneデータ抽出!$K$2:$K$5000="院内")), ROW(A50)))&lt;&gt;"",
IF(COUNTIF(INDEX(Kintoneデータ抽出!L:L, _xlfn.AGGREGATE(15, 6, ROW(Kintoneデータ抽出!$K$2:$K$5000) / ((Kintoneデータ抽出!$K$2:$K$5000="院内")), ROW(A50))),"*企業主導型以外*"),"",
IF(COUNTIF(INDEX(Kintoneデータ抽出!L:L, _xlfn.AGGREGATE(15, 6, ROW(Kintoneデータ抽出!$K$2:$K$5000) / ((Kintoneデータ抽出!$K$2:$K$5000="院内")), ROW(A50))),"*その他*"),"",
IF(COUNTIF(INDEX(Kintoneデータ抽出!L:L, _xlfn.AGGREGATE(15, 6, ROW(Kintoneデータ抽出!$K$2:$K$5000) / ((Kintoneデータ抽出!$K$2:$K$5000="院内")), ROW(A50))),"*新制度*"),"新制度","企業主導型"))),""), "")</f>
        <v/>
      </c>
    </row>
    <row r="88" spans="2:16" ht="34.799999999999997" customHeight="1" x14ac:dyDescent="0.45">
      <c r="B88" s="45"/>
      <c r="C88" s="46"/>
      <c r="D88" s="98" t="str">
        <f t="shared" si="1"/>
        <v/>
      </c>
      <c r="E88" s="99"/>
      <c r="F88" s="75" t="str">
        <f t="array" ref="F88">IFERROR(INDEX(Kintoneデータ抽出!A:A, _xlfn.AGGREGATE(15, 6, ROW(Kintoneデータ抽出!$K$2:$K$5000) / ((Kintoneデータ抽出!$K$2:$K$5000="院内")), ROW(A51))), "")</f>
        <v/>
      </c>
      <c r="G88" s="77" t="str">
        <f t="array" ref="G88">IFERROR(INDEX(Kintoneデータ抽出!D:D, _xlfn.AGGREGATE(15, 6, ROW(Kintoneデータ抽出!$K$2:$K$5000) / ((Kintoneデータ抽出!$K$2:$K$5000="院内")), ROW(A51))), "")</f>
        <v/>
      </c>
      <c r="H88" s="77" t="str">
        <f t="array" ref="H88">IFERROR(INDEX(Kintoneデータ抽出!C:C, _xlfn.AGGREGATE(15, 6, ROW(Kintoneデータ抽出!$K$2:$K$5000) / ((Kintoneデータ抽出!$K$2:$K$5000="院内")), ROW(A51))), "")</f>
        <v/>
      </c>
      <c r="I88" s="75" t="str">
        <f t="array" ref="I88">IFERROR(IF(INDEX(Kintoneデータ抽出!G:G, _xlfn.AGGREGATE(15, 6, ROW(Kintoneデータ抽出!$K$2:$K$5000) / ((Kintoneデータ抽出!$K$2:$K$5000="院内")), ROW(A51)))&lt;&gt;"",INDEX(Kintoneデータ抽出!G:G, _xlfn.AGGREGATE(15, 6, ROW(Kintoneデータ抽出!$K$2:$K$5000) / ((Kintoneデータ抽出!$K$2:$K$5000="院内")), ROW(A51)))&amp;"名",""), "")</f>
        <v/>
      </c>
      <c r="J88" s="76" t="str">
        <f t="array" ref="J88">IFERROR(IF(INDEX(Kintoneデータ抽出!E:E, _xlfn.AGGREGATE(15, 6, ROW(Kintoneデータ抽出!$K$2:$K$5000) / ((Kintoneデータ抽出!$K$2:$K$5000="院内")), ROW(A51)))&lt;&gt;"",
YEAR(INDEX(Kintoneデータ抽出!E:E, _xlfn.AGGREGATE(15, 6, ROW(Kintoneデータ抽出!$K$2:$K$5000) / ((Kintoneデータ抽出!$K$2:$K$5000="院内")), ROW(A51))))&amp;"年"
&amp;MONTH(INDEX(Kintoneデータ抽出!E:E, _xlfn.AGGREGATE(15, 6, ROW(Kintoneデータ抽出!$K$2:$K$5000) / ((Kintoneデータ抽出!$K$2:$K$5000="院内")), ROW(A51))))&amp;"月"
&amp;DAY(INDEX(Kintoneデータ抽出!E:E, _xlfn.AGGREGATE(15, 6, ROW(Kintoneデータ抽出!$K$2:$K$5000) /((Kintoneデータ抽出!$K$2:$K$5000="院内")), ROW(A51))))&amp;"日",""), "")</f>
        <v/>
      </c>
      <c r="K88" s="77" t="str" cm="1">
        <f t="array" ref="K88">IFERROR(IF(INDEX(Kintoneデータ抽出!F:F, _xlfn.AGGREGATE(15, 6, ROW(Kintoneデータ抽出!$K$2:$K$5000) / ((Kintoneデータ抽出!$K$2:$K$5000="院内")), ROW(A51)))&lt;&gt;"",
VLOOKUP(INDEX(Kintoneデータ抽出!F:F, _xlfn.AGGREGATE(15, 6, ROW(Kintoneデータ抽出!$K$2:$K$5000) / ((Kintoneデータ抽出!$K$2:$K$5000="院内")), ROW(A51))),基本開園日の表記!$A$2:$B$13,2,FALSE),""), "")</f>
        <v/>
      </c>
      <c r="L88" s="75" t="str">
        <f t="array" ref="L88">IFERROR(IF(INDEX(Kintoneデータ抽出!F:F, _xlfn.AGGREGATE(15, 6, ROW(Kintoneデータ抽出!$K$2:$K$5000) / ((Kintoneデータ抽出!$K$2:$K$5000="院内")), ROW(A51)))&lt;&gt;"",
IF(COUNTIF(INDEX(Kintoneデータ抽出!F:F, _xlfn.AGGREGATE(15, 6, ROW(Kintoneデータ抽出!$K$2:$K$5000) / ((Kintoneデータ抽出!$K$2:$K$5000="院内")), ROW(A51))),"*あり*"),"夜間",""),""), "")</f>
        <v/>
      </c>
      <c r="M88" s="75" t="str">
        <f t="array" ref="M88">IFERROR(IF(INDEX(Kintoneデータ抽出!I:I, _xlfn.AGGREGATE(15, 6, ROW(Kintoneデータ抽出!$K$2:$K$5000) / ((Kintoneデータ抽出!$K$2:$K$5000="院内")), ROW(A51)))&lt;&gt;"",
IF(COUNTIF(INDEX(Kintoneデータ抽出!I:I, _xlfn.AGGREGATE(15, 6, ROW(Kintoneデータ抽出!$K$2:$K$5000) / ((Kintoneデータ抽出!$K$2:$K$5000="院内")), ROW(A51))),"*あり*"),"学童",""),""), "")</f>
        <v/>
      </c>
      <c r="N88" s="75" t="str">
        <f t="array" ref="N88">IFERROR(IF(INDEX(Kintoneデータ抽出!H:H, _xlfn.AGGREGATE(15, 6, ROW(Kintoneデータ抽出!$K$2:$K$5000) / ((Kintoneデータ抽出!$K$2:$K$5000="院内")), ROW(A51)))&lt;&gt;"",
IF(COUNTIF(INDEX(Kintoneデータ抽出!H:H, _xlfn.AGGREGATE(15, 6, ROW(Kintoneデータ抽出!$K$2:$K$5000) / ((Kintoneデータ抽出!$K$2:$K$5000="院内")), ROW(A51))),"*あり*"),"病児",""),""), "")</f>
        <v/>
      </c>
      <c r="O88" s="94" t="str" cm="1">
        <f t="array" ref="O88">IFERROR(
IF(INDEX(Kintoneデータ抽出!M:M, _xlfn.AGGREGATE(15, 6, ROW(Kintoneデータ抽出!$K$2:$K$5000) / ((Kintoneデータ抽出!$K$2:$K$5000="院内")), ROW(A51)))&lt;&gt;0,INDEX(Kintoneデータ抽出!M:M, _xlfn.AGGREGATE(15, 6, ROW(Kintoneデータ抽出!$K$2:$K$5000) / ((Kintoneデータ抽出!$K$2:$K$5000="院内")), ROW(A51))),""), "")</f>
        <v/>
      </c>
      <c r="P88" s="78" t="str">
        <f t="array" ref="P88">IFERROR(IF(INDEX(Kintoneデータ抽出!L:L, _xlfn.AGGREGATE(15, 6, ROW(Kintoneデータ抽出!$K$2:$K$5000) / ((Kintoneデータ抽出!$K$2:$K$5000="院内")), ROW(A51)))&lt;&gt;"",
IF(COUNTIF(INDEX(Kintoneデータ抽出!L:L, _xlfn.AGGREGATE(15, 6, ROW(Kintoneデータ抽出!$K$2:$K$5000) / ((Kintoneデータ抽出!$K$2:$K$5000="院内")), ROW(A51))),"*企業主導型以外*"),"",
IF(COUNTIF(INDEX(Kintoneデータ抽出!L:L, _xlfn.AGGREGATE(15, 6, ROW(Kintoneデータ抽出!$K$2:$K$5000) / ((Kintoneデータ抽出!$K$2:$K$5000="院内")), ROW(A51))),"*その他*"),"",
IF(COUNTIF(INDEX(Kintoneデータ抽出!L:L, _xlfn.AGGREGATE(15, 6, ROW(Kintoneデータ抽出!$K$2:$K$5000) / ((Kintoneデータ抽出!$K$2:$K$5000="院内")), ROW(A51))),"*新制度*"),"新制度","企業主導型"))),""), "")</f>
        <v/>
      </c>
    </row>
    <row r="89" spans="2:16" ht="34.799999999999997" customHeight="1" x14ac:dyDescent="0.45">
      <c r="B89" s="45"/>
      <c r="C89" s="46"/>
      <c r="D89" s="98" t="str">
        <f t="shared" si="1"/>
        <v/>
      </c>
      <c r="E89" s="99"/>
      <c r="F89" s="75" t="str">
        <f t="array" ref="F89">IFERROR(INDEX(Kintoneデータ抽出!A:A, _xlfn.AGGREGATE(15, 6, ROW(Kintoneデータ抽出!$K$2:$K$5000) / ((Kintoneデータ抽出!$K$2:$K$5000="院内")), ROW(A52))), "")</f>
        <v/>
      </c>
      <c r="G89" s="77" t="str">
        <f t="array" ref="G89">IFERROR(INDEX(Kintoneデータ抽出!D:D, _xlfn.AGGREGATE(15, 6, ROW(Kintoneデータ抽出!$K$2:$K$5000) / ((Kintoneデータ抽出!$K$2:$K$5000="院内")), ROW(A52))), "")</f>
        <v/>
      </c>
      <c r="H89" s="77" t="str">
        <f t="array" ref="H89">IFERROR(INDEX(Kintoneデータ抽出!C:C, _xlfn.AGGREGATE(15, 6, ROW(Kintoneデータ抽出!$K$2:$K$5000) / ((Kintoneデータ抽出!$K$2:$K$5000="院内")), ROW(A52))), "")</f>
        <v/>
      </c>
      <c r="I89" s="75" t="str">
        <f t="array" ref="I89">IFERROR(IF(INDEX(Kintoneデータ抽出!G:G, _xlfn.AGGREGATE(15, 6, ROW(Kintoneデータ抽出!$K$2:$K$5000) / ((Kintoneデータ抽出!$K$2:$K$5000="院内")), ROW(A52)))&lt;&gt;"",INDEX(Kintoneデータ抽出!G:G, _xlfn.AGGREGATE(15, 6, ROW(Kintoneデータ抽出!$K$2:$K$5000) / ((Kintoneデータ抽出!$K$2:$K$5000="院内")), ROW(A52)))&amp;"名",""), "")</f>
        <v/>
      </c>
      <c r="J89" s="76" t="str">
        <f t="array" ref="J89">IFERROR(IF(INDEX(Kintoneデータ抽出!E:E, _xlfn.AGGREGATE(15, 6, ROW(Kintoneデータ抽出!$K$2:$K$5000) / ((Kintoneデータ抽出!$K$2:$K$5000="院内")), ROW(A52)))&lt;&gt;"",
YEAR(INDEX(Kintoneデータ抽出!E:E, _xlfn.AGGREGATE(15, 6, ROW(Kintoneデータ抽出!$K$2:$K$5000) / ((Kintoneデータ抽出!$K$2:$K$5000="院内")), ROW(A52))))&amp;"年"
&amp;MONTH(INDEX(Kintoneデータ抽出!E:E, _xlfn.AGGREGATE(15, 6, ROW(Kintoneデータ抽出!$K$2:$K$5000) / ((Kintoneデータ抽出!$K$2:$K$5000="院内")), ROW(A52))))&amp;"月"
&amp;DAY(INDEX(Kintoneデータ抽出!E:E, _xlfn.AGGREGATE(15, 6, ROW(Kintoneデータ抽出!$K$2:$K$5000) /((Kintoneデータ抽出!$K$2:$K$5000="院内")), ROW(A52))))&amp;"日",""), "")</f>
        <v/>
      </c>
      <c r="K89" s="77" t="str" cm="1">
        <f t="array" ref="K89">IFERROR(IF(INDEX(Kintoneデータ抽出!F:F, _xlfn.AGGREGATE(15, 6, ROW(Kintoneデータ抽出!$K$2:$K$5000) / ((Kintoneデータ抽出!$K$2:$K$5000="院内")), ROW(A52)))&lt;&gt;"",
VLOOKUP(INDEX(Kintoneデータ抽出!F:F, _xlfn.AGGREGATE(15, 6, ROW(Kintoneデータ抽出!$K$2:$K$5000) / ((Kintoneデータ抽出!$K$2:$K$5000="院内")), ROW(A52))),基本開園日の表記!$A$2:$B$13,2,FALSE),""), "")</f>
        <v/>
      </c>
      <c r="L89" s="75" t="str">
        <f t="array" ref="L89">IFERROR(IF(INDEX(Kintoneデータ抽出!F:F, _xlfn.AGGREGATE(15, 6, ROW(Kintoneデータ抽出!$K$2:$K$5000) / ((Kintoneデータ抽出!$K$2:$K$5000="院内")), ROW(A52)))&lt;&gt;"",
IF(COUNTIF(INDEX(Kintoneデータ抽出!F:F, _xlfn.AGGREGATE(15, 6, ROW(Kintoneデータ抽出!$K$2:$K$5000) / ((Kintoneデータ抽出!$K$2:$K$5000="院内")), ROW(A52))),"*あり*"),"夜間",""),""), "")</f>
        <v/>
      </c>
      <c r="M89" s="75" t="str">
        <f t="array" ref="M89">IFERROR(IF(INDEX(Kintoneデータ抽出!I:I, _xlfn.AGGREGATE(15, 6, ROW(Kintoneデータ抽出!$K$2:$K$5000) / ((Kintoneデータ抽出!$K$2:$K$5000="院内")), ROW(A52)))&lt;&gt;"",
IF(COUNTIF(INDEX(Kintoneデータ抽出!I:I, _xlfn.AGGREGATE(15, 6, ROW(Kintoneデータ抽出!$K$2:$K$5000) / ((Kintoneデータ抽出!$K$2:$K$5000="院内")), ROW(A52))),"*あり*"),"学童",""),""), "")</f>
        <v/>
      </c>
      <c r="N89" s="75" t="str">
        <f t="array" ref="N89">IFERROR(IF(INDEX(Kintoneデータ抽出!H:H, _xlfn.AGGREGATE(15, 6, ROW(Kintoneデータ抽出!$K$2:$K$5000) / ((Kintoneデータ抽出!$K$2:$K$5000="院内")), ROW(A52)))&lt;&gt;"",
IF(COUNTIF(INDEX(Kintoneデータ抽出!H:H, _xlfn.AGGREGATE(15, 6, ROW(Kintoneデータ抽出!$K$2:$K$5000) / ((Kintoneデータ抽出!$K$2:$K$5000="院内")), ROW(A52))),"*あり*"),"病児",""),""), "")</f>
        <v/>
      </c>
      <c r="O89" s="94" t="str" cm="1">
        <f t="array" ref="O89">IFERROR(
IF(INDEX(Kintoneデータ抽出!M:M, _xlfn.AGGREGATE(15, 6, ROW(Kintoneデータ抽出!$K$2:$K$5000) / ((Kintoneデータ抽出!$K$2:$K$5000="院内")), ROW(A52)))&lt;&gt;0,INDEX(Kintoneデータ抽出!M:M, _xlfn.AGGREGATE(15, 6, ROW(Kintoneデータ抽出!$K$2:$K$5000) / ((Kintoneデータ抽出!$K$2:$K$5000="院内")), ROW(A52))),""), "")</f>
        <v/>
      </c>
      <c r="P89" s="78" t="str">
        <f t="array" ref="P89">IFERROR(IF(INDEX(Kintoneデータ抽出!L:L, _xlfn.AGGREGATE(15, 6, ROW(Kintoneデータ抽出!$K$2:$K$5000) / ((Kintoneデータ抽出!$K$2:$K$5000="院内")), ROW(A52)))&lt;&gt;"",
IF(COUNTIF(INDEX(Kintoneデータ抽出!L:L, _xlfn.AGGREGATE(15, 6, ROW(Kintoneデータ抽出!$K$2:$K$5000) / ((Kintoneデータ抽出!$K$2:$K$5000="院内")), ROW(A52))),"*企業主導型以外*"),"",
IF(COUNTIF(INDEX(Kintoneデータ抽出!L:L, _xlfn.AGGREGATE(15, 6, ROW(Kintoneデータ抽出!$K$2:$K$5000) / ((Kintoneデータ抽出!$K$2:$K$5000="院内")), ROW(A52))),"*その他*"),"",
IF(COUNTIF(INDEX(Kintoneデータ抽出!L:L, _xlfn.AGGREGATE(15, 6, ROW(Kintoneデータ抽出!$K$2:$K$5000) / ((Kintoneデータ抽出!$K$2:$K$5000="院内")), ROW(A52))),"*新制度*"),"新制度","企業主導型"))),""), "")</f>
        <v/>
      </c>
    </row>
    <row r="90" spans="2:16" ht="34.799999999999997" customHeight="1" x14ac:dyDescent="0.45">
      <c r="B90" s="45"/>
      <c r="C90" s="46"/>
      <c r="D90" s="98" t="str">
        <f t="shared" si="1"/>
        <v/>
      </c>
      <c r="E90" s="99"/>
      <c r="F90" s="75" t="str">
        <f t="array" ref="F90">IFERROR(INDEX(Kintoneデータ抽出!A:A, _xlfn.AGGREGATE(15, 6, ROW(Kintoneデータ抽出!$K$2:$K$5000) / ((Kintoneデータ抽出!$K$2:$K$5000="院内")), ROW(A53))), "")</f>
        <v/>
      </c>
      <c r="G90" s="77" t="str">
        <f t="array" ref="G90">IFERROR(INDEX(Kintoneデータ抽出!D:D, _xlfn.AGGREGATE(15, 6, ROW(Kintoneデータ抽出!$K$2:$K$5000) / ((Kintoneデータ抽出!$K$2:$K$5000="院内")), ROW(A53))), "")</f>
        <v/>
      </c>
      <c r="H90" s="77" t="str">
        <f t="array" ref="H90">IFERROR(INDEX(Kintoneデータ抽出!C:C, _xlfn.AGGREGATE(15, 6, ROW(Kintoneデータ抽出!$K$2:$K$5000) / ((Kintoneデータ抽出!$K$2:$K$5000="院内")), ROW(A53))), "")</f>
        <v/>
      </c>
      <c r="I90" s="75" t="str">
        <f t="array" ref="I90">IFERROR(IF(INDEX(Kintoneデータ抽出!G:G, _xlfn.AGGREGATE(15, 6, ROW(Kintoneデータ抽出!$K$2:$K$5000) / ((Kintoneデータ抽出!$K$2:$K$5000="院内")), ROW(A53)))&lt;&gt;"",INDEX(Kintoneデータ抽出!G:G, _xlfn.AGGREGATE(15, 6, ROW(Kintoneデータ抽出!$K$2:$K$5000) / ((Kintoneデータ抽出!$K$2:$K$5000="院内")), ROW(A53)))&amp;"名",""), "")</f>
        <v/>
      </c>
      <c r="J90" s="76" t="str">
        <f t="array" ref="J90">IFERROR(IF(INDEX(Kintoneデータ抽出!E:E, _xlfn.AGGREGATE(15, 6, ROW(Kintoneデータ抽出!$K$2:$K$5000) / ((Kintoneデータ抽出!$K$2:$K$5000="院内")), ROW(A53)))&lt;&gt;"",
YEAR(INDEX(Kintoneデータ抽出!E:E, _xlfn.AGGREGATE(15, 6, ROW(Kintoneデータ抽出!$K$2:$K$5000) / ((Kintoneデータ抽出!$K$2:$K$5000="院内")), ROW(A53))))&amp;"年"
&amp;MONTH(INDEX(Kintoneデータ抽出!E:E, _xlfn.AGGREGATE(15, 6, ROW(Kintoneデータ抽出!$K$2:$K$5000) / ((Kintoneデータ抽出!$K$2:$K$5000="院内")), ROW(A53))))&amp;"月"
&amp;DAY(INDEX(Kintoneデータ抽出!E:E, _xlfn.AGGREGATE(15, 6, ROW(Kintoneデータ抽出!$K$2:$K$5000) /((Kintoneデータ抽出!$K$2:$K$5000="院内")), ROW(A53))))&amp;"日",""), "")</f>
        <v/>
      </c>
      <c r="K90" s="77" t="str" cm="1">
        <f t="array" ref="K90">IFERROR(IF(INDEX(Kintoneデータ抽出!F:F, _xlfn.AGGREGATE(15, 6, ROW(Kintoneデータ抽出!$K$2:$K$5000) / ((Kintoneデータ抽出!$K$2:$K$5000="院内")), ROW(A53)))&lt;&gt;"",
VLOOKUP(INDEX(Kintoneデータ抽出!F:F, _xlfn.AGGREGATE(15, 6, ROW(Kintoneデータ抽出!$K$2:$K$5000) / ((Kintoneデータ抽出!$K$2:$K$5000="院内")), ROW(A53))),基本開園日の表記!$A$2:$B$13,2,FALSE),""), "")</f>
        <v/>
      </c>
      <c r="L90" s="75" t="str">
        <f t="array" ref="L90">IFERROR(IF(INDEX(Kintoneデータ抽出!F:F, _xlfn.AGGREGATE(15, 6, ROW(Kintoneデータ抽出!$K$2:$K$5000) / ((Kintoneデータ抽出!$K$2:$K$5000="院内")), ROW(A53)))&lt;&gt;"",
IF(COUNTIF(INDEX(Kintoneデータ抽出!F:F, _xlfn.AGGREGATE(15, 6, ROW(Kintoneデータ抽出!$K$2:$K$5000) / ((Kintoneデータ抽出!$K$2:$K$5000="院内")), ROW(A53))),"*あり*"),"夜間",""),""), "")</f>
        <v/>
      </c>
      <c r="M90" s="75" t="str">
        <f t="array" ref="M90">IFERROR(IF(INDEX(Kintoneデータ抽出!I:I, _xlfn.AGGREGATE(15, 6, ROW(Kintoneデータ抽出!$K$2:$K$5000) / ((Kintoneデータ抽出!$K$2:$K$5000="院内")), ROW(A53)))&lt;&gt;"",
IF(COUNTIF(INDEX(Kintoneデータ抽出!I:I, _xlfn.AGGREGATE(15, 6, ROW(Kintoneデータ抽出!$K$2:$K$5000) / ((Kintoneデータ抽出!$K$2:$K$5000="院内")), ROW(A53))),"*あり*"),"学童",""),""), "")</f>
        <v/>
      </c>
      <c r="N90" s="75" t="str">
        <f t="array" ref="N90">IFERROR(IF(INDEX(Kintoneデータ抽出!H:H, _xlfn.AGGREGATE(15, 6, ROW(Kintoneデータ抽出!$K$2:$K$5000) / ((Kintoneデータ抽出!$K$2:$K$5000="院内")), ROW(A53)))&lt;&gt;"",
IF(COUNTIF(INDEX(Kintoneデータ抽出!H:H, _xlfn.AGGREGATE(15, 6, ROW(Kintoneデータ抽出!$K$2:$K$5000) / ((Kintoneデータ抽出!$K$2:$K$5000="院内")), ROW(A53))),"*あり*"),"病児",""),""), "")</f>
        <v/>
      </c>
      <c r="O90" s="94" t="str" cm="1">
        <f t="array" ref="O90">IFERROR(
IF(INDEX(Kintoneデータ抽出!M:M, _xlfn.AGGREGATE(15, 6, ROW(Kintoneデータ抽出!$K$2:$K$5000) / ((Kintoneデータ抽出!$K$2:$K$5000="院内")), ROW(A53)))&lt;&gt;0,INDEX(Kintoneデータ抽出!M:M, _xlfn.AGGREGATE(15, 6, ROW(Kintoneデータ抽出!$K$2:$K$5000) / ((Kintoneデータ抽出!$K$2:$K$5000="院内")), ROW(A53))),""), "")</f>
        <v/>
      </c>
      <c r="P90" s="78" t="str">
        <f t="array" ref="P90">IFERROR(IF(INDEX(Kintoneデータ抽出!L:L, _xlfn.AGGREGATE(15, 6, ROW(Kintoneデータ抽出!$K$2:$K$5000) / ((Kintoneデータ抽出!$K$2:$K$5000="院内")), ROW(A53)))&lt;&gt;"",
IF(COUNTIF(INDEX(Kintoneデータ抽出!L:L, _xlfn.AGGREGATE(15, 6, ROW(Kintoneデータ抽出!$K$2:$K$5000) / ((Kintoneデータ抽出!$K$2:$K$5000="院内")), ROW(A53))),"*企業主導型以外*"),"",
IF(COUNTIF(INDEX(Kintoneデータ抽出!L:L, _xlfn.AGGREGATE(15, 6, ROW(Kintoneデータ抽出!$K$2:$K$5000) / ((Kintoneデータ抽出!$K$2:$K$5000="院内")), ROW(A53))),"*その他*"),"",
IF(COUNTIF(INDEX(Kintoneデータ抽出!L:L, _xlfn.AGGREGATE(15, 6, ROW(Kintoneデータ抽出!$K$2:$K$5000) / ((Kintoneデータ抽出!$K$2:$K$5000="院内")), ROW(A53))),"*新制度*"),"新制度","企業主導型"))),""), "")</f>
        <v/>
      </c>
    </row>
    <row r="91" spans="2:16" ht="34.799999999999997" customHeight="1" x14ac:dyDescent="0.45">
      <c r="B91" s="45"/>
      <c r="C91" s="46"/>
      <c r="D91" s="98" t="str">
        <f t="shared" si="1"/>
        <v/>
      </c>
      <c r="E91" s="99"/>
      <c r="F91" s="75" t="str">
        <f t="array" ref="F91">IFERROR(INDEX(Kintoneデータ抽出!A:A, _xlfn.AGGREGATE(15, 6, ROW(Kintoneデータ抽出!$K$2:$K$5000) / ((Kintoneデータ抽出!$K$2:$K$5000="院内")), ROW(A54))), "")</f>
        <v/>
      </c>
      <c r="G91" s="77" t="str">
        <f t="array" ref="G91">IFERROR(INDEX(Kintoneデータ抽出!D:D, _xlfn.AGGREGATE(15, 6, ROW(Kintoneデータ抽出!$K$2:$K$5000) / ((Kintoneデータ抽出!$K$2:$K$5000="院内")), ROW(A54))), "")</f>
        <v/>
      </c>
      <c r="H91" s="77" t="str">
        <f t="array" ref="H91">IFERROR(INDEX(Kintoneデータ抽出!C:C, _xlfn.AGGREGATE(15, 6, ROW(Kintoneデータ抽出!$K$2:$K$5000) / ((Kintoneデータ抽出!$K$2:$K$5000="院内")), ROW(A54))), "")</f>
        <v/>
      </c>
      <c r="I91" s="75" t="str">
        <f t="array" ref="I91">IFERROR(IF(INDEX(Kintoneデータ抽出!G:G, _xlfn.AGGREGATE(15, 6, ROW(Kintoneデータ抽出!$K$2:$K$5000) / ((Kintoneデータ抽出!$K$2:$K$5000="院内")), ROW(A54)))&lt;&gt;"",INDEX(Kintoneデータ抽出!G:G, _xlfn.AGGREGATE(15, 6, ROW(Kintoneデータ抽出!$K$2:$K$5000) / ((Kintoneデータ抽出!$K$2:$K$5000="院内")), ROW(A54)))&amp;"名",""), "")</f>
        <v/>
      </c>
      <c r="J91" s="76" t="str">
        <f t="array" ref="J91">IFERROR(IF(INDEX(Kintoneデータ抽出!E:E, _xlfn.AGGREGATE(15, 6, ROW(Kintoneデータ抽出!$K$2:$K$5000) / ((Kintoneデータ抽出!$K$2:$K$5000="院内")), ROW(A54)))&lt;&gt;"",
YEAR(INDEX(Kintoneデータ抽出!E:E, _xlfn.AGGREGATE(15, 6, ROW(Kintoneデータ抽出!$K$2:$K$5000) / ((Kintoneデータ抽出!$K$2:$K$5000="院内")), ROW(A54))))&amp;"年"
&amp;MONTH(INDEX(Kintoneデータ抽出!E:E, _xlfn.AGGREGATE(15, 6, ROW(Kintoneデータ抽出!$K$2:$K$5000) / ((Kintoneデータ抽出!$K$2:$K$5000="院内")), ROW(A54))))&amp;"月"
&amp;DAY(INDEX(Kintoneデータ抽出!E:E, _xlfn.AGGREGATE(15, 6, ROW(Kintoneデータ抽出!$K$2:$K$5000) /((Kintoneデータ抽出!$K$2:$K$5000="院内")), ROW(A54))))&amp;"日",""), "")</f>
        <v/>
      </c>
      <c r="K91" s="77" t="str" cm="1">
        <f t="array" ref="K91">IFERROR(IF(INDEX(Kintoneデータ抽出!F:F, _xlfn.AGGREGATE(15, 6, ROW(Kintoneデータ抽出!$K$2:$K$5000) / ((Kintoneデータ抽出!$K$2:$K$5000="院内")), ROW(A54)))&lt;&gt;"",
VLOOKUP(INDEX(Kintoneデータ抽出!F:F, _xlfn.AGGREGATE(15, 6, ROW(Kintoneデータ抽出!$K$2:$K$5000) / ((Kintoneデータ抽出!$K$2:$K$5000="院内")), ROW(A54))),基本開園日の表記!$A$2:$B$13,2,FALSE),""), "")</f>
        <v/>
      </c>
      <c r="L91" s="75" t="str">
        <f t="array" ref="L91">IFERROR(IF(INDEX(Kintoneデータ抽出!F:F, _xlfn.AGGREGATE(15, 6, ROW(Kintoneデータ抽出!$K$2:$K$5000) / ((Kintoneデータ抽出!$K$2:$K$5000="院内")), ROW(A54)))&lt;&gt;"",
IF(COUNTIF(INDEX(Kintoneデータ抽出!F:F, _xlfn.AGGREGATE(15, 6, ROW(Kintoneデータ抽出!$K$2:$K$5000) / ((Kintoneデータ抽出!$K$2:$K$5000="院内")), ROW(A54))),"*あり*"),"夜間",""),""), "")</f>
        <v/>
      </c>
      <c r="M91" s="75" t="str">
        <f t="array" ref="M91">IFERROR(IF(INDEX(Kintoneデータ抽出!I:I, _xlfn.AGGREGATE(15, 6, ROW(Kintoneデータ抽出!$K$2:$K$5000) / ((Kintoneデータ抽出!$K$2:$K$5000="院内")), ROW(A54)))&lt;&gt;"",
IF(COUNTIF(INDEX(Kintoneデータ抽出!I:I, _xlfn.AGGREGATE(15, 6, ROW(Kintoneデータ抽出!$K$2:$K$5000) / ((Kintoneデータ抽出!$K$2:$K$5000="院内")), ROW(A54))),"*あり*"),"学童",""),""), "")</f>
        <v/>
      </c>
      <c r="N91" s="75" t="str">
        <f t="array" ref="N91">IFERROR(IF(INDEX(Kintoneデータ抽出!H:H, _xlfn.AGGREGATE(15, 6, ROW(Kintoneデータ抽出!$K$2:$K$5000) / ((Kintoneデータ抽出!$K$2:$K$5000="院内")), ROW(A54)))&lt;&gt;"",
IF(COUNTIF(INDEX(Kintoneデータ抽出!H:H, _xlfn.AGGREGATE(15, 6, ROW(Kintoneデータ抽出!$K$2:$K$5000) / ((Kintoneデータ抽出!$K$2:$K$5000="院内")), ROW(A54))),"*あり*"),"病児",""),""), "")</f>
        <v/>
      </c>
      <c r="O91" s="94" t="str" cm="1">
        <f t="array" ref="O91">IFERROR(
IF(INDEX(Kintoneデータ抽出!M:M, _xlfn.AGGREGATE(15, 6, ROW(Kintoneデータ抽出!$K$2:$K$5000) / ((Kintoneデータ抽出!$K$2:$K$5000="院内")), ROW(A54)))&lt;&gt;0,INDEX(Kintoneデータ抽出!M:M, _xlfn.AGGREGATE(15, 6, ROW(Kintoneデータ抽出!$K$2:$K$5000) / ((Kintoneデータ抽出!$K$2:$K$5000="院内")), ROW(A54))),""), "")</f>
        <v/>
      </c>
      <c r="P91" s="78" t="str">
        <f t="array" ref="P91">IFERROR(IF(INDEX(Kintoneデータ抽出!L:L, _xlfn.AGGREGATE(15, 6, ROW(Kintoneデータ抽出!$K$2:$K$5000) / ((Kintoneデータ抽出!$K$2:$K$5000="院内")), ROW(A54)))&lt;&gt;"",
IF(COUNTIF(INDEX(Kintoneデータ抽出!L:L, _xlfn.AGGREGATE(15, 6, ROW(Kintoneデータ抽出!$K$2:$K$5000) / ((Kintoneデータ抽出!$K$2:$K$5000="院内")), ROW(A54))),"*企業主導型以外*"),"",
IF(COUNTIF(INDEX(Kintoneデータ抽出!L:L, _xlfn.AGGREGATE(15, 6, ROW(Kintoneデータ抽出!$K$2:$K$5000) / ((Kintoneデータ抽出!$K$2:$K$5000="院内")), ROW(A54))),"*その他*"),"",
IF(COUNTIF(INDEX(Kintoneデータ抽出!L:L, _xlfn.AGGREGATE(15, 6, ROW(Kintoneデータ抽出!$K$2:$K$5000) / ((Kintoneデータ抽出!$K$2:$K$5000="院内")), ROW(A54))),"*新制度*"),"新制度","企業主導型"))),""), "")</f>
        <v/>
      </c>
    </row>
    <row r="92" spans="2:16" ht="34.799999999999997" customHeight="1" x14ac:dyDescent="0.45">
      <c r="B92" s="45"/>
      <c r="C92" s="46"/>
      <c r="D92" s="98" t="str">
        <f t="shared" si="1"/>
        <v/>
      </c>
      <c r="E92" s="99"/>
      <c r="F92" s="75" t="str">
        <f t="array" ref="F92">IFERROR(INDEX(Kintoneデータ抽出!A:A, _xlfn.AGGREGATE(15, 6, ROW(Kintoneデータ抽出!$K$2:$K$5000) / ((Kintoneデータ抽出!$K$2:$K$5000="院内")), ROW(A55))), "")</f>
        <v/>
      </c>
      <c r="G92" s="77" t="str">
        <f t="array" ref="G92">IFERROR(INDEX(Kintoneデータ抽出!D:D, _xlfn.AGGREGATE(15, 6, ROW(Kintoneデータ抽出!$K$2:$K$5000) / ((Kintoneデータ抽出!$K$2:$K$5000="院内")), ROW(A55))), "")</f>
        <v/>
      </c>
      <c r="H92" s="77" t="str">
        <f t="array" ref="H92">IFERROR(INDEX(Kintoneデータ抽出!C:C, _xlfn.AGGREGATE(15, 6, ROW(Kintoneデータ抽出!$K$2:$K$5000) / ((Kintoneデータ抽出!$K$2:$K$5000="院内")), ROW(A55))), "")</f>
        <v/>
      </c>
      <c r="I92" s="75" t="str">
        <f t="array" ref="I92">IFERROR(IF(INDEX(Kintoneデータ抽出!G:G, _xlfn.AGGREGATE(15, 6, ROW(Kintoneデータ抽出!$K$2:$K$5000) / ((Kintoneデータ抽出!$K$2:$K$5000="院内")), ROW(A55)))&lt;&gt;"",INDEX(Kintoneデータ抽出!G:G, _xlfn.AGGREGATE(15, 6, ROW(Kintoneデータ抽出!$K$2:$K$5000) / ((Kintoneデータ抽出!$K$2:$K$5000="院内")), ROW(A55)))&amp;"名",""), "")</f>
        <v/>
      </c>
      <c r="J92" s="76" t="str">
        <f t="array" ref="J92">IFERROR(IF(INDEX(Kintoneデータ抽出!E:E, _xlfn.AGGREGATE(15, 6, ROW(Kintoneデータ抽出!$K$2:$K$5000) / ((Kintoneデータ抽出!$K$2:$K$5000="院内")), ROW(A55)))&lt;&gt;"",
YEAR(INDEX(Kintoneデータ抽出!E:E, _xlfn.AGGREGATE(15, 6, ROW(Kintoneデータ抽出!$K$2:$K$5000) / ((Kintoneデータ抽出!$K$2:$K$5000="院内")), ROW(A55))))&amp;"年"
&amp;MONTH(INDEX(Kintoneデータ抽出!E:E, _xlfn.AGGREGATE(15, 6, ROW(Kintoneデータ抽出!$K$2:$K$5000) / ((Kintoneデータ抽出!$K$2:$K$5000="院内")), ROW(A55))))&amp;"月"
&amp;DAY(INDEX(Kintoneデータ抽出!E:E, _xlfn.AGGREGATE(15, 6, ROW(Kintoneデータ抽出!$K$2:$K$5000) /((Kintoneデータ抽出!$K$2:$K$5000="院内")), ROW(A55))))&amp;"日",""), "")</f>
        <v/>
      </c>
      <c r="K92" s="77" t="str" cm="1">
        <f t="array" ref="K92">IFERROR(IF(INDEX(Kintoneデータ抽出!F:F, _xlfn.AGGREGATE(15, 6, ROW(Kintoneデータ抽出!$K$2:$K$5000) / ((Kintoneデータ抽出!$K$2:$K$5000="院内")), ROW(A55)))&lt;&gt;"",
VLOOKUP(INDEX(Kintoneデータ抽出!F:F, _xlfn.AGGREGATE(15, 6, ROW(Kintoneデータ抽出!$K$2:$K$5000) / ((Kintoneデータ抽出!$K$2:$K$5000="院内")), ROW(A55))),基本開園日の表記!$A$2:$B$13,2,FALSE),""), "")</f>
        <v/>
      </c>
      <c r="L92" s="75" t="str">
        <f t="array" ref="L92">IFERROR(IF(INDEX(Kintoneデータ抽出!F:F, _xlfn.AGGREGATE(15, 6, ROW(Kintoneデータ抽出!$K$2:$K$5000) / ((Kintoneデータ抽出!$K$2:$K$5000="院内")), ROW(A55)))&lt;&gt;"",
IF(COUNTIF(INDEX(Kintoneデータ抽出!F:F, _xlfn.AGGREGATE(15, 6, ROW(Kintoneデータ抽出!$K$2:$K$5000) / ((Kintoneデータ抽出!$K$2:$K$5000="院内")), ROW(A55))),"*あり*"),"夜間",""),""), "")</f>
        <v/>
      </c>
      <c r="M92" s="75" t="str">
        <f t="array" ref="M92">IFERROR(IF(INDEX(Kintoneデータ抽出!I:I, _xlfn.AGGREGATE(15, 6, ROW(Kintoneデータ抽出!$K$2:$K$5000) / ((Kintoneデータ抽出!$K$2:$K$5000="院内")), ROW(A55)))&lt;&gt;"",
IF(COUNTIF(INDEX(Kintoneデータ抽出!I:I, _xlfn.AGGREGATE(15, 6, ROW(Kintoneデータ抽出!$K$2:$K$5000) / ((Kintoneデータ抽出!$K$2:$K$5000="院内")), ROW(A55))),"*あり*"),"学童",""),""), "")</f>
        <v/>
      </c>
      <c r="N92" s="75" t="str">
        <f t="array" ref="N92">IFERROR(IF(INDEX(Kintoneデータ抽出!H:H, _xlfn.AGGREGATE(15, 6, ROW(Kintoneデータ抽出!$K$2:$K$5000) / ((Kintoneデータ抽出!$K$2:$K$5000="院内")), ROW(A55)))&lt;&gt;"",
IF(COUNTIF(INDEX(Kintoneデータ抽出!H:H, _xlfn.AGGREGATE(15, 6, ROW(Kintoneデータ抽出!$K$2:$K$5000) / ((Kintoneデータ抽出!$K$2:$K$5000="院内")), ROW(A55))),"*あり*"),"病児",""),""), "")</f>
        <v/>
      </c>
      <c r="O92" s="94" t="str" cm="1">
        <f t="array" ref="O92">IFERROR(
IF(INDEX(Kintoneデータ抽出!M:M, _xlfn.AGGREGATE(15, 6, ROW(Kintoneデータ抽出!$K$2:$K$5000) / ((Kintoneデータ抽出!$K$2:$K$5000="院内")), ROW(A55)))&lt;&gt;0,INDEX(Kintoneデータ抽出!M:M, _xlfn.AGGREGATE(15, 6, ROW(Kintoneデータ抽出!$K$2:$K$5000) / ((Kintoneデータ抽出!$K$2:$K$5000="院内")), ROW(A55))),""), "")</f>
        <v/>
      </c>
      <c r="P92" s="78" t="str">
        <f t="array" ref="P92">IFERROR(IF(INDEX(Kintoneデータ抽出!L:L, _xlfn.AGGREGATE(15, 6, ROW(Kintoneデータ抽出!$K$2:$K$5000) / ((Kintoneデータ抽出!$K$2:$K$5000="院内")), ROW(A55)))&lt;&gt;"",
IF(COUNTIF(INDEX(Kintoneデータ抽出!L:L, _xlfn.AGGREGATE(15, 6, ROW(Kintoneデータ抽出!$K$2:$K$5000) / ((Kintoneデータ抽出!$K$2:$K$5000="院内")), ROW(A55))),"*企業主導型以外*"),"",
IF(COUNTIF(INDEX(Kintoneデータ抽出!L:L, _xlfn.AGGREGATE(15, 6, ROW(Kintoneデータ抽出!$K$2:$K$5000) / ((Kintoneデータ抽出!$K$2:$K$5000="院内")), ROW(A55))),"*その他*"),"",
IF(COUNTIF(INDEX(Kintoneデータ抽出!L:L, _xlfn.AGGREGATE(15, 6, ROW(Kintoneデータ抽出!$K$2:$K$5000) / ((Kintoneデータ抽出!$K$2:$K$5000="院内")), ROW(A55))),"*新制度*"),"新制度","企業主導型"))),""), "")</f>
        <v/>
      </c>
    </row>
    <row r="93" spans="2:16" ht="34.799999999999997" customHeight="1" x14ac:dyDescent="0.45">
      <c r="B93" s="45"/>
      <c r="C93" s="46"/>
      <c r="D93" s="98" t="str">
        <f t="shared" si="1"/>
        <v/>
      </c>
      <c r="E93" s="99"/>
      <c r="F93" s="75" t="str">
        <f t="array" ref="F93">IFERROR(INDEX(Kintoneデータ抽出!A:A, _xlfn.AGGREGATE(15, 6, ROW(Kintoneデータ抽出!$K$2:$K$5000) / ((Kintoneデータ抽出!$K$2:$K$5000="院内")), ROW(A56))), "")</f>
        <v/>
      </c>
      <c r="G93" s="77" t="str">
        <f t="array" ref="G93">IFERROR(INDEX(Kintoneデータ抽出!D:D, _xlfn.AGGREGATE(15, 6, ROW(Kintoneデータ抽出!$K$2:$K$5000) / ((Kintoneデータ抽出!$K$2:$K$5000="院内")), ROW(A56))), "")</f>
        <v/>
      </c>
      <c r="H93" s="77" t="str">
        <f t="array" ref="H93">IFERROR(INDEX(Kintoneデータ抽出!C:C, _xlfn.AGGREGATE(15, 6, ROW(Kintoneデータ抽出!$K$2:$K$5000) / ((Kintoneデータ抽出!$K$2:$K$5000="院内")), ROW(A56))), "")</f>
        <v/>
      </c>
      <c r="I93" s="75" t="str">
        <f t="array" ref="I93">IFERROR(IF(INDEX(Kintoneデータ抽出!G:G, _xlfn.AGGREGATE(15, 6, ROW(Kintoneデータ抽出!$K$2:$K$5000) / ((Kintoneデータ抽出!$K$2:$K$5000="院内")), ROW(A56)))&lt;&gt;"",INDEX(Kintoneデータ抽出!G:G, _xlfn.AGGREGATE(15, 6, ROW(Kintoneデータ抽出!$K$2:$K$5000) / ((Kintoneデータ抽出!$K$2:$K$5000="院内")), ROW(A56)))&amp;"名",""), "")</f>
        <v/>
      </c>
      <c r="J93" s="76" t="str">
        <f t="array" ref="J93">IFERROR(IF(INDEX(Kintoneデータ抽出!E:E, _xlfn.AGGREGATE(15, 6, ROW(Kintoneデータ抽出!$K$2:$K$5000) / ((Kintoneデータ抽出!$K$2:$K$5000="院内")), ROW(A56)))&lt;&gt;"",
YEAR(INDEX(Kintoneデータ抽出!E:E, _xlfn.AGGREGATE(15, 6, ROW(Kintoneデータ抽出!$K$2:$K$5000) / ((Kintoneデータ抽出!$K$2:$K$5000="院内")), ROW(A56))))&amp;"年"
&amp;MONTH(INDEX(Kintoneデータ抽出!E:E, _xlfn.AGGREGATE(15, 6, ROW(Kintoneデータ抽出!$K$2:$K$5000) / ((Kintoneデータ抽出!$K$2:$K$5000="院内")), ROW(A56))))&amp;"月"
&amp;DAY(INDEX(Kintoneデータ抽出!E:E, _xlfn.AGGREGATE(15, 6, ROW(Kintoneデータ抽出!$K$2:$K$5000) /((Kintoneデータ抽出!$K$2:$K$5000="院内")), ROW(A56))))&amp;"日",""), "")</f>
        <v/>
      </c>
      <c r="K93" s="77" t="str" cm="1">
        <f t="array" ref="K93">IFERROR(IF(INDEX(Kintoneデータ抽出!F:F, _xlfn.AGGREGATE(15, 6, ROW(Kintoneデータ抽出!$K$2:$K$5000) / ((Kintoneデータ抽出!$K$2:$K$5000="院内")), ROW(A56)))&lt;&gt;"",
VLOOKUP(INDEX(Kintoneデータ抽出!F:F, _xlfn.AGGREGATE(15, 6, ROW(Kintoneデータ抽出!$K$2:$K$5000) / ((Kintoneデータ抽出!$K$2:$K$5000="院内")), ROW(A56))),基本開園日の表記!$A$2:$B$13,2,FALSE),""), "")</f>
        <v/>
      </c>
      <c r="L93" s="75" t="str">
        <f t="array" ref="L93">IFERROR(IF(INDEX(Kintoneデータ抽出!F:F, _xlfn.AGGREGATE(15, 6, ROW(Kintoneデータ抽出!$K$2:$K$5000) / ((Kintoneデータ抽出!$K$2:$K$5000="院内")), ROW(A56)))&lt;&gt;"",
IF(COUNTIF(INDEX(Kintoneデータ抽出!F:F, _xlfn.AGGREGATE(15, 6, ROW(Kintoneデータ抽出!$K$2:$K$5000) / ((Kintoneデータ抽出!$K$2:$K$5000="院内")), ROW(A56))),"*あり*"),"夜間",""),""), "")</f>
        <v/>
      </c>
      <c r="M93" s="75" t="str">
        <f t="array" ref="M93">IFERROR(IF(INDEX(Kintoneデータ抽出!I:I, _xlfn.AGGREGATE(15, 6, ROW(Kintoneデータ抽出!$K$2:$K$5000) / ((Kintoneデータ抽出!$K$2:$K$5000="院内")), ROW(A56)))&lt;&gt;"",
IF(COUNTIF(INDEX(Kintoneデータ抽出!I:I, _xlfn.AGGREGATE(15, 6, ROW(Kintoneデータ抽出!$K$2:$K$5000) / ((Kintoneデータ抽出!$K$2:$K$5000="院内")), ROW(A56))),"*あり*"),"学童",""),""), "")</f>
        <v/>
      </c>
      <c r="N93" s="75" t="str">
        <f t="array" ref="N93">IFERROR(IF(INDEX(Kintoneデータ抽出!H:H, _xlfn.AGGREGATE(15, 6, ROW(Kintoneデータ抽出!$K$2:$K$5000) / ((Kintoneデータ抽出!$K$2:$K$5000="院内")), ROW(A56)))&lt;&gt;"",
IF(COUNTIF(INDEX(Kintoneデータ抽出!H:H, _xlfn.AGGREGATE(15, 6, ROW(Kintoneデータ抽出!$K$2:$K$5000) / ((Kintoneデータ抽出!$K$2:$K$5000="院内")), ROW(A56))),"*あり*"),"病児",""),""), "")</f>
        <v/>
      </c>
      <c r="O93" s="94" t="str" cm="1">
        <f t="array" ref="O93">IFERROR(
IF(INDEX(Kintoneデータ抽出!M:M, _xlfn.AGGREGATE(15, 6, ROW(Kintoneデータ抽出!$K$2:$K$5000) / ((Kintoneデータ抽出!$K$2:$K$5000="院内")), ROW(A56)))&lt;&gt;0,INDEX(Kintoneデータ抽出!M:M, _xlfn.AGGREGATE(15, 6, ROW(Kintoneデータ抽出!$K$2:$K$5000) / ((Kintoneデータ抽出!$K$2:$K$5000="院内")), ROW(A56))),""), "")</f>
        <v/>
      </c>
      <c r="P93" s="78" t="str">
        <f t="array" ref="P93">IFERROR(IF(INDEX(Kintoneデータ抽出!L:L, _xlfn.AGGREGATE(15, 6, ROW(Kintoneデータ抽出!$K$2:$K$5000) / ((Kintoneデータ抽出!$K$2:$K$5000="院内")), ROW(A56)))&lt;&gt;"",
IF(COUNTIF(INDEX(Kintoneデータ抽出!L:L, _xlfn.AGGREGATE(15, 6, ROW(Kintoneデータ抽出!$K$2:$K$5000) / ((Kintoneデータ抽出!$K$2:$K$5000="院内")), ROW(A56))),"*企業主導型以外*"),"",
IF(COUNTIF(INDEX(Kintoneデータ抽出!L:L, _xlfn.AGGREGATE(15, 6, ROW(Kintoneデータ抽出!$K$2:$K$5000) / ((Kintoneデータ抽出!$K$2:$K$5000="院内")), ROW(A56))),"*その他*"),"",
IF(COUNTIF(INDEX(Kintoneデータ抽出!L:L, _xlfn.AGGREGATE(15, 6, ROW(Kintoneデータ抽出!$K$2:$K$5000) / ((Kintoneデータ抽出!$K$2:$K$5000="院内")), ROW(A56))),"*新制度*"),"新制度","企業主導型"))),""), "")</f>
        <v/>
      </c>
    </row>
    <row r="94" spans="2:16" ht="34.799999999999997" customHeight="1" x14ac:dyDescent="0.45">
      <c r="B94" s="45"/>
      <c r="C94" s="46"/>
      <c r="D94" s="98" t="str">
        <f t="shared" si="1"/>
        <v/>
      </c>
      <c r="E94" s="99"/>
      <c r="F94" s="75" t="str">
        <f t="array" ref="F94">IFERROR(INDEX(Kintoneデータ抽出!A:A, _xlfn.AGGREGATE(15, 6, ROW(Kintoneデータ抽出!$K$2:$K$5000) / ((Kintoneデータ抽出!$K$2:$K$5000="院内")), ROW(A57))), "")</f>
        <v/>
      </c>
      <c r="G94" s="77" t="str">
        <f t="array" ref="G94">IFERROR(INDEX(Kintoneデータ抽出!D:D, _xlfn.AGGREGATE(15, 6, ROW(Kintoneデータ抽出!$K$2:$K$5000) / ((Kintoneデータ抽出!$K$2:$K$5000="院内")), ROW(A57))), "")</f>
        <v/>
      </c>
      <c r="H94" s="77" t="str">
        <f t="array" ref="H94">IFERROR(INDEX(Kintoneデータ抽出!C:C, _xlfn.AGGREGATE(15, 6, ROW(Kintoneデータ抽出!$K$2:$K$5000) / ((Kintoneデータ抽出!$K$2:$K$5000="院内")), ROW(A57))), "")</f>
        <v/>
      </c>
      <c r="I94" s="75" t="str">
        <f t="array" ref="I94">IFERROR(IF(INDEX(Kintoneデータ抽出!G:G, _xlfn.AGGREGATE(15, 6, ROW(Kintoneデータ抽出!$K$2:$K$5000) / ((Kintoneデータ抽出!$K$2:$K$5000="院内")), ROW(A57)))&lt;&gt;"",INDEX(Kintoneデータ抽出!G:G, _xlfn.AGGREGATE(15, 6, ROW(Kintoneデータ抽出!$K$2:$K$5000) / ((Kintoneデータ抽出!$K$2:$K$5000="院内")), ROW(A57)))&amp;"名",""), "")</f>
        <v/>
      </c>
      <c r="J94" s="76" t="str">
        <f t="array" ref="J94">IFERROR(IF(INDEX(Kintoneデータ抽出!E:E, _xlfn.AGGREGATE(15, 6, ROW(Kintoneデータ抽出!$K$2:$K$5000) / ((Kintoneデータ抽出!$K$2:$K$5000="院内")), ROW(A57)))&lt;&gt;"",
YEAR(INDEX(Kintoneデータ抽出!E:E, _xlfn.AGGREGATE(15, 6, ROW(Kintoneデータ抽出!$K$2:$K$5000) / ((Kintoneデータ抽出!$K$2:$K$5000="院内")), ROW(A57))))&amp;"年"
&amp;MONTH(INDEX(Kintoneデータ抽出!E:E, _xlfn.AGGREGATE(15, 6, ROW(Kintoneデータ抽出!$K$2:$K$5000) / ((Kintoneデータ抽出!$K$2:$K$5000="院内")), ROW(A57))))&amp;"月"
&amp;DAY(INDEX(Kintoneデータ抽出!E:E, _xlfn.AGGREGATE(15, 6, ROW(Kintoneデータ抽出!$K$2:$K$5000) /((Kintoneデータ抽出!$K$2:$K$5000="院内")), ROW(A57))))&amp;"日",""), "")</f>
        <v/>
      </c>
      <c r="K94" s="77" t="str" cm="1">
        <f t="array" ref="K94">IFERROR(IF(INDEX(Kintoneデータ抽出!F:F, _xlfn.AGGREGATE(15, 6, ROW(Kintoneデータ抽出!$K$2:$K$5000) / ((Kintoneデータ抽出!$K$2:$K$5000="院内")), ROW(A57)))&lt;&gt;"",
VLOOKUP(INDEX(Kintoneデータ抽出!F:F, _xlfn.AGGREGATE(15, 6, ROW(Kintoneデータ抽出!$K$2:$K$5000) / ((Kintoneデータ抽出!$K$2:$K$5000="院内")), ROW(A57))),基本開園日の表記!$A$2:$B$13,2,FALSE),""), "")</f>
        <v/>
      </c>
      <c r="L94" s="75" t="str">
        <f t="array" ref="L94">IFERROR(IF(INDEX(Kintoneデータ抽出!F:F, _xlfn.AGGREGATE(15, 6, ROW(Kintoneデータ抽出!$K$2:$K$5000) / ((Kintoneデータ抽出!$K$2:$K$5000="院内")), ROW(A57)))&lt;&gt;"",
IF(COUNTIF(INDEX(Kintoneデータ抽出!F:F, _xlfn.AGGREGATE(15, 6, ROW(Kintoneデータ抽出!$K$2:$K$5000) / ((Kintoneデータ抽出!$K$2:$K$5000="院内")), ROW(A57))),"*あり*"),"夜間",""),""), "")</f>
        <v/>
      </c>
      <c r="M94" s="75" t="str">
        <f t="array" ref="M94">IFERROR(IF(INDEX(Kintoneデータ抽出!I:I, _xlfn.AGGREGATE(15, 6, ROW(Kintoneデータ抽出!$K$2:$K$5000) / ((Kintoneデータ抽出!$K$2:$K$5000="院内")), ROW(A57)))&lt;&gt;"",
IF(COUNTIF(INDEX(Kintoneデータ抽出!I:I, _xlfn.AGGREGATE(15, 6, ROW(Kintoneデータ抽出!$K$2:$K$5000) / ((Kintoneデータ抽出!$K$2:$K$5000="院内")), ROW(A57))),"*あり*"),"学童",""),""), "")</f>
        <v/>
      </c>
      <c r="N94" s="75" t="str">
        <f t="array" ref="N94">IFERROR(IF(INDEX(Kintoneデータ抽出!H:H, _xlfn.AGGREGATE(15, 6, ROW(Kintoneデータ抽出!$K$2:$K$5000) / ((Kintoneデータ抽出!$K$2:$K$5000="院内")), ROW(A57)))&lt;&gt;"",
IF(COUNTIF(INDEX(Kintoneデータ抽出!H:H, _xlfn.AGGREGATE(15, 6, ROW(Kintoneデータ抽出!$K$2:$K$5000) / ((Kintoneデータ抽出!$K$2:$K$5000="院内")), ROW(A57))),"*あり*"),"病児",""),""), "")</f>
        <v/>
      </c>
      <c r="O94" s="94" t="str" cm="1">
        <f t="array" ref="O94">IFERROR(
IF(INDEX(Kintoneデータ抽出!M:M, _xlfn.AGGREGATE(15, 6, ROW(Kintoneデータ抽出!$K$2:$K$5000) / ((Kintoneデータ抽出!$K$2:$K$5000="院内")), ROW(A57)))&lt;&gt;0,INDEX(Kintoneデータ抽出!M:M, _xlfn.AGGREGATE(15, 6, ROW(Kintoneデータ抽出!$K$2:$K$5000) / ((Kintoneデータ抽出!$K$2:$K$5000="院内")), ROW(A57))),""), "")</f>
        <v/>
      </c>
      <c r="P94" s="78" t="str">
        <f t="array" ref="P94">IFERROR(IF(INDEX(Kintoneデータ抽出!L:L, _xlfn.AGGREGATE(15, 6, ROW(Kintoneデータ抽出!$K$2:$K$5000) / ((Kintoneデータ抽出!$K$2:$K$5000="院内")), ROW(A57)))&lt;&gt;"",
IF(COUNTIF(INDEX(Kintoneデータ抽出!L:L, _xlfn.AGGREGATE(15, 6, ROW(Kintoneデータ抽出!$K$2:$K$5000) / ((Kintoneデータ抽出!$K$2:$K$5000="院内")), ROW(A57))),"*企業主導型以外*"),"",
IF(COUNTIF(INDEX(Kintoneデータ抽出!L:L, _xlfn.AGGREGATE(15, 6, ROW(Kintoneデータ抽出!$K$2:$K$5000) / ((Kintoneデータ抽出!$K$2:$K$5000="院内")), ROW(A57))),"*その他*"),"",
IF(COUNTIF(INDEX(Kintoneデータ抽出!L:L, _xlfn.AGGREGATE(15, 6, ROW(Kintoneデータ抽出!$K$2:$K$5000) / ((Kintoneデータ抽出!$K$2:$K$5000="院内")), ROW(A57))),"*新制度*"),"新制度","企業主導型"))),""), "")</f>
        <v/>
      </c>
    </row>
    <row r="95" spans="2:16" ht="34.799999999999997" customHeight="1" x14ac:dyDescent="0.45">
      <c r="B95" s="45"/>
      <c r="C95" s="46"/>
      <c r="D95" s="98" t="str">
        <f t="shared" si="1"/>
        <v/>
      </c>
      <c r="E95" s="99"/>
      <c r="F95" s="75" t="str">
        <f t="array" ref="F95">IFERROR(INDEX(Kintoneデータ抽出!A:A, _xlfn.AGGREGATE(15, 6, ROW(Kintoneデータ抽出!$K$2:$K$5000) / ((Kintoneデータ抽出!$K$2:$K$5000="院内")), ROW(A58))), "")</f>
        <v/>
      </c>
      <c r="G95" s="77" t="str">
        <f t="array" ref="G95">IFERROR(INDEX(Kintoneデータ抽出!D:D, _xlfn.AGGREGATE(15, 6, ROW(Kintoneデータ抽出!$K$2:$K$5000) / ((Kintoneデータ抽出!$K$2:$K$5000="院内")), ROW(A58))), "")</f>
        <v/>
      </c>
      <c r="H95" s="77" t="str">
        <f t="array" ref="H95">IFERROR(INDEX(Kintoneデータ抽出!C:C, _xlfn.AGGREGATE(15, 6, ROW(Kintoneデータ抽出!$K$2:$K$5000) / ((Kintoneデータ抽出!$K$2:$K$5000="院内")), ROW(A58))), "")</f>
        <v/>
      </c>
      <c r="I95" s="75" t="str">
        <f t="array" ref="I95">IFERROR(IF(INDEX(Kintoneデータ抽出!G:G, _xlfn.AGGREGATE(15, 6, ROW(Kintoneデータ抽出!$K$2:$K$5000) / ((Kintoneデータ抽出!$K$2:$K$5000="院内")), ROW(A58)))&lt;&gt;"",INDEX(Kintoneデータ抽出!G:G, _xlfn.AGGREGATE(15, 6, ROW(Kintoneデータ抽出!$K$2:$K$5000) / ((Kintoneデータ抽出!$K$2:$K$5000="院内")), ROW(A58)))&amp;"名",""), "")</f>
        <v/>
      </c>
      <c r="J95" s="76" t="str">
        <f t="array" ref="J95">IFERROR(IF(INDEX(Kintoneデータ抽出!E:E, _xlfn.AGGREGATE(15, 6, ROW(Kintoneデータ抽出!$K$2:$K$5000) / ((Kintoneデータ抽出!$K$2:$K$5000="院内")), ROW(A58)))&lt;&gt;"",
YEAR(INDEX(Kintoneデータ抽出!E:E, _xlfn.AGGREGATE(15, 6, ROW(Kintoneデータ抽出!$K$2:$K$5000) / ((Kintoneデータ抽出!$K$2:$K$5000="院内")), ROW(A58))))&amp;"年"
&amp;MONTH(INDEX(Kintoneデータ抽出!E:E, _xlfn.AGGREGATE(15, 6, ROW(Kintoneデータ抽出!$K$2:$K$5000) / ((Kintoneデータ抽出!$K$2:$K$5000="院内")), ROW(A58))))&amp;"月"
&amp;DAY(INDEX(Kintoneデータ抽出!E:E, _xlfn.AGGREGATE(15, 6, ROW(Kintoneデータ抽出!$K$2:$K$5000) /((Kintoneデータ抽出!$K$2:$K$5000="院内")), ROW(A58))))&amp;"日",""), "")</f>
        <v/>
      </c>
      <c r="K95" s="77" t="str" cm="1">
        <f t="array" ref="K95">IFERROR(IF(INDEX(Kintoneデータ抽出!F:F, _xlfn.AGGREGATE(15, 6, ROW(Kintoneデータ抽出!$K$2:$K$5000) / ((Kintoneデータ抽出!$K$2:$K$5000="院内")), ROW(A58)))&lt;&gt;"",
VLOOKUP(INDEX(Kintoneデータ抽出!F:F, _xlfn.AGGREGATE(15, 6, ROW(Kintoneデータ抽出!$K$2:$K$5000) / ((Kintoneデータ抽出!$K$2:$K$5000="院内")), ROW(A58))),基本開園日の表記!$A$2:$B$13,2,FALSE),""), "")</f>
        <v/>
      </c>
      <c r="L95" s="75" t="str">
        <f t="array" ref="L95">IFERROR(IF(INDEX(Kintoneデータ抽出!F:F, _xlfn.AGGREGATE(15, 6, ROW(Kintoneデータ抽出!$K$2:$K$5000) / ((Kintoneデータ抽出!$K$2:$K$5000="院内")), ROW(A58)))&lt;&gt;"",
IF(COUNTIF(INDEX(Kintoneデータ抽出!F:F, _xlfn.AGGREGATE(15, 6, ROW(Kintoneデータ抽出!$K$2:$K$5000) / ((Kintoneデータ抽出!$K$2:$K$5000="院内")), ROW(A58))),"*あり*"),"夜間",""),""), "")</f>
        <v/>
      </c>
      <c r="M95" s="75" t="str">
        <f t="array" ref="M95">IFERROR(IF(INDEX(Kintoneデータ抽出!I:I, _xlfn.AGGREGATE(15, 6, ROW(Kintoneデータ抽出!$K$2:$K$5000) / ((Kintoneデータ抽出!$K$2:$K$5000="院内")), ROW(A58)))&lt;&gt;"",
IF(COUNTIF(INDEX(Kintoneデータ抽出!I:I, _xlfn.AGGREGATE(15, 6, ROW(Kintoneデータ抽出!$K$2:$K$5000) / ((Kintoneデータ抽出!$K$2:$K$5000="院内")), ROW(A58))),"*あり*"),"学童",""),""), "")</f>
        <v/>
      </c>
      <c r="N95" s="75" t="str">
        <f t="array" ref="N95">IFERROR(IF(INDEX(Kintoneデータ抽出!H:H, _xlfn.AGGREGATE(15, 6, ROW(Kintoneデータ抽出!$K$2:$K$5000) / ((Kintoneデータ抽出!$K$2:$K$5000="院内")), ROW(A58)))&lt;&gt;"",
IF(COUNTIF(INDEX(Kintoneデータ抽出!H:H, _xlfn.AGGREGATE(15, 6, ROW(Kintoneデータ抽出!$K$2:$K$5000) / ((Kintoneデータ抽出!$K$2:$K$5000="院内")), ROW(A58))),"*あり*"),"病児",""),""), "")</f>
        <v/>
      </c>
      <c r="O95" s="94" t="str" cm="1">
        <f t="array" ref="O95">IFERROR(
IF(INDEX(Kintoneデータ抽出!M:M, _xlfn.AGGREGATE(15, 6, ROW(Kintoneデータ抽出!$K$2:$K$5000) / ((Kintoneデータ抽出!$K$2:$K$5000="院内")), ROW(A58)))&lt;&gt;0,INDEX(Kintoneデータ抽出!M:M, _xlfn.AGGREGATE(15, 6, ROW(Kintoneデータ抽出!$K$2:$K$5000) / ((Kintoneデータ抽出!$K$2:$K$5000="院内")), ROW(A58))),""), "")</f>
        <v/>
      </c>
      <c r="P95" s="78" t="str">
        <f t="array" ref="P95">IFERROR(IF(INDEX(Kintoneデータ抽出!L:L, _xlfn.AGGREGATE(15, 6, ROW(Kintoneデータ抽出!$K$2:$K$5000) / ((Kintoneデータ抽出!$K$2:$K$5000="院内")), ROW(A58)))&lt;&gt;"",
IF(COUNTIF(INDEX(Kintoneデータ抽出!L:L, _xlfn.AGGREGATE(15, 6, ROW(Kintoneデータ抽出!$K$2:$K$5000) / ((Kintoneデータ抽出!$K$2:$K$5000="院内")), ROW(A58))),"*企業主導型以外*"),"",
IF(COUNTIF(INDEX(Kintoneデータ抽出!L:L, _xlfn.AGGREGATE(15, 6, ROW(Kintoneデータ抽出!$K$2:$K$5000) / ((Kintoneデータ抽出!$K$2:$K$5000="院内")), ROW(A58))),"*その他*"),"",
IF(COUNTIF(INDEX(Kintoneデータ抽出!L:L, _xlfn.AGGREGATE(15, 6, ROW(Kintoneデータ抽出!$K$2:$K$5000) / ((Kintoneデータ抽出!$K$2:$K$5000="院内")), ROW(A58))),"*新制度*"),"新制度","企業主導型"))),""), "")</f>
        <v/>
      </c>
    </row>
    <row r="96" spans="2:16" ht="34.799999999999997" customHeight="1" x14ac:dyDescent="0.45">
      <c r="B96" s="45"/>
      <c r="C96" s="46"/>
      <c r="D96" s="98" t="str">
        <f t="shared" si="1"/>
        <v/>
      </c>
      <c r="E96" s="99"/>
      <c r="F96" s="75" t="str">
        <f t="array" ref="F96">IFERROR(INDEX(Kintoneデータ抽出!A:A, _xlfn.AGGREGATE(15, 6, ROW(Kintoneデータ抽出!$K$2:$K$5000) / ((Kintoneデータ抽出!$K$2:$K$5000="院内")), ROW(A59))), "")</f>
        <v/>
      </c>
      <c r="G96" s="77" t="str">
        <f t="array" ref="G96">IFERROR(INDEX(Kintoneデータ抽出!D:D, _xlfn.AGGREGATE(15, 6, ROW(Kintoneデータ抽出!$K$2:$K$5000) / ((Kintoneデータ抽出!$K$2:$K$5000="院内")), ROW(A59))), "")</f>
        <v/>
      </c>
      <c r="H96" s="77" t="str">
        <f t="array" ref="H96">IFERROR(INDEX(Kintoneデータ抽出!C:C, _xlfn.AGGREGATE(15, 6, ROW(Kintoneデータ抽出!$K$2:$K$5000) / ((Kintoneデータ抽出!$K$2:$K$5000="院内")), ROW(A59))), "")</f>
        <v/>
      </c>
      <c r="I96" s="75" t="str">
        <f t="array" ref="I96">IFERROR(IF(INDEX(Kintoneデータ抽出!G:G, _xlfn.AGGREGATE(15, 6, ROW(Kintoneデータ抽出!$K$2:$K$5000) / ((Kintoneデータ抽出!$K$2:$K$5000="院内")), ROW(A59)))&lt;&gt;"",INDEX(Kintoneデータ抽出!G:G, _xlfn.AGGREGATE(15, 6, ROW(Kintoneデータ抽出!$K$2:$K$5000) / ((Kintoneデータ抽出!$K$2:$K$5000="院内")), ROW(A59)))&amp;"名",""), "")</f>
        <v/>
      </c>
      <c r="J96" s="76" t="str">
        <f t="array" ref="J96">IFERROR(IF(INDEX(Kintoneデータ抽出!E:E, _xlfn.AGGREGATE(15, 6, ROW(Kintoneデータ抽出!$K$2:$K$5000) / ((Kintoneデータ抽出!$K$2:$K$5000="院内")), ROW(A59)))&lt;&gt;"",
YEAR(INDEX(Kintoneデータ抽出!E:E, _xlfn.AGGREGATE(15, 6, ROW(Kintoneデータ抽出!$K$2:$K$5000) / ((Kintoneデータ抽出!$K$2:$K$5000="院内")), ROW(A59))))&amp;"年"
&amp;MONTH(INDEX(Kintoneデータ抽出!E:E, _xlfn.AGGREGATE(15, 6, ROW(Kintoneデータ抽出!$K$2:$K$5000) / ((Kintoneデータ抽出!$K$2:$K$5000="院内")), ROW(A59))))&amp;"月"
&amp;DAY(INDEX(Kintoneデータ抽出!E:E, _xlfn.AGGREGATE(15, 6, ROW(Kintoneデータ抽出!$K$2:$K$5000) /((Kintoneデータ抽出!$K$2:$K$5000="院内")), ROW(A59))))&amp;"日",""), "")</f>
        <v/>
      </c>
      <c r="K96" s="77" t="str" cm="1">
        <f t="array" ref="K96">IFERROR(IF(INDEX(Kintoneデータ抽出!F:F, _xlfn.AGGREGATE(15, 6, ROW(Kintoneデータ抽出!$K$2:$K$5000) / ((Kintoneデータ抽出!$K$2:$K$5000="院内")), ROW(A59)))&lt;&gt;"",
VLOOKUP(INDEX(Kintoneデータ抽出!F:F, _xlfn.AGGREGATE(15, 6, ROW(Kintoneデータ抽出!$K$2:$K$5000) / ((Kintoneデータ抽出!$K$2:$K$5000="院内")), ROW(A59))),基本開園日の表記!$A$2:$B$13,2,FALSE),""), "")</f>
        <v/>
      </c>
      <c r="L96" s="75" t="str">
        <f t="array" ref="L96">IFERROR(IF(INDEX(Kintoneデータ抽出!F:F, _xlfn.AGGREGATE(15, 6, ROW(Kintoneデータ抽出!$K$2:$K$5000) / ((Kintoneデータ抽出!$K$2:$K$5000="院内")), ROW(A59)))&lt;&gt;"",
IF(COUNTIF(INDEX(Kintoneデータ抽出!F:F, _xlfn.AGGREGATE(15, 6, ROW(Kintoneデータ抽出!$K$2:$K$5000) / ((Kintoneデータ抽出!$K$2:$K$5000="院内")), ROW(A59))),"*あり*"),"夜間",""),""), "")</f>
        <v/>
      </c>
      <c r="M96" s="75" t="str">
        <f t="array" ref="M96">IFERROR(IF(INDEX(Kintoneデータ抽出!I:I, _xlfn.AGGREGATE(15, 6, ROW(Kintoneデータ抽出!$K$2:$K$5000) / ((Kintoneデータ抽出!$K$2:$K$5000="院内")), ROW(A59)))&lt;&gt;"",
IF(COUNTIF(INDEX(Kintoneデータ抽出!I:I, _xlfn.AGGREGATE(15, 6, ROW(Kintoneデータ抽出!$K$2:$K$5000) / ((Kintoneデータ抽出!$K$2:$K$5000="院内")), ROW(A59))),"*あり*"),"学童",""),""), "")</f>
        <v/>
      </c>
      <c r="N96" s="75" t="str">
        <f t="array" ref="N96">IFERROR(IF(INDEX(Kintoneデータ抽出!H:H, _xlfn.AGGREGATE(15, 6, ROW(Kintoneデータ抽出!$K$2:$K$5000) / ((Kintoneデータ抽出!$K$2:$K$5000="院内")), ROW(A59)))&lt;&gt;"",
IF(COUNTIF(INDEX(Kintoneデータ抽出!H:H, _xlfn.AGGREGATE(15, 6, ROW(Kintoneデータ抽出!$K$2:$K$5000) / ((Kintoneデータ抽出!$K$2:$K$5000="院内")), ROW(A59))),"*あり*"),"病児",""),""), "")</f>
        <v/>
      </c>
      <c r="O96" s="94" t="str" cm="1">
        <f t="array" ref="O96">IFERROR(
IF(INDEX(Kintoneデータ抽出!M:M, _xlfn.AGGREGATE(15, 6, ROW(Kintoneデータ抽出!$K$2:$K$5000) / ((Kintoneデータ抽出!$K$2:$K$5000="院内")), ROW(A59)))&lt;&gt;0,INDEX(Kintoneデータ抽出!M:M, _xlfn.AGGREGATE(15, 6, ROW(Kintoneデータ抽出!$K$2:$K$5000) / ((Kintoneデータ抽出!$K$2:$K$5000="院内")), ROW(A59))),""), "")</f>
        <v/>
      </c>
      <c r="P96" s="78" t="str">
        <f t="array" ref="P96">IFERROR(IF(INDEX(Kintoneデータ抽出!L:L, _xlfn.AGGREGATE(15, 6, ROW(Kintoneデータ抽出!$K$2:$K$5000) / ((Kintoneデータ抽出!$K$2:$K$5000="院内")), ROW(A59)))&lt;&gt;"",
IF(COUNTIF(INDEX(Kintoneデータ抽出!L:L, _xlfn.AGGREGATE(15, 6, ROW(Kintoneデータ抽出!$K$2:$K$5000) / ((Kintoneデータ抽出!$K$2:$K$5000="院内")), ROW(A59))),"*企業主導型以外*"),"",
IF(COUNTIF(INDEX(Kintoneデータ抽出!L:L, _xlfn.AGGREGATE(15, 6, ROW(Kintoneデータ抽出!$K$2:$K$5000) / ((Kintoneデータ抽出!$K$2:$K$5000="院内")), ROW(A59))),"*その他*"),"",
IF(COUNTIF(INDEX(Kintoneデータ抽出!L:L, _xlfn.AGGREGATE(15, 6, ROW(Kintoneデータ抽出!$K$2:$K$5000) / ((Kintoneデータ抽出!$K$2:$K$5000="院内")), ROW(A59))),"*新制度*"),"新制度","企業主導型"))),""), "")</f>
        <v/>
      </c>
    </row>
    <row r="97" spans="2:16" ht="34.799999999999997" customHeight="1" x14ac:dyDescent="0.45">
      <c r="B97" s="45"/>
      <c r="C97" s="46"/>
      <c r="D97" s="98" t="str">
        <f t="shared" si="1"/>
        <v/>
      </c>
      <c r="E97" s="99"/>
      <c r="F97" s="75" t="str">
        <f t="array" ref="F97">IFERROR(INDEX(Kintoneデータ抽出!A:A, _xlfn.AGGREGATE(15, 6, ROW(Kintoneデータ抽出!$K$2:$K$5000) / ((Kintoneデータ抽出!$K$2:$K$5000="院内")), ROW(A60))), "")</f>
        <v/>
      </c>
      <c r="G97" s="77" t="str">
        <f t="array" ref="G97">IFERROR(INDEX(Kintoneデータ抽出!D:D, _xlfn.AGGREGATE(15, 6, ROW(Kintoneデータ抽出!$K$2:$K$5000) / ((Kintoneデータ抽出!$K$2:$K$5000="院内")), ROW(A60))), "")</f>
        <v/>
      </c>
      <c r="H97" s="77" t="str">
        <f t="array" ref="H97">IFERROR(INDEX(Kintoneデータ抽出!C:C, _xlfn.AGGREGATE(15, 6, ROW(Kintoneデータ抽出!$K$2:$K$5000) / ((Kintoneデータ抽出!$K$2:$K$5000="院内")), ROW(A60))), "")</f>
        <v/>
      </c>
      <c r="I97" s="75" t="str">
        <f t="array" ref="I97">IFERROR(IF(INDEX(Kintoneデータ抽出!G:G, _xlfn.AGGREGATE(15, 6, ROW(Kintoneデータ抽出!$K$2:$K$5000) / ((Kintoneデータ抽出!$K$2:$K$5000="院内")), ROW(A60)))&lt;&gt;"",INDEX(Kintoneデータ抽出!G:G, _xlfn.AGGREGATE(15, 6, ROW(Kintoneデータ抽出!$K$2:$K$5000) / ((Kintoneデータ抽出!$K$2:$K$5000="院内")), ROW(A60)))&amp;"名",""), "")</f>
        <v/>
      </c>
      <c r="J97" s="76" t="str">
        <f t="array" ref="J97">IFERROR(IF(INDEX(Kintoneデータ抽出!E:E, _xlfn.AGGREGATE(15, 6, ROW(Kintoneデータ抽出!$K$2:$K$5000) / ((Kintoneデータ抽出!$K$2:$K$5000="院内")), ROW(A60)))&lt;&gt;"",
YEAR(INDEX(Kintoneデータ抽出!E:E, _xlfn.AGGREGATE(15, 6, ROW(Kintoneデータ抽出!$K$2:$K$5000) / ((Kintoneデータ抽出!$K$2:$K$5000="院内")), ROW(A60))))&amp;"年"
&amp;MONTH(INDEX(Kintoneデータ抽出!E:E, _xlfn.AGGREGATE(15, 6, ROW(Kintoneデータ抽出!$K$2:$K$5000) / ((Kintoneデータ抽出!$K$2:$K$5000="院内")), ROW(A60))))&amp;"月"
&amp;DAY(INDEX(Kintoneデータ抽出!E:E, _xlfn.AGGREGATE(15, 6, ROW(Kintoneデータ抽出!$K$2:$K$5000) /((Kintoneデータ抽出!$K$2:$K$5000="院内")), ROW(A60))))&amp;"日",""), "")</f>
        <v/>
      </c>
      <c r="K97" s="77" t="str" cm="1">
        <f t="array" ref="K97">IFERROR(IF(INDEX(Kintoneデータ抽出!F:F, _xlfn.AGGREGATE(15, 6, ROW(Kintoneデータ抽出!$K$2:$K$5000) / ((Kintoneデータ抽出!$K$2:$K$5000="院内")), ROW(A60)))&lt;&gt;"",
VLOOKUP(INDEX(Kintoneデータ抽出!F:F, _xlfn.AGGREGATE(15, 6, ROW(Kintoneデータ抽出!$K$2:$K$5000) / ((Kintoneデータ抽出!$K$2:$K$5000="院内")), ROW(A60))),基本開園日の表記!$A$2:$B$13,2,FALSE),""), "")</f>
        <v/>
      </c>
      <c r="L97" s="75" t="str">
        <f t="array" ref="L97">IFERROR(IF(INDEX(Kintoneデータ抽出!F:F, _xlfn.AGGREGATE(15, 6, ROW(Kintoneデータ抽出!$K$2:$K$5000) / ((Kintoneデータ抽出!$K$2:$K$5000="院内")), ROW(A60)))&lt;&gt;"",
IF(COUNTIF(INDEX(Kintoneデータ抽出!F:F, _xlfn.AGGREGATE(15, 6, ROW(Kintoneデータ抽出!$K$2:$K$5000) / ((Kintoneデータ抽出!$K$2:$K$5000="院内")), ROW(A60))),"*あり*"),"夜間",""),""), "")</f>
        <v/>
      </c>
      <c r="M97" s="75" t="str">
        <f t="array" ref="M97">IFERROR(IF(INDEX(Kintoneデータ抽出!I:I, _xlfn.AGGREGATE(15, 6, ROW(Kintoneデータ抽出!$K$2:$K$5000) / ((Kintoneデータ抽出!$K$2:$K$5000="院内")), ROW(A60)))&lt;&gt;"",
IF(COUNTIF(INDEX(Kintoneデータ抽出!I:I, _xlfn.AGGREGATE(15, 6, ROW(Kintoneデータ抽出!$K$2:$K$5000) / ((Kintoneデータ抽出!$K$2:$K$5000="院内")), ROW(A60))),"*あり*"),"学童",""),""), "")</f>
        <v/>
      </c>
      <c r="N97" s="75" t="str">
        <f t="array" ref="N97">IFERROR(IF(INDEX(Kintoneデータ抽出!H:H, _xlfn.AGGREGATE(15, 6, ROW(Kintoneデータ抽出!$K$2:$K$5000) / ((Kintoneデータ抽出!$K$2:$K$5000="院内")), ROW(A60)))&lt;&gt;"",
IF(COUNTIF(INDEX(Kintoneデータ抽出!H:H, _xlfn.AGGREGATE(15, 6, ROW(Kintoneデータ抽出!$K$2:$K$5000) / ((Kintoneデータ抽出!$K$2:$K$5000="院内")), ROW(A60))),"*あり*"),"病児",""),""), "")</f>
        <v/>
      </c>
      <c r="O97" s="94" t="str" cm="1">
        <f t="array" ref="O97">IFERROR(
IF(INDEX(Kintoneデータ抽出!M:M, _xlfn.AGGREGATE(15, 6, ROW(Kintoneデータ抽出!$K$2:$K$5000) / ((Kintoneデータ抽出!$K$2:$K$5000="院内")), ROW(A60)))&lt;&gt;0,INDEX(Kintoneデータ抽出!M:M, _xlfn.AGGREGATE(15, 6, ROW(Kintoneデータ抽出!$K$2:$K$5000) / ((Kintoneデータ抽出!$K$2:$K$5000="院内")), ROW(A60))),""), "")</f>
        <v/>
      </c>
      <c r="P97" s="78" t="str">
        <f t="array" ref="P97">IFERROR(IF(INDEX(Kintoneデータ抽出!L:L, _xlfn.AGGREGATE(15, 6, ROW(Kintoneデータ抽出!$K$2:$K$5000) / ((Kintoneデータ抽出!$K$2:$K$5000="院内")), ROW(A60)))&lt;&gt;"",
IF(COUNTIF(INDEX(Kintoneデータ抽出!L:L, _xlfn.AGGREGATE(15, 6, ROW(Kintoneデータ抽出!$K$2:$K$5000) / ((Kintoneデータ抽出!$K$2:$K$5000="院内")), ROW(A60))),"*企業主導型以外*"),"",
IF(COUNTIF(INDEX(Kintoneデータ抽出!L:L, _xlfn.AGGREGATE(15, 6, ROW(Kintoneデータ抽出!$K$2:$K$5000) / ((Kintoneデータ抽出!$K$2:$K$5000="院内")), ROW(A60))),"*その他*"),"",
IF(COUNTIF(INDEX(Kintoneデータ抽出!L:L, _xlfn.AGGREGATE(15, 6, ROW(Kintoneデータ抽出!$K$2:$K$5000) / ((Kintoneデータ抽出!$K$2:$K$5000="院内")), ROW(A60))),"*新制度*"),"新制度","企業主導型"))),""), "")</f>
        <v/>
      </c>
    </row>
    <row r="98" spans="2:16" ht="34.799999999999997" customHeight="1" x14ac:dyDescent="0.45">
      <c r="B98" s="45"/>
      <c r="C98" s="46"/>
      <c r="D98" s="98" t="str">
        <f t="shared" si="1"/>
        <v/>
      </c>
      <c r="E98" s="99"/>
      <c r="F98" s="75" t="str">
        <f t="array" ref="F98">IFERROR(INDEX(Kintoneデータ抽出!A:A, _xlfn.AGGREGATE(15, 6, ROW(Kintoneデータ抽出!$K$2:$K$5000) / ((Kintoneデータ抽出!$K$2:$K$5000="院内")), ROW(A61))), "")</f>
        <v/>
      </c>
      <c r="G98" s="77" t="str">
        <f t="array" ref="G98">IFERROR(INDEX(Kintoneデータ抽出!D:D, _xlfn.AGGREGATE(15, 6, ROW(Kintoneデータ抽出!$K$2:$K$5000) / ((Kintoneデータ抽出!$K$2:$K$5000="院内")), ROW(A61))), "")</f>
        <v/>
      </c>
      <c r="H98" s="77" t="str">
        <f t="array" ref="H98">IFERROR(INDEX(Kintoneデータ抽出!C:C, _xlfn.AGGREGATE(15, 6, ROW(Kintoneデータ抽出!$K$2:$K$5000) / ((Kintoneデータ抽出!$K$2:$K$5000="院内")), ROW(A61))), "")</f>
        <v/>
      </c>
      <c r="I98" s="75" t="str">
        <f t="array" ref="I98">IFERROR(IF(INDEX(Kintoneデータ抽出!G:G, _xlfn.AGGREGATE(15, 6, ROW(Kintoneデータ抽出!$K$2:$K$5000) / ((Kintoneデータ抽出!$K$2:$K$5000="院内")), ROW(A61)))&lt;&gt;"",INDEX(Kintoneデータ抽出!G:G, _xlfn.AGGREGATE(15, 6, ROW(Kintoneデータ抽出!$K$2:$K$5000) / ((Kintoneデータ抽出!$K$2:$K$5000="院内")), ROW(A61)))&amp;"名",""), "")</f>
        <v/>
      </c>
      <c r="J98" s="76" t="str">
        <f t="array" ref="J98">IFERROR(IF(INDEX(Kintoneデータ抽出!E:E, _xlfn.AGGREGATE(15, 6, ROW(Kintoneデータ抽出!$K$2:$K$5000) / ((Kintoneデータ抽出!$K$2:$K$5000="院内")), ROW(A61)))&lt;&gt;"",
YEAR(INDEX(Kintoneデータ抽出!E:E, _xlfn.AGGREGATE(15, 6, ROW(Kintoneデータ抽出!$K$2:$K$5000) / ((Kintoneデータ抽出!$K$2:$K$5000="院内")), ROW(A61))))&amp;"年"
&amp;MONTH(INDEX(Kintoneデータ抽出!E:E, _xlfn.AGGREGATE(15, 6, ROW(Kintoneデータ抽出!$K$2:$K$5000) / ((Kintoneデータ抽出!$K$2:$K$5000="院内")), ROW(A61))))&amp;"月"
&amp;DAY(INDEX(Kintoneデータ抽出!E:E, _xlfn.AGGREGATE(15, 6, ROW(Kintoneデータ抽出!$K$2:$K$5000) /((Kintoneデータ抽出!$K$2:$K$5000="院内")), ROW(A61))))&amp;"日",""), "")</f>
        <v/>
      </c>
      <c r="K98" s="77" t="str" cm="1">
        <f t="array" ref="K98">IFERROR(IF(INDEX(Kintoneデータ抽出!F:F, _xlfn.AGGREGATE(15, 6, ROW(Kintoneデータ抽出!$K$2:$K$5000) / ((Kintoneデータ抽出!$K$2:$K$5000="院内")), ROW(A61)))&lt;&gt;"",
VLOOKUP(INDEX(Kintoneデータ抽出!F:F, _xlfn.AGGREGATE(15, 6, ROW(Kintoneデータ抽出!$K$2:$K$5000) / ((Kintoneデータ抽出!$K$2:$K$5000="院内")), ROW(A61))),基本開園日の表記!$A$2:$B$13,2,FALSE),""), "")</f>
        <v/>
      </c>
      <c r="L98" s="75" t="str">
        <f t="array" ref="L98">IFERROR(IF(INDEX(Kintoneデータ抽出!F:F, _xlfn.AGGREGATE(15, 6, ROW(Kintoneデータ抽出!$K$2:$K$5000) / ((Kintoneデータ抽出!$K$2:$K$5000="院内")), ROW(A61)))&lt;&gt;"",
IF(COUNTIF(INDEX(Kintoneデータ抽出!F:F, _xlfn.AGGREGATE(15, 6, ROW(Kintoneデータ抽出!$K$2:$K$5000) / ((Kintoneデータ抽出!$K$2:$K$5000="院内")), ROW(A61))),"*あり*"),"夜間",""),""), "")</f>
        <v/>
      </c>
      <c r="M98" s="75" t="str">
        <f t="array" ref="M98">IFERROR(IF(INDEX(Kintoneデータ抽出!I:I, _xlfn.AGGREGATE(15, 6, ROW(Kintoneデータ抽出!$K$2:$K$5000) / ((Kintoneデータ抽出!$K$2:$K$5000="院内")), ROW(A61)))&lt;&gt;"",
IF(COUNTIF(INDEX(Kintoneデータ抽出!I:I, _xlfn.AGGREGATE(15, 6, ROW(Kintoneデータ抽出!$K$2:$K$5000) / ((Kintoneデータ抽出!$K$2:$K$5000="院内")), ROW(A61))),"*あり*"),"学童",""),""), "")</f>
        <v/>
      </c>
      <c r="N98" s="75" t="str">
        <f t="array" ref="N98">IFERROR(IF(INDEX(Kintoneデータ抽出!H:H, _xlfn.AGGREGATE(15, 6, ROW(Kintoneデータ抽出!$K$2:$K$5000) / ((Kintoneデータ抽出!$K$2:$K$5000="院内")), ROW(A61)))&lt;&gt;"",
IF(COUNTIF(INDEX(Kintoneデータ抽出!H:H, _xlfn.AGGREGATE(15, 6, ROW(Kintoneデータ抽出!$K$2:$K$5000) / ((Kintoneデータ抽出!$K$2:$K$5000="院内")), ROW(A61))),"*あり*"),"病児",""),""), "")</f>
        <v/>
      </c>
      <c r="O98" s="94" t="str" cm="1">
        <f t="array" ref="O98">IFERROR(
IF(INDEX(Kintoneデータ抽出!M:M, _xlfn.AGGREGATE(15, 6, ROW(Kintoneデータ抽出!$K$2:$K$5000) / ((Kintoneデータ抽出!$K$2:$K$5000="院内")), ROW(A61)))&lt;&gt;0,INDEX(Kintoneデータ抽出!M:M, _xlfn.AGGREGATE(15, 6, ROW(Kintoneデータ抽出!$K$2:$K$5000) / ((Kintoneデータ抽出!$K$2:$K$5000="院内")), ROW(A61))),""), "")</f>
        <v/>
      </c>
      <c r="P98" s="78" t="str">
        <f t="array" ref="P98">IFERROR(IF(INDEX(Kintoneデータ抽出!L:L, _xlfn.AGGREGATE(15, 6, ROW(Kintoneデータ抽出!$K$2:$K$5000) / ((Kintoneデータ抽出!$K$2:$K$5000="院内")), ROW(A61)))&lt;&gt;"",
IF(COUNTIF(INDEX(Kintoneデータ抽出!L:L, _xlfn.AGGREGATE(15, 6, ROW(Kintoneデータ抽出!$K$2:$K$5000) / ((Kintoneデータ抽出!$K$2:$K$5000="院内")), ROW(A61))),"*企業主導型以外*"),"",
IF(COUNTIF(INDEX(Kintoneデータ抽出!L:L, _xlfn.AGGREGATE(15, 6, ROW(Kintoneデータ抽出!$K$2:$K$5000) / ((Kintoneデータ抽出!$K$2:$K$5000="院内")), ROW(A61))),"*その他*"),"",
IF(COUNTIF(INDEX(Kintoneデータ抽出!L:L, _xlfn.AGGREGATE(15, 6, ROW(Kintoneデータ抽出!$K$2:$K$5000) / ((Kintoneデータ抽出!$K$2:$K$5000="院内")), ROW(A61))),"*新制度*"),"新制度","企業主導型"))),""), "")</f>
        <v/>
      </c>
    </row>
    <row r="99" spans="2:16" ht="34.799999999999997" customHeight="1" x14ac:dyDescent="0.45">
      <c r="B99" s="45"/>
      <c r="C99" s="46"/>
      <c r="D99" s="98" t="str">
        <f t="shared" si="1"/>
        <v/>
      </c>
      <c r="E99" s="99"/>
      <c r="F99" s="75" t="str">
        <f t="array" ref="F99">IFERROR(INDEX(Kintoneデータ抽出!A:A, _xlfn.AGGREGATE(15, 6, ROW(Kintoneデータ抽出!$K$2:$K$5000) / ((Kintoneデータ抽出!$K$2:$K$5000="院内")), ROW(A62))), "")</f>
        <v/>
      </c>
      <c r="G99" s="77" t="str">
        <f t="array" ref="G99">IFERROR(INDEX(Kintoneデータ抽出!D:D, _xlfn.AGGREGATE(15, 6, ROW(Kintoneデータ抽出!$K$2:$K$5000) / ((Kintoneデータ抽出!$K$2:$K$5000="院内")), ROW(A62))), "")</f>
        <v/>
      </c>
      <c r="H99" s="77" t="str">
        <f t="array" ref="H99">IFERROR(INDEX(Kintoneデータ抽出!C:C, _xlfn.AGGREGATE(15, 6, ROW(Kintoneデータ抽出!$K$2:$K$5000) / ((Kintoneデータ抽出!$K$2:$K$5000="院内")), ROW(A62))), "")</f>
        <v/>
      </c>
      <c r="I99" s="75" t="str">
        <f t="array" ref="I99">IFERROR(IF(INDEX(Kintoneデータ抽出!G:G, _xlfn.AGGREGATE(15, 6, ROW(Kintoneデータ抽出!$K$2:$K$5000) / ((Kintoneデータ抽出!$K$2:$K$5000="院内")), ROW(A62)))&lt;&gt;"",INDEX(Kintoneデータ抽出!G:G, _xlfn.AGGREGATE(15, 6, ROW(Kintoneデータ抽出!$K$2:$K$5000) / ((Kintoneデータ抽出!$K$2:$K$5000="院内")), ROW(A62)))&amp;"名",""), "")</f>
        <v/>
      </c>
      <c r="J99" s="76" t="str">
        <f t="array" ref="J99">IFERROR(IF(INDEX(Kintoneデータ抽出!E:E, _xlfn.AGGREGATE(15, 6, ROW(Kintoneデータ抽出!$K$2:$K$5000) / ((Kintoneデータ抽出!$K$2:$K$5000="院内")), ROW(A62)))&lt;&gt;"",
YEAR(INDEX(Kintoneデータ抽出!E:E, _xlfn.AGGREGATE(15, 6, ROW(Kintoneデータ抽出!$K$2:$K$5000) / ((Kintoneデータ抽出!$K$2:$K$5000="院内")), ROW(A62))))&amp;"年"
&amp;MONTH(INDEX(Kintoneデータ抽出!E:E, _xlfn.AGGREGATE(15, 6, ROW(Kintoneデータ抽出!$K$2:$K$5000) / ((Kintoneデータ抽出!$K$2:$K$5000="院内")), ROW(A62))))&amp;"月"
&amp;DAY(INDEX(Kintoneデータ抽出!E:E, _xlfn.AGGREGATE(15, 6, ROW(Kintoneデータ抽出!$K$2:$K$5000) /((Kintoneデータ抽出!$K$2:$K$5000="院内")), ROW(A62))))&amp;"日",""), "")</f>
        <v/>
      </c>
      <c r="K99" s="77" t="str" cm="1">
        <f t="array" ref="K99">IFERROR(IF(INDEX(Kintoneデータ抽出!F:F, _xlfn.AGGREGATE(15, 6, ROW(Kintoneデータ抽出!$K$2:$K$5000) / ((Kintoneデータ抽出!$K$2:$K$5000="院内")), ROW(A62)))&lt;&gt;"",
VLOOKUP(INDEX(Kintoneデータ抽出!F:F, _xlfn.AGGREGATE(15, 6, ROW(Kintoneデータ抽出!$K$2:$K$5000) / ((Kintoneデータ抽出!$K$2:$K$5000="院内")), ROW(A62))),基本開園日の表記!$A$2:$B$13,2,FALSE),""), "")</f>
        <v/>
      </c>
      <c r="L99" s="75" t="str">
        <f t="array" ref="L99">IFERROR(IF(INDEX(Kintoneデータ抽出!F:F, _xlfn.AGGREGATE(15, 6, ROW(Kintoneデータ抽出!$K$2:$K$5000) / ((Kintoneデータ抽出!$K$2:$K$5000="院内")), ROW(A62)))&lt;&gt;"",
IF(COUNTIF(INDEX(Kintoneデータ抽出!F:F, _xlfn.AGGREGATE(15, 6, ROW(Kintoneデータ抽出!$K$2:$K$5000) / ((Kintoneデータ抽出!$K$2:$K$5000="院内")), ROW(A62))),"*あり*"),"夜間",""),""), "")</f>
        <v/>
      </c>
      <c r="M99" s="75" t="str">
        <f t="array" ref="M99">IFERROR(IF(INDEX(Kintoneデータ抽出!I:I, _xlfn.AGGREGATE(15, 6, ROW(Kintoneデータ抽出!$K$2:$K$5000) / ((Kintoneデータ抽出!$K$2:$K$5000="院内")), ROW(A62)))&lt;&gt;"",
IF(COUNTIF(INDEX(Kintoneデータ抽出!I:I, _xlfn.AGGREGATE(15, 6, ROW(Kintoneデータ抽出!$K$2:$K$5000) / ((Kintoneデータ抽出!$K$2:$K$5000="院内")), ROW(A62))),"*あり*"),"学童",""),""), "")</f>
        <v/>
      </c>
      <c r="N99" s="75" t="str">
        <f t="array" ref="N99">IFERROR(IF(INDEX(Kintoneデータ抽出!H:H, _xlfn.AGGREGATE(15, 6, ROW(Kintoneデータ抽出!$K$2:$K$5000) / ((Kintoneデータ抽出!$K$2:$K$5000="院内")), ROW(A62)))&lt;&gt;"",
IF(COUNTIF(INDEX(Kintoneデータ抽出!H:H, _xlfn.AGGREGATE(15, 6, ROW(Kintoneデータ抽出!$K$2:$K$5000) / ((Kintoneデータ抽出!$K$2:$K$5000="院内")), ROW(A62))),"*あり*"),"病児",""),""), "")</f>
        <v/>
      </c>
      <c r="O99" s="94" t="str" cm="1">
        <f t="array" ref="O99">IFERROR(
IF(INDEX(Kintoneデータ抽出!M:M, _xlfn.AGGREGATE(15, 6, ROW(Kintoneデータ抽出!$K$2:$K$5000) / ((Kintoneデータ抽出!$K$2:$K$5000="院内")), ROW(A62)))&lt;&gt;0,INDEX(Kintoneデータ抽出!M:M, _xlfn.AGGREGATE(15, 6, ROW(Kintoneデータ抽出!$K$2:$K$5000) / ((Kintoneデータ抽出!$K$2:$K$5000="院内")), ROW(A62))),""), "")</f>
        <v/>
      </c>
      <c r="P99" s="78" t="str">
        <f t="array" ref="P99">IFERROR(IF(INDEX(Kintoneデータ抽出!L:L, _xlfn.AGGREGATE(15, 6, ROW(Kintoneデータ抽出!$K$2:$K$5000) / ((Kintoneデータ抽出!$K$2:$K$5000="院内")), ROW(A62)))&lt;&gt;"",
IF(COUNTIF(INDEX(Kintoneデータ抽出!L:L, _xlfn.AGGREGATE(15, 6, ROW(Kintoneデータ抽出!$K$2:$K$5000) / ((Kintoneデータ抽出!$K$2:$K$5000="院内")), ROW(A62))),"*企業主導型以外*"),"",
IF(COUNTIF(INDEX(Kintoneデータ抽出!L:L, _xlfn.AGGREGATE(15, 6, ROW(Kintoneデータ抽出!$K$2:$K$5000) / ((Kintoneデータ抽出!$K$2:$K$5000="院内")), ROW(A62))),"*その他*"),"",
IF(COUNTIF(INDEX(Kintoneデータ抽出!L:L, _xlfn.AGGREGATE(15, 6, ROW(Kintoneデータ抽出!$K$2:$K$5000) / ((Kintoneデータ抽出!$K$2:$K$5000="院内")), ROW(A62))),"*新制度*"),"新制度","企業主導型"))),""), "")</f>
        <v/>
      </c>
    </row>
    <row r="100" spans="2:16" ht="34.799999999999997" customHeight="1" x14ac:dyDescent="0.45">
      <c r="B100" s="45"/>
      <c r="C100" s="46"/>
      <c r="D100" s="98" t="str">
        <f t="shared" si="1"/>
        <v/>
      </c>
      <c r="E100" s="99"/>
      <c r="F100" s="75" t="str">
        <f t="array" ref="F100">IFERROR(INDEX(Kintoneデータ抽出!A:A, _xlfn.AGGREGATE(15, 6, ROW(Kintoneデータ抽出!$K$2:$K$5000) / ((Kintoneデータ抽出!$K$2:$K$5000="院内")), ROW(A63))), "")</f>
        <v/>
      </c>
      <c r="G100" s="77" t="str">
        <f t="array" ref="G100">IFERROR(INDEX(Kintoneデータ抽出!D:D, _xlfn.AGGREGATE(15, 6, ROW(Kintoneデータ抽出!$K$2:$K$5000) / ((Kintoneデータ抽出!$K$2:$K$5000="院内")), ROW(A63))), "")</f>
        <v/>
      </c>
      <c r="H100" s="77" t="str">
        <f t="array" ref="H100">IFERROR(INDEX(Kintoneデータ抽出!C:C, _xlfn.AGGREGATE(15, 6, ROW(Kintoneデータ抽出!$K$2:$K$5000) / ((Kintoneデータ抽出!$K$2:$K$5000="院内")), ROW(A63))), "")</f>
        <v/>
      </c>
      <c r="I100" s="75" t="str">
        <f t="array" ref="I100">IFERROR(IF(INDEX(Kintoneデータ抽出!G:G, _xlfn.AGGREGATE(15, 6, ROW(Kintoneデータ抽出!$K$2:$K$5000) / ((Kintoneデータ抽出!$K$2:$K$5000="院内")), ROW(A63)))&lt;&gt;"",INDEX(Kintoneデータ抽出!G:G, _xlfn.AGGREGATE(15, 6, ROW(Kintoneデータ抽出!$K$2:$K$5000) / ((Kintoneデータ抽出!$K$2:$K$5000="院内")), ROW(A63)))&amp;"名",""), "")</f>
        <v/>
      </c>
      <c r="J100" s="76" t="str">
        <f t="array" ref="J100">IFERROR(IF(INDEX(Kintoneデータ抽出!E:E, _xlfn.AGGREGATE(15, 6, ROW(Kintoneデータ抽出!$K$2:$K$5000) / ((Kintoneデータ抽出!$K$2:$K$5000="院内")), ROW(A63)))&lt;&gt;"",
YEAR(INDEX(Kintoneデータ抽出!E:E, _xlfn.AGGREGATE(15, 6, ROW(Kintoneデータ抽出!$K$2:$K$5000) / ((Kintoneデータ抽出!$K$2:$K$5000="院内")), ROW(A63))))&amp;"年"
&amp;MONTH(INDEX(Kintoneデータ抽出!E:E, _xlfn.AGGREGATE(15, 6, ROW(Kintoneデータ抽出!$K$2:$K$5000) / ((Kintoneデータ抽出!$K$2:$K$5000="院内")), ROW(A63))))&amp;"月"
&amp;DAY(INDEX(Kintoneデータ抽出!E:E, _xlfn.AGGREGATE(15, 6, ROW(Kintoneデータ抽出!$K$2:$K$5000) /((Kintoneデータ抽出!$K$2:$K$5000="院内")), ROW(A63))))&amp;"日",""), "")</f>
        <v/>
      </c>
      <c r="K100" s="77" t="str" cm="1">
        <f t="array" ref="K100">IFERROR(IF(INDEX(Kintoneデータ抽出!F:F, _xlfn.AGGREGATE(15, 6, ROW(Kintoneデータ抽出!$K$2:$K$5000) / ((Kintoneデータ抽出!$K$2:$K$5000="院内")), ROW(A63)))&lt;&gt;"",
VLOOKUP(INDEX(Kintoneデータ抽出!F:F, _xlfn.AGGREGATE(15, 6, ROW(Kintoneデータ抽出!$K$2:$K$5000) / ((Kintoneデータ抽出!$K$2:$K$5000="院内")), ROW(A63))),基本開園日の表記!$A$2:$B$13,2,FALSE),""), "")</f>
        <v/>
      </c>
      <c r="L100" s="75" t="str">
        <f t="array" ref="L100">IFERROR(IF(INDEX(Kintoneデータ抽出!F:F, _xlfn.AGGREGATE(15, 6, ROW(Kintoneデータ抽出!$K$2:$K$5000) / ((Kintoneデータ抽出!$K$2:$K$5000="院内")), ROW(A63)))&lt;&gt;"",
IF(COUNTIF(INDEX(Kintoneデータ抽出!F:F, _xlfn.AGGREGATE(15, 6, ROW(Kintoneデータ抽出!$K$2:$K$5000) / ((Kintoneデータ抽出!$K$2:$K$5000="院内")), ROW(A63))),"*あり*"),"夜間",""),""), "")</f>
        <v/>
      </c>
      <c r="M100" s="75" t="str">
        <f t="array" ref="M100">IFERROR(IF(INDEX(Kintoneデータ抽出!I:I, _xlfn.AGGREGATE(15, 6, ROW(Kintoneデータ抽出!$K$2:$K$5000) / ((Kintoneデータ抽出!$K$2:$K$5000="院内")), ROW(A63)))&lt;&gt;"",
IF(COUNTIF(INDEX(Kintoneデータ抽出!I:I, _xlfn.AGGREGATE(15, 6, ROW(Kintoneデータ抽出!$K$2:$K$5000) / ((Kintoneデータ抽出!$K$2:$K$5000="院内")), ROW(A63))),"*あり*"),"学童",""),""), "")</f>
        <v/>
      </c>
      <c r="N100" s="75" t="str">
        <f t="array" ref="N100">IFERROR(IF(INDEX(Kintoneデータ抽出!H:H, _xlfn.AGGREGATE(15, 6, ROW(Kintoneデータ抽出!$K$2:$K$5000) / ((Kintoneデータ抽出!$K$2:$K$5000="院内")), ROW(A63)))&lt;&gt;"",
IF(COUNTIF(INDEX(Kintoneデータ抽出!H:H, _xlfn.AGGREGATE(15, 6, ROW(Kintoneデータ抽出!$K$2:$K$5000) / ((Kintoneデータ抽出!$K$2:$K$5000="院内")), ROW(A63))),"*あり*"),"病児",""),""), "")</f>
        <v/>
      </c>
      <c r="O100" s="94" t="str" cm="1">
        <f t="array" ref="O100">IFERROR(
IF(INDEX(Kintoneデータ抽出!M:M, _xlfn.AGGREGATE(15, 6, ROW(Kintoneデータ抽出!$K$2:$K$5000) / ((Kintoneデータ抽出!$K$2:$K$5000="院内")), ROW(A63)))&lt;&gt;0,INDEX(Kintoneデータ抽出!M:M, _xlfn.AGGREGATE(15, 6, ROW(Kintoneデータ抽出!$K$2:$K$5000) / ((Kintoneデータ抽出!$K$2:$K$5000="院内")), ROW(A63))),""), "")</f>
        <v/>
      </c>
      <c r="P100" s="78" t="str">
        <f t="array" ref="P100">IFERROR(IF(INDEX(Kintoneデータ抽出!L:L, _xlfn.AGGREGATE(15, 6, ROW(Kintoneデータ抽出!$K$2:$K$5000) / ((Kintoneデータ抽出!$K$2:$K$5000="院内")), ROW(A63)))&lt;&gt;"",
IF(COUNTIF(INDEX(Kintoneデータ抽出!L:L, _xlfn.AGGREGATE(15, 6, ROW(Kintoneデータ抽出!$K$2:$K$5000) / ((Kintoneデータ抽出!$K$2:$K$5000="院内")), ROW(A63))),"*企業主導型以外*"),"",
IF(COUNTIF(INDEX(Kintoneデータ抽出!L:L, _xlfn.AGGREGATE(15, 6, ROW(Kintoneデータ抽出!$K$2:$K$5000) / ((Kintoneデータ抽出!$K$2:$K$5000="院内")), ROW(A63))),"*その他*"),"",
IF(COUNTIF(INDEX(Kintoneデータ抽出!L:L, _xlfn.AGGREGATE(15, 6, ROW(Kintoneデータ抽出!$K$2:$K$5000) / ((Kintoneデータ抽出!$K$2:$K$5000="院内")), ROW(A63))),"*新制度*"),"新制度","企業主導型"))),""), "")</f>
        <v/>
      </c>
    </row>
    <row r="101" spans="2:16" ht="34.799999999999997" customHeight="1" x14ac:dyDescent="0.45">
      <c r="B101" s="45"/>
      <c r="C101" s="46"/>
      <c r="D101" s="98" t="str">
        <f t="shared" si="1"/>
        <v/>
      </c>
      <c r="E101" s="99"/>
      <c r="F101" s="75" t="str">
        <f t="array" ref="F101">IFERROR(INDEX(Kintoneデータ抽出!A:A, _xlfn.AGGREGATE(15, 6, ROW(Kintoneデータ抽出!$K$2:$K$5000) / ((Kintoneデータ抽出!$K$2:$K$5000="院内")), ROW(A64))), "")</f>
        <v/>
      </c>
      <c r="G101" s="77" t="str">
        <f t="array" ref="G101">IFERROR(INDEX(Kintoneデータ抽出!D:D, _xlfn.AGGREGATE(15, 6, ROW(Kintoneデータ抽出!$K$2:$K$5000) / ((Kintoneデータ抽出!$K$2:$K$5000="院内")), ROW(A64))), "")</f>
        <v/>
      </c>
      <c r="H101" s="77" t="str">
        <f t="array" ref="H101">IFERROR(INDEX(Kintoneデータ抽出!C:C, _xlfn.AGGREGATE(15, 6, ROW(Kintoneデータ抽出!$K$2:$K$5000) / ((Kintoneデータ抽出!$K$2:$K$5000="院内")), ROW(A64))), "")</f>
        <v/>
      </c>
      <c r="I101" s="75" t="str">
        <f t="array" ref="I101">IFERROR(IF(INDEX(Kintoneデータ抽出!G:G, _xlfn.AGGREGATE(15, 6, ROW(Kintoneデータ抽出!$K$2:$K$5000) / ((Kintoneデータ抽出!$K$2:$K$5000="院内")), ROW(A64)))&lt;&gt;"",INDEX(Kintoneデータ抽出!G:G, _xlfn.AGGREGATE(15, 6, ROW(Kintoneデータ抽出!$K$2:$K$5000) / ((Kintoneデータ抽出!$K$2:$K$5000="院内")), ROW(A64)))&amp;"名",""), "")</f>
        <v/>
      </c>
      <c r="J101" s="76" t="str">
        <f t="array" ref="J101">IFERROR(IF(INDEX(Kintoneデータ抽出!E:E, _xlfn.AGGREGATE(15, 6, ROW(Kintoneデータ抽出!$K$2:$K$5000) / ((Kintoneデータ抽出!$K$2:$K$5000="院内")), ROW(A64)))&lt;&gt;"",
YEAR(INDEX(Kintoneデータ抽出!E:E, _xlfn.AGGREGATE(15, 6, ROW(Kintoneデータ抽出!$K$2:$K$5000) / ((Kintoneデータ抽出!$K$2:$K$5000="院内")), ROW(A64))))&amp;"年"
&amp;MONTH(INDEX(Kintoneデータ抽出!E:E, _xlfn.AGGREGATE(15, 6, ROW(Kintoneデータ抽出!$K$2:$K$5000) / ((Kintoneデータ抽出!$K$2:$K$5000="院内")), ROW(A64))))&amp;"月"
&amp;DAY(INDEX(Kintoneデータ抽出!E:E, _xlfn.AGGREGATE(15, 6, ROW(Kintoneデータ抽出!$K$2:$K$5000) /((Kintoneデータ抽出!$K$2:$K$5000="院内")), ROW(A64))))&amp;"日",""), "")</f>
        <v/>
      </c>
      <c r="K101" s="77" t="str" cm="1">
        <f t="array" ref="K101">IFERROR(IF(INDEX(Kintoneデータ抽出!F:F, _xlfn.AGGREGATE(15, 6, ROW(Kintoneデータ抽出!$K$2:$K$5000) / ((Kintoneデータ抽出!$K$2:$K$5000="院内")), ROW(A64)))&lt;&gt;"",
VLOOKUP(INDEX(Kintoneデータ抽出!F:F, _xlfn.AGGREGATE(15, 6, ROW(Kintoneデータ抽出!$K$2:$K$5000) / ((Kintoneデータ抽出!$K$2:$K$5000="院内")), ROW(A64))),基本開園日の表記!$A$2:$B$13,2,FALSE),""), "")</f>
        <v/>
      </c>
      <c r="L101" s="75" t="str">
        <f t="array" ref="L101">IFERROR(IF(INDEX(Kintoneデータ抽出!F:F, _xlfn.AGGREGATE(15, 6, ROW(Kintoneデータ抽出!$K$2:$K$5000) / ((Kintoneデータ抽出!$K$2:$K$5000="院内")), ROW(A64)))&lt;&gt;"",
IF(COUNTIF(INDEX(Kintoneデータ抽出!F:F, _xlfn.AGGREGATE(15, 6, ROW(Kintoneデータ抽出!$K$2:$K$5000) / ((Kintoneデータ抽出!$K$2:$K$5000="院内")), ROW(A64))),"*あり*"),"夜間",""),""), "")</f>
        <v/>
      </c>
      <c r="M101" s="75" t="str">
        <f t="array" ref="M101">IFERROR(IF(INDEX(Kintoneデータ抽出!I:I, _xlfn.AGGREGATE(15, 6, ROW(Kintoneデータ抽出!$K$2:$K$5000) / ((Kintoneデータ抽出!$K$2:$K$5000="院内")), ROW(A64)))&lt;&gt;"",
IF(COUNTIF(INDEX(Kintoneデータ抽出!I:I, _xlfn.AGGREGATE(15, 6, ROW(Kintoneデータ抽出!$K$2:$K$5000) / ((Kintoneデータ抽出!$K$2:$K$5000="院内")), ROW(A64))),"*あり*"),"学童",""),""), "")</f>
        <v/>
      </c>
      <c r="N101" s="75" t="str">
        <f t="array" ref="N101">IFERROR(IF(INDEX(Kintoneデータ抽出!H:H, _xlfn.AGGREGATE(15, 6, ROW(Kintoneデータ抽出!$K$2:$K$5000) / ((Kintoneデータ抽出!$K$2:$K$5000="院内")), ROW(A64)))&lt;&gt;"",
IF(COUNTIF(INDEX(Kintoneデータ抽出!H:H, _xlfn.AGGREGATE(15, 6, ROW(Kintoneデータ抽出!$K$2:$K$5000) / ((Kintoneデータ抽出!$K$2:$K$5000="院内")), ROW(A64))),"*あり*"),"病児",""),""), "")</f>
        <v/>
      </c>
      <c r="O101" s="94" t="str" cm="1">
        <f t="array" ref="O101">IFERROR(
IF(INDEX(Kintoneデータ抽出!M:M, _xlfn.AGGREGATE(15, 6, ROW(Kintoneデータ抽出!$K$2:$K$5000) / ((Kintoneデータ抽出!$K$2:$K$5000="院内")), ROW(A64)))&lt;&gt;0,INDEX(Kintoneデータ抽出!M:M, _xlfn.AGGREGATE(15, 6, ROW(Kintoneデータ抽出!$K$2:$K$5000) / ((Kintoneデータ抽出!$K$2:$K$5000="院内")), ROW(A64))),""), "")</f>
        <v/>
      </c>
      <c r="P101" s="78" t="str">
        <f t="array" ref="P101">IFERROR(IF(INDEX(Kintoneデータ抽出!L:L, _xlfn.AGGREGATE(15, 6, ROW(Kintoneデータ抽出!$K$2:$K$5000) / ((Kintoneデータ抽出!$K$2:$K$5000="院内")), ROW(A64)))&lt;&gt;"",
IF(COUNTIF(INDEX(Kintoneデータ抽出!L:L, _xlfn.AGGREGATE(15, 6, ROW(Kintoneデータ抽出!$K$2:$K$5000) / ((Kintoneデータ抽出!$K$2:$K$5000="院内")), ROW(A64))),"*企業主導型以外*"),"",
IF(COUNTIF(INDEX(Kintoneデータ抽出!L:L, _xlfn.AGGREGATE(15, 6, ROW(Kintoneデータ抽出!$K$2:$K$5000) / ((Kintoneデータ抽出!$K$2:$K$5000="院内")), ROW(A64))),"*その他*"),"",
IF(COUNTIF(INDEX(Kintoneデータ抽出!L:L, _xlfn.AGGREGATE(15, 6, ROW(Kintoneデータ抽出!$K$2:$K$5000) / ((Kintoneデータ抽出!$K$2:$K$5000="院内")), ROW(A64))),"*新制度*"),"新制度","企業主導型"))),""), "")</f>
        <v/>
      </c>
    </row>
    <row r="102" spans="2:16" ht="34.799999999999997" customHeight="1" x14ac:dyDescent="0.45">
      <c r="B102" s="45"/>
      <c r="C102" s="46"/>
      <c r="D102" s="98" t="str">
        <f t="shared" si="1"/>
        <v/>
      </c>
      <c r="E102" s="99"/>
      <c r="F102" s="75" t="str">
        <f t="array" ref="F102">IFERROR(INDEX(Kintoneデータ抽出!A:A, _xlfn.AGGREGATE(15, 6, ROW(Kintoneデータ抽出!$K$2:$K$5000) / ((Kintoneデータ抽出!$K$2:$K$5000="院内")), ROW(A65))), "")</f>
        <v/>
      </c>
      <c r="G102" s="77" t="str">
        <f t="array" ref="G102">IFERROR(INDEX(Kintoneデータ抽出!D:D, _xlfn.AGGREGATE(15, 6, ROW(Kintoneデータ抽出!$K$2:$K$5000) / ((Kintoneデータ抽出!$K$2:$K$5000="院内")), ROW(A65))), "")</f>
        <v/>
      </c>
      <c r="H102" s="77" t="str">
        <f t="array" ref="H102">IFERROR(INDEX(Kintoneデータ抽出!C:C, _xlfn.AGGREGATE(15, 6, ROW(Kintoneデータ抽出!$K$2:$K$5000) / ((Kintoneデータ抽出!$K$2:$K$5000="院内")), ROW(A65))), "")</f>
        <v/>
      </c>
      <c r="I102" s="75" t="str">
        <f t="array" ref="I102">IFERROR(IF(INDEX(Kintoneデータ抽出!G:G, _xlfn.AGGREGATE(15, 6, ROW(Kintoneデータ抽出!$K$2:$K$5000) / ((Kintoneデータ抽出!$K$2:$K$5000="院内")), ROW(A65)))&lt;&gt;"",INDEX(Kintoneデータ抽出!G:G, _xlfn.AGGREGATE(15, 6, ROW(Kintoneデータ抽出!$K$2:$K$5000) / ((Kintoneデータ抽出!$K$2:$K$5000="院内")), ROW(A65)))&amp;"名",""), "")</f>
        <v/>
      </c>
      <c r="J102" s="76" t="str">
        <f t="array" ref="J102">IFERROR(IF(INDEX(Kintoneデータ抽出!E:E, _xlfn.AGGREGATE(15, 6, ROW(Kintoneデータ抽出!$K$2:$K$5000) / ((Kintoneデータ抽出!$K$2:$K$5000="院内")), ROW(A65)))&lt;&gt;"",
YEAR(INDEX(Kintoneデータ抽出!E:E, _xlfn.AGGREGATE(15, 6, ROW(Kintoneデータ抽出!$K$2:$K$5000) / ((Kintoneデータ抽出!$K$2:$K$5000="院内")), ROW(A65))))&amp;"年"
&amp;MONTH(INDEX(Kintoneデータ抽出!E:E, _xlfn.AGGREGATE(15, 6, ROW(Kintoneデータ抽出!$K$2:$K$5000) / ((Kintoneデータ抽出!$K$2:$K$5000="院内")), ROW(A65))))&amp;"月"
&amp;DAY(INDEX(Kintoneデータ抽出!E:E, _xlfn.AGGREGATE(15, 6, ROW(Kintoneデータ抽出!$K$2:$K$5000) /((Kintoneデータ抽出!$K$2:$K$5000="院内")), ROW(A65))))&amp;"日",""), "")</f>
        <v/>
      </c>
      <c r="K102" s="77" t="str" cm="1">
        <f t="array" ref="K102">IFERROR(IF(INDEX(Kintoneデータ抽出!F:F, _xlfn.AGGREGATE(15, 6, ROW(Kintoneデータ抽出!$K$2:$K$5000) / ((Kintoneデータ抽出!$K$2:$K$5000="院内")), ROW(A65)))&lt;&gt;"",
VLOOKUP(INDEX(Kintoneデータ抽出!F:F, _xlfn.AGGREGATE(15, 6, ROW(Kintoneデータ抽出!$K$2:$K$5000) / ((Kintoneデータ抽出!$K$2:$K$5000="院内")), ROW(A65))),基本開園日の表記!$A$2:$B$13,2,FALSE),""), "")</f>
        <v/>
      </c>
      <c r="L102" s="75" t="str">
        <f t="array" ref="L102">IFERROR(IF(INDEX(Kintoneデータ抽出!F:F, _xlfn.AGGREGATE(15, 6, ROW(Kintoneデータ抽出!$K$2:$K$5000) / ((Kintoneデータ抽出!$K$2:$K$5000="院内")), ROW(A65)))&lt;&gt;"",
IF(COUNTIF(INDEX(Kintoneデータ抽出!F:F, _xlfn.AGGREGATE(15, 6, ROW(Kintoneデータ抽出!$K$2:$K$5000) / ((Kintoneデータ抽出!$K$2:$K$5000="院内")), ROW(A65))),"*あり*"),"夜間",""),""), "")</f>
        <v/>
      </c>
      <c r="M102" s="75" t="str">
        <f t="array" ref="M102">IFERROR(IF(INDEX(Kintoneデータ抽出!I:I, _xlfn.AGGREGATE(15, 6, ROW(Kintoneデータ抽出!$K$2:$K$5000) / ((Kintoneデータ抽出!$K$2:$K$5000="院内")), ROW(A65)))&lt;&gt;"",
IF(COUNTIF(INDEX(Kintoneデータ抽出!I:I, _xlfn.AGGREGATE(15, 6, ROW(Kintoneデータ抽出!$K$2:$K$5000) / ((Kintoneデータ抽出!$K$2:$K$5000="院内")), ROW(A65))),"*あり*"),"学童",""),""), "")</f>
        <v/>
      </c>
      <c r="N102" s="75" t="str">
        <f t="array" ref="N102">IFERROR(IF(INDEX(Kintoneデータ抽出!H:H, _xlfn.AGGREGATE(15, 6, ROW(Kintoneデータ抽出!$K$2:$K$5000) / ((Kintoneデータ抽出!$K$2:$K$5000="院内")), ROW(A65)))&lt;&gt;"",
IF(COUNTIF(INDEX(Kintoneデータ抽出!H:H, _xlfn.AGGREGATE(15, 6, ROW(Kintoneデータ抽出!$K$2:$K$5000) / ((Kintoneデータ抽出!$K$2:$K$5000="院内")), ROW(A65))),"*あり*"),"病児",""),""), "")</f>
        <v/>
      </c>
      <c r="O102" s="94" t="str" cm="1">
        <f t="array" ref="O102">IFERROR(
IF(INDEX(Kintoneデータ抽出!M:M, _xlfn.AGGREGATE(15, 6, ROW(Kintoneデータ抽出!$K$2:$K$5000) / ((Kintoneデータ抽出!$K$2:$K$5000="院内")), ROW(A65)))&lt;&gt;0,INDEX(Kintoneデータ抽出!M:M, _xlfn.AGGREGATE(15, 6, ROW(Kintoneデータ抽出!$K$2:$K$5000) / ((Kintoneデータ抽出!$K$2:$K$5000="院内")), ROW(A65))),""), "")</f>
        <v/>
      </c>
      <c r="P102" s="78" t="str">
        <f t="array" ref="P102">IFERROR(IF(INDEX(Kintoneデータ抽出!L:L, _xlfn.AGGREGATE(15, 6, ROW(Kintoneデータ抽出!$K$2:$K$5000) / ((Kintoneデータ抽出!$K$2:$K$5000="院内")), ROW(A65)))&lt;&gt;"",
IF(COUNTIF(INDEX(Kintoneデータ抽出!L:L, _xlfn.AGGREGATE(15, 6, ROW(Kintoneデータ抽出!$K$2:$K$5000) / ((Kintoneデータ抽出!$K$2:$K$5000="院内")), ROW(A65))),"*企業主導型以外*"),"",
IF(COUNTIF(INDEX(Kintoneデータ抽出!L:L, _xlfn.AGGREGATE(15, 6, ROW(Kintoneデータ抽出!$K$2:$K$5000) / ((Kintoneデータ抽出!$K$2:$K$5000="院内")), ROW(A65))),"*その他*"),"",
IF(COUNTIF(INDEX(Kintoneデータ抽出!L:L, _xlfn.AGGREGATE(15, 6, ROW(Kintoneデータ抽出!$K$2:$K$5000) / ((Kintoneデータ抽出!$K$2:$K$5000="院内")), ROW(A65))),"*新制度*"),"新制度","企業主導型"))),""), "")</f>
        <v/>
      </c>
    </row>
    <row r="103" spans="2:16" ht="34.799999999999997" customHeight="1" x14ac:dyDescent="0.45">
      <c r="B103" s="45"/>
      <c r="C103" s="46"/>
      <c r="D103" s="98" t="str">
        <f t="shared" ref="D103:D166" si="2">IF(H103&lt;&gt;"",D102+1,D102)</f>
        <v/>
      </c>
      <c r="E103" s="99"/>
      <c r="F103" s="75" t="str">
        <f t="array" ref="F103">IFERROR(INDEX(Kintoneデータ抽出!A:A, _xlfn.AGGREGATE(15, 6, ROW(Kintoneデータ抽出!$K$2:$K$5000) / ((Kintoneデータ抽出!$K$2:$K$5000="院内")), ROW(A66))), "")</f>
        <v/>
      </c>
      <c r="G103" s="77" t="str">
        <f t="array" ref="G103">IFERROR(INDEX(Kintoneデータ抽出!D:D, _xlfn.AGGREGATE(15, 6, ROW(Kintoneデータ抽出!$K$2:$K$5000) / ((Kintoneデータ抽出!$K$2:$K$5000="院内")), ROW(A66))), "")</f>
        <v/>
      </c>
      <c r="H103" s="77" t="str">
        <f t="array" ref="H103">IFERROR(INDEX(Kintoneデータ抽出!C:C, _xlfn.AGGREGATE(15, 6, ROW(Kintoneデータ抽出!$K$2:$K$5000) / ((Kintoneデータ抽出!$K$2:$K$5000="院内")), ROW(A66))), "")</f>
        <v/>
      </c>
      <c r="I103" s="75" t="str">
        <f t="array" ref="I103">IFERROR(IF(INDEX(Kintoneデータ抽出!G:G, _xlfn.AGGREGATE(15, 6, ROW(Kintoneデータ抽出!$K$2:$K$5000) / ((Kintoneデータ抽出!$K$2:$K$5000="院内")), ROW(A66)))&lt;&gt;"",INDEX(Kintoneデータ抽出!G:G, _xlfn.AGGREGATE(15, 6, ROW(Kintoneデータ抽出!$K$2:$K$5000) / ((Kintoneデータ抽出!$K$2:$K$5000="院内")), ROW(A66)))&amp;"名",""), "")</f>
        <v/>
      </c>
      <c r="J103" s="76" t="str">
        <f t="array" ref="J103">IFERROR(IF(INDEX(Kintoneデータ抽出!E:E, _xlfn.AGGREGATE(15, 6, ROW(Kintoneデータ抽出!$K$2:$K$5000) / ((Kintoneデータ抽出!$K$2:$K$5000="院内")), ROW(A66)))&lt;&gt;"",
YEAR(INDEX(Kintoneデータ抽出!E:E, _xlfn.AGGREGATE(15, 6, ROW(Kintoneデータ抽出!$K$2:$K$5000) / ((Kintoneデータ抽出!$K$2:$K$5000="院内")), ROW(A66))))&amp;"年"
&amp;MONTH(INDEX(Kintoneデータ抽出!E:E, _xlfn.AGGREGATE(15, 6, ROW(Kintoneデータ抽出!$K$2:$K$5000) / ((Kintoneデータ抽出!$K$2:$K$5000="院内")), ROW(A66))))&amp;"月"
&amp;DAY(INDEX(Kintoneデータ抽出!E:E, _xlfn.AGGREGATE(15, 6, ROW(Kintoneデータ抽出!$K$2:$K$5000) /((Kintoneデータ抽出!$K$2:$K$5000="院内")), ROW(A66))))&amp;"日",""), "")</f>
        <v/>
      </c>
      <c r="K103" s="77" t="str" cm="1">
        <f t="array" ref="K103">IFERROR(IF(INDEX(Kintoneデータ抽出!F:F, _xlfn.AGGREGATE(15, 6, ROW(Kintoneデータ抽出!$K$2:$K$5000) / ((Kintoneデータ抽出!$K$2:$K$5000="院内")), ROW(A66)))&lt;&gt;"",
VLOOKUP(INDEX(Kintoneデータ抽出!F:F, _xlfn.AGGREGATE(15, 6, ROW(Kintoneデータ抽出!$K$2:$K$5000) / ((Kintoneデータ抽出!$K$2:$K$5000="院内")), ROW(A66))),基本開園日の表記!$A$2:$B$13,2,FALSE),""), "")</f>
        <v/>
      </c>
      <c r="L103" s="75" t="str">
        <f t="array" ref="L103">IFERROR(IF(INDEX(Kintoneデータ抽出!F:F, _xlfn.AGGREGATE(15, 6, ROW(Kintoneデータ抽出!$K$2:$K$5000) / ((Kintoneデータ抽出!$K$2:$K$5000="院内")), ROW(A66)))&lt;&gt;"",
IF(COUNTIF(INDEX(Kintoneデータ抽出!F:F, _xlfn.AGGREGATE(15, 6, ROW(Kintoneデータ抽出!$K$2:$K$5000) / ((Kintoneデータ抽出!$K$2:$K$5000="院内")), ROW(A66))),"*あり*"),"夜間",""),""), "")</f>
        <v/>
      </c>
      <c r="M103" s="75" t="str">
        <f t="array" ref="M103">IFERROR(IF(INDEX(Kintoneデータ抽出!I:I, _xlfn.AGGREGATE(15, 6, ROW(Kintoneデータ抽出!$K$2:$K$5000) / ((Kintoneデータ抽出!$K$2:$K$5000="院内")), ROW(A66)))&lt;&gt;"",
IF(COUNTIF(INDEX(Kintoneデータ抽出!I:I, _xlfn.AGGREGATE(15, 6, ROW(Kintoneデータ抽出!$K$2:$K$5000) / ((Kintoneデータ抽出!$K$2:$K$5000="院内")), ROW(A66))),"*あり*"),"学童",""),""), "")</f>
        <v/>
      </c>
      <c r="N103" s="75" t="str">
        <f t="array" ref="N103">IFERROR(IF(INDEX(Kintoneデータ抽出!H:H, _xlfn.AGGREGATE(15, 6, ROW(Kintoneデータ抽出!$K$2:$K$5000) / ((Kintoneデータ抽出!$K$2:$K$5000="院内")), ROW(A66)))&lt;&gt;"",
IF(COUNTIF(INDEX(Kintoneデータ抽出!H:H, _xlfn.AGGREGATE(15, 6, ROW(Kintoneデータ抽出!$K$2:$K$5000) / ((Kintoneデータ抽出!$K$2:$K$5000="院内")), ROW(A66))),"*あり*"),"病児",""),""), "")</f>
        <v/>
      </c>
      <c r="O103" s="94" t="str" cm="1">
        <f t="array" ref="O103">IFERROR(
IF(INDEX(Kintoneデータ抽出!M:M, _xlfn.AGGREGATE(15, 6, ROW(Kintoneデータ抽出!$K$2:$K$5000) / ((Kintoneデータ抽出!$K$2:$K$5000="院内")), ROW(A66)))&lt;&gt;0,INDEX(Kintoneデータ抽出!M:M, _xlfn.AGGREGATE(15, 6, ROW(Kintoneデータ抽出!$K$2:$K$5000) / ((Kintoneデータ抽出!$K$2:$K$5000="院内")), ROW(A66))),""), "")</f>
        <v/>
      </c>
      <c r="P103" s="78" t="str">
        <f t="array" ref="P103">IFERROR(IF(INDEX(Kintoneデータ抽出!L:L, _xlfn.AGGREGATE(15, 6, ROW(Kintoneデータ抽出!$K$2:$K$5000) / ((Kintoneデータ抽出!$K$2:$K$5000="院内")), ROW(A66)))&lt;&gt;"",
IF(COUNTIF(INDEX(Kintoneデータ抽出!L:L, _xlfn.AGGREGATE(15, 6, ROW(Kintoneデータ抽出!$K$2:$K$5000) / ((Kintoneデータ抽出!$K$2:$K$5000="院内")), ROW(A66))),"*企業主導型以外*"),"",
IF(COUNTIF(INDEX(Kintoneデータ抽出!L:L, _xlfn.AGGREGATE(15, 6, ROW(Kintoneデータ抽出!$K$2:$K$5000) / ((Kintoneデータ抽出!$K$2:$K$5000="院内")), ROW(A66))),"*その他*"),"",
IF(COUNTIF(INDEX(Kintoneデータ抽出!L:L, _xlfn.AGGREGATE(15, 6, ROW(Kintoneデータ抽出!$K$2:$K$5000) / ((Kintoneデータ抽出!$K$2:$K$5000="院内")), ROW(A66))),"*新制度*"),"新制度","企業主導型"))),""), "")</f>
        <v/>
      </c>
    </row>
    <row r="104" spans="2:16" ht="34.799999999999997" customHeight="1" x14ac:dyDescent="0.45">
      <c r="B104" s="45"/>
      <c r="C104" s="46"/>
      <c r="D104" s="98" t="str">
        <f t="shared" si="2"/>
        <v/>
      </c>
      <c r="E104" s="99"/>
      <c r="F104" s="75" t="str">
        <f t="array" ref="F104">IFERROR(INDEX(Kintoneデータ抽出!A:A, _xlfn.AGGREGATE(15, 6, ROW(Kintoneデータ抽出!$K$2:$K$5000) / ((Kintoneデータ抽出!$K$2:$K$5000="院内")), ROW(A67))), "")</f>
        <v/>
      </c>
      <c r="G104" s="77" t="str">
        <f t="array" ref="G104">IFERROR(INDEX(Kintoneデータ抽出!D:D, _xlfn.AGGREGATE(15, 6, ROW(Kintoneデータ抽出!$K$2:$K$5000) / ((Kintoneデータ抽出!$K$2:$K$5000="院内")), ROW(A67))), "")</f>
        <v/>
      </c>
      <c r="H104" s="77" t="str">
        <f t="array" ref="H104">IFERROR(INDEX(Kintoneデータ抽出!C:C, _xlfn.AGGREGATE(15, 6, ROW(Kintoneデータ抽出!$K$2:$K$5000) / ((Kintoneデータ抽出!$K$2:$K$5000="院内")), ROW(A67))), "")</f>
        <v/>
      </c>
      <c r="I104" s="75" t="str">
        <f t="array" ref="I104">IFERROR(IF(INDEX(Kintoneデータ抽出!G:G, _xlfn.AGGREGATE(15, 6, ROW(Kintoneデータ抽出!$K$2:$K$5000) / ((Kintoneデータ抽出!$K$2:$K$5000="院内")), ROW(A67)))&lt;&gt;"",INDEX(Kintoneデータ抽出!G:G, _xlfn.AGGREGATE(15, 6, ROW(Kintoneデータ抽出!$K$2:$K$5000) / ((Kintoneデータ抽出!$K$2:$K$5000="院内")), ROW(A67)))&amp;"名",""), "")</f>
        <v/>
      </c>
      <c r="J104" s="76" t="str">
        <f t="array" ref="J104">IFERROR(IF(INDEX(Kintoneデータ抽出!E:E, _xlfn.AGGREGATE(15, 6, ROW(Kintoneデータ抽出!$K$2:$K$5000) / ((Kintoneデータ抽出!$K$2:$K$5000="院内")), ROW(A67)))&lt;&gt;"",
YEAR(INDEX(Kintoneデータ抽出!E:E, _xlfn.AGGREGATE(15, 6, ROW(Kintoneデータ抽出!$K$2:$K$5000) / ((Kintoneデータ抽出!$K$2:$K$5000="院内")), ROW(A67))))&amp;"年"
&amp;MONTH(INDEX(Kintoneデータ抽出!E:E, _xlfn.AGGREGATE(15, 6, ROW(Kintoneデータ抽出!$K$2:$K$5000) / ((Kintoneデータ抽出!$K$2:$K$5000="院内")), ROW(A67))))&amp;"月"
&amp;DAY(INDEX(Kintoneデータ抽出!E:E, _xlfn.AGGREGATE(15, 6, ROW(Kintoneデータ抽出!$K$2:$K$5000) /((Kintoneデータ抽出!$K$2:$K$5000="院内")), ROW(A67))))&amp;"日",""), "")</f>
        <v/>
      </c>
      <c r="K104" s="77" t="str" cm="1">
        <f t="array" ref="K104">IFERROR(IF(INDEX(Kintoneデータ抽出!F:F, _xlfn.AGGREGATE(15, 6, ROW(Kintoneデータ抽出!$K$2:$K$5000) / ((Kintoneデータ抽出!$K$2:$K$5000="院内")), ROW(A67)))&lt;&gt;"",
VLOOKUP(INDEX(Kintoneデータ抽出!F:F, _xlfn.AGGREGATE(15, 6, ROW(Kintoneデータ抽出!$K$2:$K$5000) / ((Kintoneデータ抽出!$K$2:$K$5000="院内")), ROW(A67))),基本開園日の表記!$A$2:$B$13,2,FALSE),""), "")</f>
        <v/>
      </c>
      <c r="L104" s="75" t="str">
        <f t="array" ref="L104">IFERROR(IF(INDEX(Kintoneデータ抽出!F:F, _xlfn.AGGREGATE(15, 6, ROW(Kintoneデータ抽出!$K$2:$K$5000) / ((Kintoneデータ抽出!$K$2:$K$5000="院内")), ROW(A67)))&lt;&gt;"",
IF(COUNTIF(INDEX(Kintoneデータ抽出!F:F, _xlfn.AGGREGATE(15, 6, ROW(Kintoneデータ抽出!$K$2:$K$5000) / ((Kintoneデータ抽出!$K$2:$K$5000="院内")), ROW(A67))),"*あり*"),"夜間",""),""), "")</f>
        <v/>
      </c>
      <c r="M104" s="75" t="str">
        <f t="array" ref="M104">IFERROR(IF(INDEX(Kintoneデータ抽出!I:I, _xlfn.AGGREGATE(15, 6, ROW(Kintoneデータ抽出!$K$2:$K$5000) / ((Kintoneデータ抽出!$K$2:$K$5000="院内")), ROW(A67)))&lt;&gt;"",
IF(COUNTIF(INDEX(Kintoneデータ抽出!I:I, _xlfn.AGGREGATE(15, 6, ROW(Kintoneデータ抽出!$K$2:$K$5000) / ((Kintoneデータ抽出!$K$2:$K$5000="院内")), ROW(A67))),"*あり*"),"学童",""),""), "")</f>
        <v/>
      </c>
      <c r="N104" s="75" t="str">
        <f t="array" ref="N104">IFERROR(IF(INDEX(Kintoneデータ抽出!H:H, _xlfn.AGGREGATE(15, 6, ROW(Kintoneデータ抽出!$K$2:$K$5000) / ((Kintoneデータ抽出!$K$2:$K$5000="院内")), ROW(A67)))&lt;&gt;"",
IF(COUNTIF(INDEX(Kintoneデータ抽出!H:H, _xlfn.AGGREGATE(15, 6, ROW(Kintoneデータ抽出!$K$2:$K$5000) / ((Kintoneデータ抽出!$K$2:$K$5000="院内")), ROW(A67))),"*あり*"),"病児",""),""), "")</f>
        <v/>
      </c>
      <c r="O104" s="94" t="str" cm="1">
        <f t="array" ref="O104">IFERROR(
IF(INDEX(Kintoneデータ抽出!M:M, _xlfn.AGGREGATE(15, 6, ROW(Kintoneデータ抽出!$K$2:$K$5000) / ((Kintoneデータ抽出!$K$2:$K$5000="院内")), ROW(A67)))&lt;&gt;0,INDEX(Kintoneデータ抽出!M:M, _xlfn.AGGREGATE(15, 6, ROW(Kintoneデータ抽出!$K$2:$K$5000) / ((Kintoneデータ抽出!$K$2:$K$5000="院内")), ROW(A67))),""), "")</f>
        <v/>
      </c>
      <c r="P104" s="78" t="str">
        <f t="array" ref="P104">IFERROR(IF(INDEX(Kintoneデータ抽出!L:L, _xlfn.AGGREGATE(15, 6, ROW(Kintoneデータ抽出!$K$2:$K$5000) / ((Kintoneデータ抽出!$K$2:$K$5000="院内")), ROW(A67)))&lt;&gt;"",
IF(COUNTIF(INDEX(Kintoneデータ抽出!L:L, _xlfn.AGGREGATE(15, 6, ROW(Kintoneデータ抽出!$K$2:$K$5000) / ((Kintoneデータ抽出!$K$2:$K$5000="院内")), ROW(A67))),"*企業主導型以外*"),"",
IF(COUNTIF(INDEX(Kintoneデータ抽出!L:L, _xlfn.AGGREGATE(15, 6, ROW(Kintoneデータ抽出!$K$2:$K$5000) / ((Kintoneデータ抽出!$K$2:$K$5000="院内")), ROW(A67))),"*その他*"),"",
IF(COUNTIF(INDEX(Kintoneデータ抽出!L:L, _xlfn.AGGREGATE(15, 6, ROW(Kintoneデータ抽出!$K$2:$K$5000) / ((Kintoneデータ抽出!$K$2:$K$5000="院内")), ROW(A67))),"*新制度*"),"新制度","企業主導型"))),""), "")</f>
        <v/>
      </c>
    </row>
    <row r="105" spans="2:16" ht="34.799999999999997" customHeight="1" x14ac:dyDescent="0.45">
      <c r="B105" s="45"/>
      <c r="C105" s="46"/>
      <c r="D105" s="98" t="str">
        <f t="shared" si="2"/>
        <v/>
      </c>
      <c r="E105" s="99"/>
      <c r="F105" s="75" t="str">
        <f t="array" ref="F105">IFERROR(INDEX(Kintoneデータ抽出!A:A, _xlfn.AGGREGATE(15, 6, ROW(Kintoneデータ抽出!$K$2:$K$5000) / ((Kintoneデータ抽出!$K$2:$K$5000="院内")), ROW(A68))), "")</f>
        <v/>
      </c>
      <c r="G105" s="77" t="str">
        <f t="array" ref="G105">IFERROR(INDEX(Kintoneデータ抽出!D:D, _xlfn.AGGREGATE(15, 6, ROW(Kintoneデータ抽出!$K$2:$K$5000) / ((Kintoneデータ抽出!$K$2:$K$5000="院内")), ROW(A68))), "")</f>
        <v/>
      </c>
      <c r="H105" s="77" t="str">
        <f t="array" ref="H105">IFERROR(INDEX(Kintoneデータ抽出!C:C, _xlfn.AGGREGATE(15, 6, ROW(Kintoneデータ抽出!$K$2:$K$5000) / ((Kintoneデータ抽出!$K$2:$K$5000="院内")), ROW(A68))), "")</f>
        <v/>
      </c>
      <c r="I105" s="75" t="str">
        <f t="array" ref="I105">IFERROR(IF(INDEX(Kintoneデータ抽出!G:G, _xlfn.AGGREGATE(15, 6, ROW(Kintoneデータ抽出!$K$2:$K$5000) / ((Kintoneデータ抽出!$K$2:$K$5000="院内")), ROW(A68)))&lt;&gt;"",INDEX(Kintoneデータ抽出!G:G, _xlfn.AGGREGATE(15, 6, ROW(Kintoneデータ抽出!$K$2:$K$5000) / ((Kintoneデータ抽出!$K$2:$K$5000="院内")), ROW(A68)))&amp;"名",""), "")</f>
        <v/>
      </c>
      <c r="J105" s="76" t="str">
        <f t="array" ref="J105">IFERROR(IF(INDEX(Kintoneデータ抽出!E:E, _xlfn.AGGREGATE(15, 6, ROW(Kintoneデータ抽出!$K$2:$K$5000) / ((Kintoneデータ抽出!$K$2:$K$5000="院内")), ROW(A68)))&lt;&gt;"",
YEAR(INDEX(Kintoneデータ抽出!E:E, _xlfn.AGGREGATE(15, 6, ROW(Kintoneデータ抽出!$K$2:$K$5000) / ((Kintoneデータ抽出!$K$2:$K$5000="院内")), ROW(A68))))&amp;"年"
&amp;MONTH(INDEX(Kintoneデータ抽出!E:E, _xlfn.AGGREGATE(15, 6, ROW(Kintoneデータ抽出!$K$2:$K$5000) / ((Kintoneデータ抽出!$K$2:$K$5000="院内")), ROW(A68))))&amp;"月"
&amp;DAY(INDEX(Kintoneデータ抽出!E:E, _xlfn.AGGREGATE(15, 6, ROW(Kintoneデータ抽出!$K$2:$K$5000) /((Kintoneデータ抽出!$K$2:$K$5000="院内")), ROW(A68))))&amp;"日",""), "")</f>
        <v/>
      </c>
      <c r="K105" s="77" t="str" cm="1">
        <f t="array" ref="K105">IFERROR(IF(INDEX(Kintoneデータ抽出!F:F, _xlfn.AGGREGATE(15, 6, ROW(Kintoneデータ抽出!$K$2:$K$5000) / ((Kintoneデータ抽出!$K$2:$K$5000="院内")), ROW(A68)))&lt;&gt;"",
VLOOKUP(INDEX(Kintoneデータ抽出!F:F, _xlfn.AGGREGATE(15, 6, ROW(Kintoneデータ抽出!$K$2:$K$5000) / ((Kintoneデータ抽出!$K$2:$K$5000="院内")), ROW(A68))),基本開園日の表記!$A$2:$B$13,2,FALSE),""), "")</f>
        <v/>
      </c>
      <c r="L105" s="75" t="str">
        <f t="array" ref="L105">IFERROR(IF(INDEX(Kintoneデータ抽出!F:F, _xlfn.AGGREGATE(15, 6, ROW(Kintoneデータ抽出!$K$2:$K$5000) / ((Kintoneデータ抽出!$K$2:$K$5000="院内")), ROW(A68)))&lt;&gt;"",
IF(COUNTIF(INDEX(Kintoneデータ抽出!F:F, _xlfn.AGGREGATE(15, 6, ROW(Kintoneデータ抽出!$K$2:$K$5000) / ((Kintoneデータ抽出!$K$2:$K$5000="院内")), ROW(A68))),"*あり*"),"夜間",""),""), "")</f>
        <v/>
      </c>
      <c r="M105" s="75" t="str">
        <f t="array" ref="M105">IFERROR(IF(INDEX(Kintoneデータ抽出!I:I, _xlfn.AGGREGATE(15, 6, ROW(Kintoneデータ抽出!$K$2:$K$5000) / ((Kintoneデータ抽出!$K$2:$K$5000="院内")), ROW(A68)))&lt;&gt;"",
IF(COUNTIF(INDEX(Kintoneデータ抽出!I:I, _xlfn.AGGREGATE(15, 6, ROW(Kintoneデータ抽出!$K$2:$K$5000) / ((Kintoneデータ抽出!$K$2:$K$5000="院内")), ROW(A68))),"*あり*"),"学童",""),""), "")</f>
        <v/>
      </c>
      <c r="N105" s="75" t="str">
        <f t="array" ref="N105">IFERROR(IF(INDEX(Kintoneデータ抽出!H:H, _xlfn.AGGREGATE(15, 6, ROW(Kintoneデータ抽出!$K$2:$K$5000) / ((Kintoneデータ抽出!$K$2:$K$5000="院内")), ROW(A68)))&lt;&gt;"",
IF(COUNTIF(INDEX(Kintoneデータ抽出!H:H, _xlfn.AGGREGATE(15, 6, ROW(Kintoneデータ抽出!$K$2:$K$5000) / ((Kintoneデータ抽出!$K$2:$K$5000="院内")), ROW(A68))),"*あり*"),"病児",""),""), "")</f>
        <v/>
      </c>
      <c r="O105" s="94" t="str" cm="1">
        <f t="array" ref="O105">IFERROR(
IF(INDEX(Kintoneデータ抽出!M:M, _xlfn.AGGREGATE(15, 6, ROW(Kintoneデータ抽出!$K$2:$K$5000) / ((Kintoneデータ抽出!$K$2:$K$5000="院内")), ROW(A68)))&lt;&gt;0,INDEX(Kintoneデータ抽出!M:M, _xlfn.AGGREGATE(15, 6, ROW(Kintoneデータ抽出!$K$2:$K$5000) / ((Kintoneデータ抽出!$K$2:$K$5000="院内")), ROW(A68))),""), "")</f>
        <v/>
      </c>
      <c r="P105" s="78" t="str">
        <f t="array" ref="P105">IFERROR(IF(INDEX(Kintoneデータ抽出!L:L, _xlfn.AGGREGATE(15, 6, ROW(Kintoneデータ抽出!$K$2:$K$5000) / ((Kintoneデータ抽出!$K$2:$K$5000="院内")), ROW(A68)))&lt;&gt;"",
IF(COUNTIF(INDEX(Kintoneデータ抽出!L:L, _xlfn.AGGREGATE(15, 6, ROW(Kintoneデータ抽出!$K$2:$K$5000) / ((Kintoneデータ抽出!$K$2:$K$5000="院内")), ROW(A68))),"*企業主導型以外*"),"",
IF(COUNTIF(INDEX(Kintoneデータ抽出!L:L, _xlfn.AGGREGATE(15, 6, ROW(Kintoneデータ抽出!$K$2:$K$5000) / ((Kintoneデータ抽出!$K$2:$K$5000="院内")), ROW(A68))),"*その他*"),"",
IF(COUNTIF(INDEX(Kintoneデータ抽出!L:L, _xlfn.AGGREGATE(15, 6, ROW(Kintoneデータ抽出!$K$2:$K$5000) / ((Kintoneデータ抽出!$K$2:$K$5000="院内")), ROW(A68))),"*新制度*"),"新制度","企業主導型"))),""), "")</f>
        <v/>
      </c>
    </row>
    <row r="106" spans="2:16" ht="34.799999999999997" customHeight="1" x14ac:dyDescent="0.45">
      <c r="B106" s="45"/>
      <c r="C106" s="46"/>
      <c r="D106" s="98" t="str">
        <f t="shared" si="2"/>
        <v/>
      </c>
      <c r="E106" s="99"/>
      <c r="F106" s="75" t="str">
        <f t="array" ref="F106">IFERROR(INDEX(Kintoneデータ抽出!A:A, _xlfn.AGGREGATE(15, 6, ROW(Kintoneデータ抽出!$K$2:$K$5000) / ((Kintoneデータ抽出!$K$2:$K$5000="院内")), ROW(A69))), "")</f>
        <v/>
      </c>
      <c r="G106" s="77" t="str">
        <f t="array" ref="G106">IFERROR(INDEX(Kintoneデータ抽出!D:D, _xlfn.AGGREGATE(15, 6, ROW(Kintoneデータ抽出!$K$2:$K$5000) / ((Kintoneデータ抽出!$K$2:$K$5000="院内")), ROW(A69))), "")</f>
        <v/>
      </c>
      <c r="H106" s="77" t="str">
        <f t="array" ref="H106">IFERROR(INDEX(Kintoneデータ抽出!C:C, _xlfn.AGGREGATE(15, 6, ROW(Kintoneデータ抽出!$K$2:$K$5000) / ((Kintoneデータ抽出!$K$2:$K$5000="院内")), ROW(A69))), "")</f>
        <v/>
      </c>
      <c r="I106" s="75" t="str">
        <f t="array" ref="I106">IFERROR(IF(INDEX(Kintoneデータ抽出!G:G, _xlfn.AGGREGATE(15, 6, ROW(Kintoneデータ抽出!$K$2:$K$5000) / ((Kintoneデータ抽出!$K$2:$K$5000="院内")), ROW(A69)))&lt;&gt;"",INDEX(Kintoneデータ抽出!G:G, _xlfn.AGGREGATE(15, 6, ROW(Kintoneデータ抽出!$K$2:$K$5000) / ((Kintoneデータ抽出!$K$2:$K$5000="院内")), ROW(A69)))&amp;"名",""), "")</f>
        <v/>
      </c>
      <c r="J106" s="76" t="str">
        <f t="array" ref="J106">IFERROR(IF(INDEX(Kintoneデータ抽出!E:E, _xlfn.AGGREGATE(15, 6, ROW(Kintoneデータ抽出!$K$2:$K$5000) / ((Kintoneデータ抽出!$K$2:$K$5000="院内")), ROW(A69)))&lt;&gt;"",
YEAR(INDEX(Kintoneデータ抽出!E:E, _xlfn.AGGREGATE(15, 6, ROW(Kintoneデータ抽出!$K$2:$K$5000) / ((Kintoneデータ抽出!$K$2:$K$5000="院内")), ROW(A69))))&amp;"年"
&amp;MONTH(INDEX(Kintoneデータ抽出!E:E, _xlfn.AGGREGATE(15, 6, ROW(Kintoneデータ抽出!$K$2:$K$5000) / ((Kintoneデータ抽出!$K$2:$K$5000="院内")), ROW(A69))))&amp;"月"
&amp;DAY(INDEX(Kintoneデータ抽出!E:E, _xlfn.AGGREGATE(15, 6, ROW(Kintoneデータ抽出!$K$2:$K$5000) /((Kintoneデータ抽出!$K$2:$K$5000="院内")), ROW(A69))))&amp;"日",""), "")</f>
        <v/>
      </c>
      <c r="K106" s="77" t="str" cm="1">
        <f t="array" ref="K106">IFERROR(IF(INDEX(Kintoneデータ抽出!F:F, _xlfn.AGGREGATE(15, 6, ROW(Kintoneデータ抽出!$K$2:$K$5000) / ((Kintoneデータ抽出!$K$2:$K$5000="院内")), ROW(A69)))&lt;&gt;"",
VLOOKUP(INDEX(Kintoneデータ抽出!F:F, _xlfn.AGGREGATE(15, 6, ROW(Kintoneデータ抽出!$K$2:$K$5000) / ((Kintoneデータ抽出!$K$2:$K$5000="院内")), ROW(A69))),基本開園日の表記!$A$2:$B$13,2,FALSE),""), "")</f>
        <v/>
      </c>
      <c r="L106" s="75" t="str">
        <f t="array" ref="L106">IFERROR(IF(INDEX(Kintoneデータ抽出!F:F, _xlfn.AGGREGATE(15, 6, ROW(Kintoneデータ抽出!$K$2:$K$5000) / ((Kintoneデータ抽出!$K$2:$K$5000="院内")), ROW(A69)))&lt;&gt;"",
IF(COUNTIF(INDEX(Kintoneデータ抽出!F:F, _xlfn.AGGREGATE(15, 6, ROW(Kintoneデータ抽出!$K$2:$K$5000) / ((Kintoneデータ抽出!$K$2:$K$5000="院内")), ROW(A69))),"*あり*"),"夜間",""),""), "")</f>
        <v/>
      </c>
      <c r="M106" s="75" t="str">
        <f t="array" ref="M106">IFERROR(IF(INDEX(Kintoneデータ抽出!I:I, _xlfn.AGGREGATE(15, 6, ROW(Kintoneデータ抽出!$K$2:$K$5000) / ((Kintoneデータ抽出!$K$2:$K$5000="院内")), ROW(A69)))&lt;&gt;"",
IF(COUNTIF(INDEX(Kintoneデータ抽出!I:I, _xlfn.AGGREGATE(15, 6, ROW(Kintoneデータ抽出!$K$2:$K$5000) / ((Kintoneデータ抽出!$K$2:$K$5000="院内")), ROW(A69))),"*あり*"),"学童",""),""), "")</f>
        <v/>
      </c>
      <c r="N106" s="75" t="str">
        <f t="array" ref="N106">IFERROR(IF(INDEX(Kintoneデータ抽出!H:H, _xlfn.AGGREGATE(15, 6, ROW(Kintoneデータ抽出!$K$2:$K$5000) / ((Kintoneデータ抽出!$K$2:$K$5000="院内")), ROW(A69)))&lt;&gt;"",
IF(COUNTIF(INDEX(Kintoneデータ抽出!H:H, _xlfn.AGGREGATE(15, 6, ROW(Kintoneデータ抽出!$K$2:$K$5000) / ((Kintoneデータ抽出!$K$2:$K$5000="院内")), ROW(A69))),"*あり*"),"病児",""),""), "")</f>
        <v/>
      </c>
      <c r="O106" s="94" t="str" cm="1">
        <f t="array" ref="O106">IFERROR(
IF(INDEX(Kintoneデータ抽出!M:M, _xlfn.AGGREGATE(15, 6, ROW(Kintoneデータ抽出!$K$2:$K$5000) / ((Kintoneデータ抽出!$K$2:$K$5000="院内")), ROW(A69)))&lt;&gt;0,INDEX(Kintoneデータ抽出!M:M, _xlfn.AGGREGATE(15, 6, ROW(Kintoneデータ抽出!$K$2:$K$5000) / ((Kintoneデータ抽出!$K$2:$K$5000="院内")), ROW(A69))),""), "")</f>
        <v/>
      </c>
      <c r="P106" s="78" t="str">
        <f t="array" ref="P106">IFERROR(IF(INDEX(Kintoneデータ抽出!L:L, _xlfn.AGGREGATE(15, 6, ROW(Kintoneデータ抽出!$K$2:$K$5000) / ((Kintoneデータ抽出!$K$2:$K$5000="院内")), ROW(A69)))&lt;&gt;"",
IF(COUNTIF(INDEX(Kintoneデータ抽出!L:L, _xlfn.AGGREGATE(15, 6, ROW(Kintoneデータ抽出!$K$2:$K$5000) / ((Kintoneデータ抽出!$K$2:$K$5000="院内")), ROW(A69))),"*企業主導型以外*"),"",
IF(COUNTIF(INDEX(Kintoneデータ抽出!L:L, _xlfn.AGGREGATE(15, 6, ROW(Kintoneデータ抽出!$K$2:$K$5000) / ((Kintoneデータ抽出!$K$2:$K$5000="院内")), ROW(A69))),"*その他*"),"",
IF(COUNTIF(INDEX(Kintoneデータ抽出!L:L, _xlfn.AGGREGATE(15, 6, ROW(Kintoneデータ抽出!$K$2:$K$5000) / ((Kintoneデータ抽出!$K$2:$K$5000="院内")), ROW(A69))),"*新制度*"),"新制度","企業主導型"))),""), "")</f>
        <v/>
      </c>
    </row>
    <row r="107" spans="2:16" ht="34.799999999999997" customHeight="1" x14ac:dyDescent="0.45">
      <c r="B107" s="45"/>
      <c r="C107" s="46"/>
      <c r="D107" s="98" t="str">
        <f t="shared" si="2"/>
        <v/>
      </c>
      <c r="E107" s="99"/>
      <c r="F107" s="75" t="str">
        <f t="array" ref="F107">IFERROR(INDEX(Kintoneデータ抽出!A:A, _xlfn.AGGREGATE(15, 6, ROW(Kintoneデータ抽出!$K$2:$K$5000) / ((Kintoneデータ抽出!$K$2:$K$5000="院内")), ROW(A70))), "")</f>
        <v/>
      </c>
      <c r="G107" s="77" t="str">
        <f t="array" ref="G107">IFERROR(INDEX(Kintoneデータ抽出!D:D, _xlfn.AGGREGATE(15, 6, ROW(Kintoneデータ抽出!$K$2:$K$5000) / ((Kintoneデータ抽出!$K$2:$K$5000="院内")), ROW(A70))), "")</f>
        <v/>
      </c>
      <c r="H107" s="77" t="str">
        <f t="array" ref="H107">IFERROR(INDEX(Kintoneデータ抽出!C:C, _xlfn.AGGREGATE(15, 6, ROW(Kintoneデータ抽出!$K$2:$K$5000) / ((Kintoneデータ抽出!$K$2:$K$5000="院内")), ROW(A70))), "")</f>
        <v/>
      </c>
      <c r="I107" s="75" t="str">
        <f t="array" ref="I107">IFERROR(IF(INDEX(Kintoneデータ抽出!G:G, _xlfn.AGGREGATE(15, 6, ROW(Kintoneデータ抽出!$K$2:$K$5000) / ((Kintoneデータ抽出!$K$2:$K$5000="院内")), ROW(A70)))&lt;&gt;"",INDEX(Kintoneデータ抽出!G:G, _xlfn.AGGREGATE(15, 6, ROW(Kintoneデータ抽出!$K$2:$K$5000) / ((Kintoneデータ抽出!$K$2:$K$5000="院内")), ROW(A70)))&amp;"名",""), "")</f>
        <v/>
      </c>
      <c r="J107" s="76" t="str">
        <f t="array" ref="J107">IFERROR(IF(INDEX(Kintoneデータ抽出!E:E, _xlfn.AGGREGATE(15, 6, ROW(Kintoneデータ抽出!$K$2:$K$5000) / ((Kintoneデータ抽出!$K$2:$K$5000="院内")), ROW(A70)))&lt;&gt;"",
YEAR(INDEX(Kintoneデータ抽出!E:E, _xlfn.AGGREGATE(15, 6, ROW(Kintoneデータ抽出!$K$2:$K$5000) / ((Kintoneデータ抽出!$K$2:$K$5000="院内")), ROW(A70))))&amp;"年"
&amp;MONTH(INDEX(Kintoneデータ抽出!E:E, _xlfn.AGGREGATE(15, 6, ROW(Kintoneデータ抽出!$K$2:$K$5000) / ((Kintoneデータ抽出!$K$2:$K$5000="院内")), ROW(A70))))&amp;"月"
&amp;DAY(INDEX(Kintoneデータ抽出!E:E, _xlfn.AGGREGATE(15, 6, ROW(Kintoneデータ抽出!$K$2:$K$5000) /((Kintoneデータ抽出!$K$2:$K$5000="院内")), ROW(A70))))&amp;"日",""), "")</f>
        <v/>
      </c>
      <c r="K107" s="77" t="str" cm="1">
        <f t="array" ref="K107">IFERROR(IF(INDEX(Kintoneデータ抽出!F:F, _xlfn.AGGREGATE(15, 6, ROW(Kintoneデータ抽出!$K$2:$K$5000) / ((Kintoneデータ抽出!$K$2:$K$5000="院内")), ROW(A70)))&lt;&gt;"",
VLOOKUP(INDEX(Kintoneデータ抽出!F:F, _xlfn.AGGREGATE(15, 6, ROW(Kintoneデータ抽出!$K$2:$K$5000) / ((Kintoneデータ抽出!$K$2:$K$5000="院内")), ROW(A70))),基本開園日の表記!$A$2:$B$13,2,FALSE),""), "")</f>
        <v/>
      </c>
      <c r="L107" s="75" t="str">
        <f t="array" ref="L107">IFERROR(IF(INDEX(Kintoneデータ抽出!F:F, _xlfn.AGGREGATE(15, 6, ROW(Kintoneデータ抽出!$K$2:$K$5000) / ((Kintoneデータ抽出!$K$2:$K$5000="院内")), ROW(A70)))&lt;&gt;"",
IF(COUNTIF(INDEX(Kintoneデータ抽出!F:F, _xlfn.AGGREGATE(15, 6, ROW(Kintoneデータ抽出!$K$2:$K$5000) / ((Kintoneデータ抽出!$K$2:$K$5000="院内")), ROW(A70))),"*あり*"),"夜間",""),""), "")</f>
        <v/>
      </c>
      <c r="M107" s="75" t="str">
        <f t="array" ref="M107">IFERROR(IF(INDEX(Kintoneデータ抽出!I:I, _xlfn.AGGREGATE(15, 6, ROW(Kintoneデータ抽出!$K$2:$K$5000) / ((Kintoneデータ抽出!$K$2:$K$5000="院内")), ROW(A70)))&lt;&gt;"",
IF(COUNTIF(INDEX(Kintoneデータ抽出!I:I, _xlfn.AGGREGATE(15, 6, ROW(Kintoneデータ抽出!$K$2:$K$5000) / ((Kintoneデータ抽出!$K$2:$K$5000="院内")), ROW(A70))),"*あり*"),"学童",""),""), "")</f>
        <v/>
      </c>
      <c r="N107" s="75" t="str">
        <f t="array" ref="N107">IFERROR(IF(INDEX(Kintoneデータ抽出!H:H, _xlfn.AGGREGATE(15, 6, ROW(Kintoneデータ抽出!$K$2:$K$5000) / ((Kintoneデータ抽出!$K$2:$K$5000="院内")), ROW(A70)))&lt;&gt;"",
IF(COUNTIF(INDEX(Kintoneデータ抽出!H:H, _xlfn.AGGREGATE(15, 6, ROW(Kintoneデータ抽出!$K$2:$K$5000) / ((Kintoneデータ抽出!$K$2:$K$5000="院内")), ROW(A70))),"*あり*"),"病児",""),""), "")</f>
        <v/>
      </c>
      <c r="O107" s="94" t="str" cm="1">
        <f t="array" ref="O107">IFERROR(
IF(INDEX(Kintoneデータ抽出!M:M, _xlfn.AGGREGATE(15, 6, ROW(Kintoneデータ抽出!$K$2:$K$5000) / ((Kintoneデータ抽出!$K$2:$K$5000="院内")), ROW(A70)))&lt;&gt;0,INDEX(Kintoneデータ抽出!M:M, _xlfn.AGGREGATE(15, 6, ROW(Kintoneデータ抽出!$K$2:$K$5000) / ((Kintoneデータ抽出!$K$2:$K$5000="院内")), ROW(A70))),""), "")</f>
        <v/>
      </c>
      <c r="P107" s="78" t="str">
        <f t="array" ref="P107">IFERROR(IF(INDEX(Kintoneデータ抽出!L:L, _xlfn.AGGREGATE(15, 6, ROW(Kintoneデータ抽出!$K$2:$K$5000) / ((Kintoneデータ抽出!$K$2:$K$5000="院内")), ROW(A70)))&lt;&gt;"",
IF(COUNTIF(INDEX(Kintoneデータ抽出!L:L, _xlfn.AGGREGATE(15, 6, ROW(Kintoneデータ抽出!$K$2:$K$5000) / ((Kintoneデータ抽出!$K$2:$K$5000="院内")), ROW(A70))),"*企業主導型以外*"),"",
IF(COUNTIF(INDEX(Kintoneデータ抽出!L:L, _xlfn.AGGREGATE(15, 6, ROW(Kintoneデータ抽出!$K$2:$K$5000) / ((Kintoneデータ抽出!$K$2:$K$5000="院内")), ROW(A70))),"*その他*"),"",
IF(COUNTIF(INDEX(Kintoneデータ抽出!L:L, _xlfn.AGGREGATE(15, 6, ROW(Kintoneデータ抽出!$K$2:$K$5000) / ((Kintoneデータ抽出!$K$2:$K$5000="院内")), ROW(A70))),"*新制度*"),"新制度","企業主導型"))),""), "")</f>
        <v/>
      </c>
    </row>
    <row r="108" spans="2:16" ht="34.799999999999997" customHeight="1" x14ac:dyDescent="0.45">
      <c r="B108" s="45"/>
      <c r="C108" s="46"/>
      <c r="D108" s="98" t="str">
        <f t="shared" si="2"/>
        <v/>
      </c>
      <c r="E108" s="99"/>
      <c r="F108" s="75" t="str">
        <f t="array" ref="F108">IFERROR(INDEX(Kintoneデータ抽出!A:A, _xlfn.AGGREGATE(15, 6, ROW(Kintoneデータ抽出!$K$2:$K$5000) / ((Kintoneデータ抽出!$K$2:$K$5000="院内")), ROW(A71))), "")</f>
        <v/>
      </c>
      <c r="G108" s="77" t="str">
        <f t="array" ref="G108">IFERROR(INDEX(Kintoneデータ抽出!D:D, _xlfn.AGGREGATE(15, 6, ROW(Kintoneデータ抽出!$K$2:$K$5000) / ((Kintoneデータ抽出!$K$2:$K$5000="院内")), ROW(A71))), "")</f>
        <v/>
      </c>
      <c r="H108" s="77" t="str">
        <f t="array" ref="H108">IFERROR(INDEX(Kintoneデータ抽出!C:C, _xlfn.AGGREGATE(15, 6, ROW(Kintoneデータ抽出!$K$2:$K$5000) / ((Kintoneデータ抽出!$K$2:$K$5000="院内")), ROW(A71))), "")</f>
        <v/>
      </c>
      <c r="I108" s="75" t="str">
        <f t="array" ref="I108">IFERROR(IF(INDEX(Kintoneデータ抽出!G:G, _xlfn.AGGREGATE(15, 6, ROW(Kintoneデータ抽出!$K$2:$K$5000) / ((Kintoneデータ抽出!$K$2:$K$5000="院内")), ROW(A71)))&lt;&gt;"",INDEX(Kintoneデータ抽出!G:G, _xlfn.AGGREGATE(15, 6, ROW(Kintoneデータ抽出!$K$2:$K$5000) / ((Kintoneデータ抽出!$K$2:$K$5000="院内")), ROW(A71)))&amp;"名",""), "")</f>
        <v/>
      </c>
      <c r="J108" s="76" t="str">
        <f t="array" ref="J108">IFERROR(IF(INDEX(Kintoneデータ抽出!E:E, _xlfn.AGGREGATE(15, 6, ROW(Kintoneデータ抽出!$K$2:$K$5000) / ((Kintoneデータ抽出!$K$2:$K$5000="院内")), ROW(A71)))&lt;&gt;"",
YEAR(INDEX(Kintoneデータ抽出!E:E, _xlfn.AGGREGATE(15, 6, ROW(Kintoneデータ抽出!$K$2:$K$5000) / ((Kintoneデータ抽出!$K$2:$K$5000="院内")), ROW(A71))))&amp;"年"
&amp;MONTH(INDEX(Kintoneデータ抽出!E:E, _xlfn.AGGREGATE(15, 6, ROW(Kintoneデータ抽出!$K$2:$K$5000) / ((Kintoneデータ抽出!$K$2:$K$5000="院内")), ROW(A71))))&amp;"月"
&amp;DAY(INDEX(Kintoneデータ抽出!E:E, _xlfn.AGGREGATE(15, 6, ROW(Kintoneデータ抽出!$K$2:$K$5000) /((Kintoneデータ抽出!$K$2:$K$5000="院内")), ROW(A71))))&amp;"日",""), "")</f>
        <v/>
      </c>
      <c r="K108" s="77" t="str" cm="1">
        <f t="array" ref="K108">IFERROR(IF(INDEX(Kintoneデータ抽出!F:F, _xlfn.AGGREGATE(15, 6, ROW(Kintoneデータ抽出!$K$2:$K$5000) / ((Kintoneデータ抽出!$K$2:$K$5000="院内")), ROW(A71)))&lt;&gt;"",
VLOOKUP(INDEX(Kintoneデータ抽出!F:F, _xlfn.AGGREGATE(15, 6, ROW(Kintoneデータ抽出!$K$2:$K$5000) / ((Kintoneデータ抽出!$K$2:$K$5000="院内")), ROW(A71))),基本開園日の表記!$A$2:$B$13,2,FALSE),""), "")</f>
        <v/>
      </c>
      <c r="L108" s="75" t="str">
        <f t="array" ref="L108">IFERROR(IF(INDEX(Kintoneデータ抽出!F:F, _xlfn.AGGREGATE(15, 6, ROW(Kintoneデータ抽出!$K$2:$K$5000) / ((Kintoneデータ抽出!$K$2:$K$5000="院内")), ROW(A71)))&lt;&gt;"",
IF(COUNTIF(INDEX(Kintoneデータ抽出!F:F, _xlfn.AGGREGATE(15, 6, ROW(Kintoneデータ抽出!$K$2:$K$5000) / ((Kintoneデータ抽出!$K$2:$K$5000="院内")), ROW(A71))),"*あり*"),"夜間",""),""), "")</f>
        <v/>
      </c>
      <c r="M108" s="75" t="str">
        <f t="array" ref="M108">IFERROR(IF(INDEX(Kintoneデータ抽出!I:I, _xlfn.AGGREGATE(15, 6, ROW(Kintoneデータ抽出!$K$2:$K$5000) / ((Kintoneデータ抽出!$K$2:$K$5000="院内")), ROW(A71)))&lt;&gt;"",
IF(COUNTIF(INDEX(Kintoneデータ抽出!I:I, _xlfn.AGGREGATE(15, 6, ROW(Kintoneデータ抽出!$K$2:$K$5000) / ((Kintoneデータ抽出!$K$2:$K$5000="院内")), ROW(A71))),"*あり*"),"学童",""),""), "")</f>
        <v/>
      </c>
      <c r="N108" s="75" t="str">
        <f t="array" ref="N108">IFERROR(IF(INDEX(Kintoneデータ抽出!H:H, _xlfn.AGGREGATE(15, 6, ROW(Kintoneデータ抽出!$K$2:$K$5000) / ((Kintoneデータ抽出!$K$2:$K$5000="院内")), ROW(A71)))&lt;&gt;"",
IF(COUNTIF(INDEX(Kintoneデータ抽出!H:H, _xlfn.AGGREGATE(15, 6, ROW(Kintoneデータ抽出!$K$2:$K$5000) / ((Kintoneデータ抽出!$K$2:$K$5000="院内")), ROW(A71))),"*あり*"),"病児",""),""), "")</f>
        <v/>
      </c>
      <c r="O108" s="94" t="str" cm="1">
        <f t="array" ref="O108">IFERROR(
IF(INDEX(Kintoneデータ抽出!M:M, _xlfn.AGGREGATE(15, 6, ROW(Kintoneデータ抽出!$K$2:$K$5000) / ((Kintoneデータ抽出!$K$2:$K$5000="院内")), ROW(A71)))&lt;&gt;0,INDEX(Kintoneデータ抽出!M:M, _xlfn.AGGREGATE(15, 6, ROW(Kintoneデータ抽出!$K$2:$K$5000) / ((Kintoneデータ抽出!$K$2:$K$5000="院内")), ROW(A71))),""), "")</f>
        <v/>
      </c>
      <c r="P108" s="78" t="str">
        <f t="array" ref="P108">IFERROR(IF(INDEX(Kintoneデータ抽出!L:L, _xlfn.AGGREGATE(15, 6, ROW(Kintoneデータ抽出!$K$2:$K$5000) / ((Kintoneデータ抽出!$K$2:$K$5000="院内")), ROW(A71)))&lt;&gt;"",
IF(COUNTIF(INDEX(Kintoneデータ抽出!L:L, _xlfn.AGGREGATE(15, 6, ROW(Kintoneデータ抽出!$K$2:$K$5000) / ((Kintoneデータ抽出!$K$2:$K$5000="院内")), ROW(A71))),"*企業主導型以外*"),"",
IF(COUNTIF(INDEX(Kintoneデータ抽出!L:L, _xlfn.AGGREGATE(15, 6, ROW(Kintoneデータ抽出!$K$2:$K$5000) / ((Kintoneデータ抽出!$K$2:$K$5000="院内")), ROW(A71))),"*その他*"),"",
IF(COUNTIF(INDEX(Kintoneデータ抽出!L:L, _xlfn.AGGREGATE(15, 6, ROW(Kintoneデータ抽出!$K$2:$K$5000) / ((Kintoneデータ抽出!$K$2:$K$5000="院内")), ROW(A71))),"*新制度*"),"新制度","企業主導型"))),""), "")</f>
        <v/>
      </c>
    </row>
    <row r="109" spans="2:16" ht="34.799999999999997" customHeight="1" x14ac:dyDescent="0.45">
      <c r="B109" s="45"/>
      <c r="C109" s="46"/>
      <c r="D109" s="98" t="str">
        <f t="shared" si="2"/>
        <v/>
      </c>
      <c r="E109" s="99"/>
      <c r="F109" s="75" t="str">
        <f t="array" ref="F109">IFERROR(INDEX(Kintoneデータ抽出!A:A, _xlfn.AGGREGATE(15, 6, ROW(Kintoneデータ抽出!$K$2:$K$5000) / ((Kintoneデータ抽出!$K$2:$K$5000="院内")), ROW(A72))), "")</f>
        <v/>
      </c>
      <c r="G109" s="77" t="str">
        <f t="array" ref="G109">IFERROR(INDEX(Kintoneデータ抽出!D:D, _xlfn.AGGREGATE(15, 6, ROW(Kintoneデータ抽出!$K$2:$K$5000) / ((Kintoneデータ抽出!$K$2:$K$5000="院内")), ROW(A72))), "")</f>
        <v/>
      </c>
      <c r="H109" s="77" t="str">
        <f t="array" ref="H109">IFERROR(INDEX(Kintoneデータ抽出!C:C, _xlfn.AGGREGATE(15, 6, ROW(Kintoneデータ抽出!$K$2:$K$5000) / ((Kintoneデータ抽出!$K$2:$K$5000="院内")), ROW(A72))), "")</f>
        <v/>
      </c>
      <c r="I109" s="75" t="str">
        <f t="array" ref="I109">IFERROR(IF(INDEX(Kintoneデータ抽出!G:G, _xlfn.AGGREGATE(15, 6, ROW(Kintoneデータ抽出!$K$2:$K$5000) / ((Kintoneデータ抽出!$K$2:$K$5000="院内")), ROW(A72)))&lt;&gt;"",INDEX(Kintoneデータ抽出!G:G, _xlfn.AGGREGATE(15, 6, ROW(Kintoneデータ抽出!$K$2:$K$5000) / ((Kintoneデータ抽出!$K$2:$K$5000="院内")), ROW(A72)))&amp;"名",""), "")</f>
        <v/>
      </c>
      <c r="J109" s="76" t="str">
        <f t="array" ref="J109">IFERROR(IF(INDEX(Kintoneデータ抽出!E:E, _xlfn.AGGREGATE(15, 6, ROW(Kintoneデータ抽出!$K$2:$K$5000) / ((Kintoneデータ抽出!$K$2:$K$5000="院内")), ROW(A72)))&lt;&gt;"",
YEAR(INDEX(Kintoneデータ抽出!E:E, _xlfn.AGGREGATE(15, 6, ROW(Kintoneデータ抽出!$K$2:$K$5000) / ((Kintoneデータ抽出!$K$2:$K$5000="院内")), ROW(A72))))&amp;"年"
&amp;MONTH(INDEX(Kintoneデータ抽出!E:E, _xlfn.AGGREGATE(15, 6, ROW(Kintoneデータ抽出!$K$2:$K$5000) / ((Kintoneデータ抽出!$K$2:$K$5000="院内")), ROW(A72))))&amp;"月"
&amp;DAY(INDEX(Kintoneデータ抽出!E:E, _xlfn.AGGREGATE(15, 6, ROW(Kintoneデータ抽出!$K$2:$K$5000) /((Kintoneデータ抽出!$K$2:$K$5000="院内")), ROW(A72))))&amp;"日",""), "")</f>
        <v/>
      </c>
      <c r="K109" s="77" t="str" cm="1">
        <f t="array" ref="K109">IFERROR(IF(INDEX(Kintoneデータ抽出!F:F, _xlfn.AGGREGATE(15, 6, ROW(Kintoneデータ抽出!$K$2:$K$5000) / ((Kintoneデータ抽出!$K$2:$K$5000="院内")), ROW(A72)))&lt;&gt;"",
VLOOKUP(INDEX(Kintoneデータ抽出!F:F, _xlfn.AGGREGATE(15, 6, ROW(Kintoneデータ抽出!$K$2:$K$5000) / ((Kintoneデータ抽出!$K$2:$K$5000="院内")), ROW(A72))),基本開園日の表記!$A$2:$B$13,2,FALSE),""), "")</f>
        <v/>
      </c>
      <c r="L109" s="75" t="str">
        <f t="array" ref="L109">IFERROR(IF(INDEX(Kintoneデータ抽出!F:F, _xlfn.AGGREGATE(15, 6, ROW(Kintoneデータ抽出!$K$2:$K$5000) / ((Kintoneデータ抽出!$K$2:$K$5000="院内")), ROW(A72)))&lt;&gt;"",
IF(COUNTIF(INDEX(Kintoneデータ抽出!F:F, _xlfn.AGGREGATE(15, 6, ROW(Kintoneデータ抽出!$K$2:$K$5000) / ((Kintoneデータ抽出!$K$2:$K$5000="院内")), ROW(A72))),"*あり*"),"夜間",""),""), "")</f>
        <v/>
      </c>
      <c r="M109" s="75" t="str">
        <f t="array" ref="M109">IFERROR(IF(INDEX(Kintoneデータ抽出!I:I, _xlfn.AGGREGATE(15, 6, ROW(Kintoneデータ抽出!$K$2:$K$5000) / ((Kintoneデータ抽出!$K$2:$K$5000="院内")), ROW(A72)))&lt;&gt;"",
IF(COUNTIF(INDEX(Kintoneデータ抽出!I:I, _xlfn.AGGREGATE(15, 6, ROW(Kintoneデータ抽出!$K$2:$K$5000) / ((Kintoneデータ抽出!$K$2:$K$5000="院内")), ROW(A72))),"*あり*"),"学童",""),""), "")</f>
        <v/>
      </c>
      <c r="N109" s="75" t="str">
        <f t="array" ref="N109">IFERROR(IF(INDEX(Kintoneデータ抽出!H:H, _xlfn.AGGREGATE(15, 6, ROW(Kintoneデータ抽出!$K$2:$K$5000) / ((Kintoneデータ抽出!$K$2:$K$5000="院内")), ROW(A72)))&lt;&gt;"",
IF(COUNTIF(INDEX(Kintoneデータ抽出!H:H, _xlfn.AGGREGATE(15, 6, ROW(Kintoneデータ抽出!$K$2:$K$5000) / ((Kintoneデータ抽出!$K$2:$K$5000="院内")), ROW(A72))),"*あり*"),"病児",""),""), "")</f>
        <v/>
      </c>
      <c r="O109" s="94" t="str" cm="1">
        <f t="array" ref="O109">IFERROR(
IF(INDEX(Kintoneデータ抽出!M:M, _xlfn.AGGREGATE(15, 6, ROW(Kintoneデータ抽出!$K$2:$K$5000) / ((Kintoneデータ抽出!$K$2:$K$5000="院内")), ROW(A72)))&lt;&gt;0,INDEX(Kintoneデータ抽出!M:M, _xlfn.AGGREGATE(15, 6, ROW(Kintoneデータ抽出!$K$2:$K$5000) / ((Kintoneデータ抽出!$K$2:$K$5000="院内")), ROW(A72))),""), "")</f>
        <v/>
      </c>
      <c r="P109" s="78" t="str">
        <f t="array" ref="P109">IFERROR(IF(INDEX(Kintoneデータ抽出!L:L, _xlfn.AGGREGATE(15, 6, ROW(Kintoneデータ抽出!$K$2:$K$5000) / ((Kintoneデータ抽出!$K$2:$K$5000="院内")), ROW(A72)))&lt;&gt;"",
IF(COUNTIF(INDEX(Kintoneデータ抽出!L:L, _xlfn.AGGREGATE(15, 6, ROW(Kintoneデータ抽出!$K$2:$K$5000) / ((Kintoneデータ抽出!$K$2:$K$5000="院内")), ROW(A72))),"*企業主導型以外*"),"",
IF(COUNTIF(INDEX(Kintoneデータ抽出!L:L, _xlfn.AGGREGATE(15, 6, ROW(Kintoneデータ抽出!$K$2:$K$5000) / ((Kintoneデータ抽出!$K$2:$K$5000="院内")), ROW(A72))),"*その他*"),"",
IF(COUNTIF(INDEX(Kintoneデータ抽出!L:L, _xlfn.AGGREGATE(15, 6, ROW(Kintoneデータ抽出!$K$2:$K$5000) / ((Kintoneデータ抽出!$K$2:$K$5000="院内")), ROW(A72))),"*新制度*"),"新制度","企業主導型"))),""), "")</f>
        <v/>
      </c>
    </row>
    <row r="110" spans="2:16" ht="34.799999999999997" customHeight="1" x14ac:dyDescent="0.45">
      <c r="B110" s="45"/>
      <c r="C110" s="46"/>
      <c r="D110" s="98" t="str">
        <f t="shared" si="2"/>
        <v/>
      </c>
      <c r="E110" s="99"/>
      <c r="F110" s="75" t="str">
        <f t="array" ref="F110">IFERROR(INDEX(Kintoneデータ抽出!A:A, _xlfn.AGGREGATE(15, 6, ROW(Kintoneデータ抽出!$K$2:$K$5000) / ((Kintoneデータ抽出!$K$2:$K$5000="院内")), ROW(A73))), "")</f>
        <v/>
      </c>
      <c r="G110" s="77" t="str">
        <f t="array" ref="G110">IFERROR(INDEX(Kintoneデータ抽出!D:D, _xlfn.AGGREGATE(15, 6, ROW(Kintoneデータ抽出!$K$2:$K$5000) / ((Kintoneデータ抽出!$K$2:$K$5000="院内")), ROW(A73))), "")</f>
        <v/>
      </c>
      <c r="H110" s="77" t="str">
        <f t="array" ref="H110">IFERROR(INDEX(Kintoneデータ抽出!C:C, _xlfn.AGGREGATE(15, 6, ROW(Kintoneデータ抽出!$K$2:$K$5000) / ((Kintoneデータ抽出!$K$2:$K$5000="院内")), ROW(A73))), "")</f>
        <v/>
      </c>
      <c r="I110" s="75" t="str">
        <f t="array" ref="I110">IFERROR(IF(INDEX(Kintoneデータ抽出!G:G, _xlfn.AGGREGATE(15, 6, ROW(Kintoneデータ抽出!$K$2:$K$5000) / ((Kintoneデータ抽出!$K$2:$K$5000="院内")), ROW(A73)))&lt;&gt;"",INDEX(Kintoneデータ抽出!G:G, _xlfn.AGGREGATE(15, 6, ROW(Kintoneデータ抽出!$K$2:$K$5000) / ((Kintoneデータ抽出!$K$2:$K$5000="院内")), ROW(A73)))&amp;"名",""), "")</f>
        <v/>
      </c>
      <c r="J110" s="76" t="str">
        <f t="array" ref="J110">IFERROR(IF(INDEX(Kintoneデータ抽出!E:E, _xlfn.AGGREGATE(15, 6, ROW(Kintoneデータ抽出!$K$2:$K$5000) / ((Kintoneデータ抽出!$K$2:$K$5000="院内")), ROW(A73)))&lt;&gt;"",
YEAR(INDEX(Kintoneデータ抽出!E:E, _xlfn.AGGREGATE(15, 6, ROW(Kintoneデータ抽出!$K$2:$K$5000) / ((Kintoneデータ抽出!$K$2:$K$5000="院内")), ROW(A73))))&amp;"年"
&amp;MONTH(INDEX(Kintoneデータ抽出!E:E, _xlfn.AGGREGATE(15, 6, ROW(Kintoneデータ抽出!$K$2:$K$5000) / ((Kintoneデータ抽出!$K$2:$K$5000="院内")), ROW(A73))))&amp;"月"
&amp;DAY(INDEX(Kintoneデータ抽出!E:E, _xlfn.AGGREGATE(15, 6, ROW(Kintoneデータ抽出!$K$2:$K$5000) /((Kintoneデータ抽出!$K$2:$K$5000="院内")), ROW(A73))))&amp;"日",""), "")</f>
        <v/>
      </c>
      <c r="K110" s="77" t="str" cm="1">
        <f t="array" ref="K110">IFERROR(IF(INDEX(Kintoneデータ抽出!F:F, _xlfn.AGGREGATE(15, 6, ROW(Kintoneデータ抽出!$K$2:$K$5000) / ((Kintoneデータ抽出!$K$2:$K$5000="院内")), ROW(A73)))&lt;&gt;"",
VLOOKUP(INDEX(Kintoneデータ抽出!F:F, _xlfn.AGGREGATE(15, 6, ROW(Kintoneデータ抽出!$K$2:$K$5000) / ((Kintoneデータ抽出!$K$2:$K$5000="院内")), ROW(A73))),基本開園日の表記!$A$2:$B$13,2,FALSE),""), "")</f>
        <v/>
      </c>
      <c r="L110" s="75" t="str">
        <f t="array" ref="L110">IFERROR(IF(INDEX(Kintoneデータ抽出!F:F, _xlfn.AGGREGATE(15, 6, ROW(Kintoneデータ抽出!$K$2:$K$5000) / ((Kintoneデータ抽出!$K$2:$K$5000="院内")), ROW(A73)))&lt;&gt;"",
IF(COUNTIF(INDEX(Kintoneデータ抽出!F:F, _xlfn.AGGREGATE(15, 6, ROW(Kintoneデータ抽出!$K$2:$K$5000) / ((Kintoneデータ抽出!$K$2:$K$5000="院内")), ROW(A73))),"*あり*"),"夜間",""),""), "")</f>
        <v/>
      </c>
      <c r="M110" s="75" t="str">
        <f t="array" ref="M110">IFERROR(IF(INDEX(Kintoneデータ抽出!I:I, _xlfn.AGGREGATE(15, 6, ROW(Kintoneデータ抽出!$K$2:$K$5000) / ((Kintoneデータ抽出!$K$2:$K$5000="院内")), ROW(A73)))&lt;&gt;"",
IF(COUNTIF(INDEX(Kintoneデータ抽出!I:I, _xlfn.AGGREGATE(15, 6, ROW(Kintoneデータ抽出!$K$2:$K$5000) / ((Kintoneデータ抽出!$K$2:$K$5000="院内")), ROW(A73))),"*あり*"),"学童",""),""), "")</f>
        <v/>
      </c>
      <c r="N110" s="75" t="str">
        <f t="array" ref="N110">IFERROR(IF(INDEX(Kintoneデータ抽出!H:H, _xlfn.AGGREGATE(15, 6, ROW(Kintoneデータ抽出!$K$2:$K$5000) / ((Kintoneデータ抽出!$K$2:$K$5000="院内")), ROW(A73)))&lt;&gt;"",
IF(COUNTIF(INDEX(Kintoneデータ抽出!H:H, _xlfn.AGGREGATE(15, 6, ROW(Kintoneデータ抽出!$K$2:$K$5000) / ((Kintoneデータ抽出!$K$2:$K$5000="院内")), ROW(A73))),"*あり*"),"病児",""),""), "")</f>
        <v/>
      </c>
      <c r="O110" s="94" t="str" cm="1">
        <f t="array" ref="O110">IFERROR(
IF(INDEX(Kintoneデータ抽出!M:M, _xlfn.AGGREGATE(15, 6, ROW(Kintoneデータ抽出!$K$2:$K$5000) / ((Kintoneデータ抽出!$K$2:$K$5000="院内")), ROW(A73)))&lt;&gt;0,INDEX(Kintoneデータ抽出!M:M, _xlfn.AGGREGATE(15, 6, ROW(Kintoneデータ抽出!$K$2:$K$5000) / ((Kintoneデータ抽出!$K$2:$K$5000="院内")), ROW(A73))),""), "")</f>
        <v/>
      </c>
      <c r="P110" s="78" t="str">
        <f t="array" ref="P110">IFERROR(IF(INDEX(Kintoneデータ抽出!L:L, _xlfn.AGGREGATE(15, 6, ROW(Kintoneデータ抽出!$K$2:$K$5000) / ((Kintoneデータ抽出!$K$2:$K$5000="院内")), ROW(A73)))&lt;&gt;"",
IF(COUNTIF(INDEX(Kintoneデータ抽出!L:L, _xlfn.AGGREGATE(15, 6, ROW(Kintoneデータ抽出!$K$2:$K$5000) / ((Kintoneデータ抽出!$K$2:$K$5000="院内")), ROW(A73))),"*企業主導型以外*"),"",
IF(COUNTIF(INDEX(Kintoneデータ抽出!L:L, _xlfn.AGGREGATE(15, 6, ROW(Kintoneデータ抽出!$K$2:$K$5000) / ((Kintoneデータ抽出!$K$2:$K$5000="院内")), ROW(A73))),"*その他*"),"",
IF(COUNTIF(INDEX(Kintoneデータ抽出!L:L, _xlfn.AGGREGATE(15, 6, ROW(Kintoneデータ抽出!$K$2:$K$5000) / ((Kintoneデータ抽出!$K$2:$K$5000="院内")), ROW(A73))),"*新制度*"),"新制度","企業主導型"))),""), "")</f>
        <v/>
      </c>
    </row>
    <row r="111" spans="2:16" ht="34.799999999999997" customHeight="1" x14ac:dyDescent="0.45">
      <c r="B111" s="45"/>
      <c r="C111" s="46"/>
      <c r="D111" s="98" t="str">
        <f t="shared" si="2"/>
        <v/>
      </c>
      <c r="E111" s="99"/>
      <c r="F111" s="75" t="str">
        <f t="array" ref="F111">IFERROR(INDEX(Kintoneデータ抽出!A:A, _xlfn.AGGREGATE(15, 6, ROW(Kintoneデータ抽出!$K$2:$K$5000) / ((Kintoneデータ抽出!$K$2:$K$5000="院内")), ROW(A74))), "")</f>
        <v/>
      </c>
      <c r="G111" s="77" t="str">
        <f t="array" ref="G111">IFERROR(INDEX(Kintoneデータ抽出!D:D, _xlfn.AGGREGATE(15, 6, ROW(Kintoneデータ抽出!$K$2:$K$5000) / ((Kintoneデータ抽出!$K$2:$K$5000="院内")), ROW(A74))), "")</f>
        <v/>
      </c>
      <c r="H111" s="77" t="str">
        <f t="array" ref="H111">IFERROR(INDEX(Kintoneデータ抽出!C:C, _xlfn.AGGREGATE(15, 6, ROW(Kintoneデータ抽出!$K$2:$K$5000) / ((Kintoneデータ抽出!$K$2:$K$5000="院内")), ROW(A74))), "")</f>
        <v/>
      </c>
      <c r="I111" s="75" t="str">
        <f t="array" ref="I111">IFERROR(IF(INDEX(Kintoneデータ抽出!G:G, _xlfn.AGGREGATE(15, 6, ROW(Kintoneデータ抽出!$K$2:$K$5000) / ((Kintoneデータ抽出!$K$2:$K$5000="院内")), ROW(A74)))&lt;&gt;"",INDEX(Kintoneデータ抽出!G:G, _xlfn.AGGREGATE(15, 6, ROW(Kintoneデータ抽出!$K$2:$K$5000) / ((Kintoneデータ抽出!$K$2:$K$5000="院内")), ROW(A74)))&amp;"名",""), "")</f>
        <v/>
      </c>
      <c r="J111" s="76" t="str">
        <f t="array" ref="J111">IFERROR(IF(INDEX(Kintoneデータ抽出!E:E, _xlfn.AGGREGATE(15, 6, ROW(Kintoneデータ抽出!$K$2:$K$5000) / ((Kintoneデータ抽出!$K$2:$K$5000="院内")), ROW(A74)))&lt;&gt;"",
YEAR(INDEX(Kintoneデータ抽出!E:E, _xlfn.AGGREGATE(15, 6, ROW(Kintoneデータ抽出!$K$2:$K$5000) / ((Kintoneデータ抽出!$K$2:$K$5000="院内")), ROW(A74))))&amp;"年"
&amp;MONTH(INDEX(Kintoneデータ抽出!E:E, _xlfn.AGGREGATE(15, 6, ROW(Kintoneデータ抽出!$K$2:$K$5000) / ((Kintoneデータ抽出!$K$2:$K$5000="院内")), ROW(A74))))&amp;"月"
&amp;DAY(INDEX(Kintoneデータ抽出!E:E, _xlfn.AGGREGATE(15, 6, ROW(Kintoneデータ抽出!$K$2:$K$5000) /((Kintoneデータ抽出!$K$2:$K$5000="院内")), ROW(A74))))&amp;"日",""), "")</f>
        <v/>
      </c>
      <c r="K111" s="77" t="str" cm="1">
        <f t="array" ref="K111">IFERROR(IF(INDEX(Kintoneデータ抽出!F:F, _xlfn.AGGREGATE(15, 6, ROW(Kintoneデータ抽出!$K$2:$K$5000) / ((Kintoneデータ抽出!$K$2:$K$5000="院内")), ROW(A74)))&lt;&gt;"",
VLOOKUP(INDEX(Kintoneデータ抽出!F:F, _xlfn.AGGREGATE(15, 6, ROW(Kintoneデータ抽出!$K$2:$K$5000) / ((Kintoneデータ抽出!$K$2:$K$5000="院内")), ROW(A74))),基本開園日の表記!$A$2:$B$13,2,FALSE),""), "")</f>
        <v/>
      </c>
      <c r="L111" s="75" t="str">
        <f t="array" ref="L111">IFERROR(IF(INDEX(Kintoneデータ抽出!F:F, _xlfn.AGGREGATE(15, 6, ROW(Kintoneデータ抽出!$K$2:$K$5000) / ((Kintoneデータ抽出!$K$2:$K$5000="院内")), ROW(A74)))&lt;&gt;"",
IF(COUNTIF(INDEX(Kintoneデータ抽出!F:F, _xlfn.AGGREGATE(15, 6, ROW(Kintoneデータ抽出!$K$2:$K$5000) / ((Kintoneデータ抽出!$K$2:$K$5000="院内")), ROW(A74))),"*あり*"),"夜間",""),""), "")</f>
        <v/>
      </c>
      <c r="M111" s="75" t="str">
        <f t="array" ref="M111">IFERROR(IF(INDEX(Kintoneデータ抽出!I:I, _xlfn.AGGREGATE(15, 6, ROW(Kintoneデータ抽出!$K$2:$K$5000) / ((Kintoneデータ抽出!$K$2:$K$5000="院内")), ROW(A74)))&lt;&gt;"",
IF(COUNTIF(INDEX(Kintoneデータ抽出!I:I, _xlfn.AGGREGATE(15, 6, ROW(Kintoneデータ抽出!$K$2:$K$5000) / ((Kintoneデータ抽出!$K$2:$K$5000="院内")), ROW(A74))),"*あり*"),"学童",""),""), "")</f>
        <v/>
      </c>
      <c r="N111" s="75" t="str">
        <f t="array" ref="N111">IFERROR(IF(INDEX(Kintoneデータ抽出!H:H, _xlfn.AGGREGATE(15, 6, ROW(Kintoneデータ抽出!$K$2:$K$5000) / ((Kintoneデータ抽出!$K$2:$K$5000="院内")), ROW(A74)))&lt;&gt;"",
IF(COUNTIF(INDEX(Kintoneデータ抽出!H:H, _xlfn.AGGREGATE(15, 6, ROW(Kintoneデータ抽出!$K$2:$K$5000) / ((Kintoneデータ抽出!$K$2:$K$5000="院内")), ROW(A74))),"*あり*"),"病児",""),""), "")</f>
        <v/>
      </c>
      <c r="O111" s="94" t="str" cm="1">
        <f t="array" ref="O111">IFERROR(
IF(INDEX(Kintoneデータ抽出!M:M, _xlfn.AGGREGATE(15, 6, ROW(Kintoneデータ抽出!$K$2:$K$5000) / ((Kintoneデータ抽出!$K$2:$K$5000="院内")), ROW(A74)))&lt;&gt;0,INDEX(Kintoneデータ抽出!M:M, _xlfn.AGGREGATE(15, 6, ROW(Kintoneデータ抽出!$K$2:$K$5000) / ((Kintoneデータ抽出!$K$2:$K$5000="院内")), ROW(A74))),""), "")</f>
        <v/>
      </c>
      <c r="P111" s="78" t="str">
        <f t="array" ref="P111">IFERROR(IF(INDEX(Kintoneデータ抽出!L:L, _xlfn.AGGREGATE(15, 6, ROW(Kintoneデータ抽出!$K$2:$K$5000) / ((Kintoneデータ抽出!$K$2:$K$5000="院内")), ROW(A74)))&lt;&gt;"",
IF(COUNTIF(INDEX(Kintoneデータ抽出!L:L, _xlfn.AGGREGATE(15, 6, ROW(Kintoneデータ抽出!$K$2:$K$5000) / ((Kintoneデータ抽出!$K$2:$K$5000="院内")), ROW(A74))),"*企業主導型以外*"),"",
IF(COUNTIF(INDEX(Kintoneデータ抽出!L:L, _xlfn.AGGREGATE(15, 6, ROW(Kintoneデータ抽出!$K$2:$K$5000) / ((Kintoneデータ抽出!$K$2:$K$5000="院内")), ROW(A74))),"*その他*"),"",
IF(COUNTIF(INDEX(Kintoneデータ抽出!L:L, _xlfn.AGGREGATE(15, 6, ROW(Kintoneデータ抽出!$K$2:$K$5000) / ((Kintoneデータ抽出!$K$2:$K$5000="院内")), ROW(A74))),"*新制度*"),"新制度","企業主導型"))),""), "")</f>
        <v/>
      </c>
    </row>
    <row r="112" spans="2:16" ht="34.799999999999997" customHeight="1" x14ac:dyDescent="0.45">
      <c r="B112" s="45"/>
      <c r="C112" s="46"/>
      <c r="D112" s="98" t="str">
        <f t="shared" si="2"/>
        <v/>
      </c>
      <c r="E112" s="99"/>
      <c r="F112" s="75" t="str">
        <f t="array" ref="F112">IFERROR(INDEX(Kintoneデータ抽出!A:A, _xlfn.AGGREGATE(15, 6, ROW(Kintoneデータ抽出!$K$2:$K$5000) / ((Kintoneデータ抽出!$K$2:$K$5000="院内")), ROW(A75))), "")</f>
        <v/>
      </c>
      <c r="G112" s="77" t="str">
        <f t="array" ref="G112">IFERROR(INDEX(Kintoneデータ抽出!D:D, _xlfn.AGGREGATE(15, 6, ROW(Kintoneデータ抽出!$K$2:$K$5000) / ((Kintoneデータ抽出!$K$2:$K$5000="院内")), ROW(A75))), "")</f>
        <v/>
      </c>
      <c r="H112" s="77" t="str">
        <f t="array" ref="H112">IFERROR(INDEX(Kintoneデータ抽出!C:C, _xlfn.AGGREGATE(15, 6, ROW(Kintoneデータ抽出!$K$2:$K$5000) / ((Kintoneデータ抽出!$K$2:$K$5000="院内")), ROW(A75))), "")</f>
        <v/>
      </c>
      <c r="I112" s="75" t="str">
        <f t="array" ref="I112">IFERROR(IF(INDEX(Kintoneデータ抽出!G:G, _xlfn.AGGREGATE(15, 6, ROW(Kintoneデータ抽出!$K$2:$K$5000) / ((Kintoneデータ抽出!$K$2:$K$5000="院内")), ROW(A75)))&lt;&gt;"",INDEX(Kintoneデータ抽出!G:G, _xlfn.AGGREGATE(15, 6, ROW(Kintoneデータ抽出!$K$2:$K$5000) / ((Kintoneデータ抽出!$K$2:$K$5000="院内")), ROW(A75)))&amp;"名",""), "")</f>
        <v/>
      </c>
      <c r="J112" s="76" t="str">
        <f t="array" ref="J112">IFERROR(IF(INDEX(Kintoneデータ抽出!E:E, _xlfn.AGGREGATE(15, 6, ROW(Kintoneデータ抽出!$K$2:$K$5000) / ((Kintoneデータ抽出!$K$2:$K$5000="院内")), ROW(A75)))&lt;&gt;"",
YEAR(INDEX(Kintoneデータ抽出!E:E, _xlfn.AGGREGATE(15, 6, ROW(Kintoneデータ抽出!$K$2:$K$5000) / ((Kintoneデータ抽出!$K$2:$K$5000="院内")), ROW(A75))))&amp;"年"
&amp;MONTH(INDEX(Kintoneデータ抽出!E:E, _xlfn.AGGREGATE(15, 6, ROW(Kintoneデータ抽出!$K$2:$K$5000) / ((Kintoneデータ抽出!$K$2:$K$5000="院内")), ROW(A75))))&amp;"月"
&amp;DAY(INDEX(Kintoneデータ抽出!E:E, _xlfn.AGGREGATE(15, 6, ROW(Kintoneデータ抽出!$K$2:$K$5000) /((Kintoneデータ抽出!$K$2:$K$5000="院内")), ROW(A75))))&amp;"日",""), "")</f>
        <v/>
      </c>
      <c r="K112" s="77" t="str" cm="1">
        <f t="array" ref="K112">IFERROR(IF(INDEX(Kintoneデータ抽出!F:F, _xlfn.AGGREGATE(15, 6, ROW(Kintoneデータ抽出!$K$2:$K$5000) / ((Kintoneデータ抽出!$K$2:$K$5000="院内")), ROW(A75)))&lt;&gt;"",
VLOOKUP(INDEX(Kintoneデータ抽出!F:F, _xlfn.AGGREGATE(15, 6, ROW(Kintoneデータ抽出!$K$2:$K$5000) / ((Kintoneデータ抽出!$K$2:$K$5000="院内")), ROW(A75))),基本開園日の表記!$A$2:$B$13,2,FALSE),""), "")</f>
        <v/>
      </c>
      <c r="L112" s="75" t="str">
        <f t="array" ref="L112">IFERROR(IF(INDEX(Kintoneデータ抽出!F:F, _xlfn.AGGREGATE(15, 6, ROW(Kintoneデータ抽出!$K$2:$K$5000) / ((Kintoneデータ抽出!$K$2:$K$5000="院内")), ROW(A75)))&lt;&gt;"",
IF(COUNTIF(INDEX(Kintoneデータ抽出!F:F, _xlfn.AGGREGATE(15, 6, ROW(Kintoneデータ抽出!$K$2:$K$5000) / ((Kintoneデータ抽出!$K$2:$K$5000="院内")), ROW(A75))),"*あり*"),"夜間",""),""), "")</f>
        <v/>
      </c>
      <c r="M112" s="75" t="str">
        <f t="array" ref="M112">IFERROR(IF(INDEX(Kintoneデータ抽出!I:I, _xlfn.AGGREGATE(15, 6, ROW(Kintoneデータ抽出!$K$2:$K$5000) / ((Kintoneデータ抽出!$K$2:$K$5000="院内")), ROW(A75)))&lt;&gt;"",
IF(COUNTIF(INDEX(Kintoneデータ抽出!I:I, _xlfn.AGGREGATE(15, 6, ROW(Kintoneデータ抽出!$K$2:$K$5000) / ((Kintoneデータ抽出!$K$2:$K$5000="院内")), ROW(A75))),"*あり*"),"学童",""),""), "")</f>
        <v/>
      </c>
      <c r="N112" s="75" t="str">
        <f t="array" ref="N112">IFERROR(IF(INDEX(Kintoneデータ抽出!H:H, _xlfn.AGGREGATE(15, 6, ROW(Kintoneデータ抽出!$K$2:$K$5000) / ((Kintoneデータ抽出!$K$2:$K$5000="院内")), ROW(A75)))&lt;&gt;"",
IF(COUNTIF(INDEX(Kintoneデータ抽出!H:H, _xlfn.AGGREGATE(15, 6, ROW(Kintoneデータ抽出!$K$2:$K$5000) / ((Kintoneデータ抽出!$K$2:$K$5000="院内")), ROW(A75))),"*あり*"),"病児",""),""), "")</f>
        <v/>
      </c>
      <c r="O112" s="94" t="str" cm="1">
        <f t="array" ref="O112">IFERROR(
IF(INDEX(Kintoneデータ抽出!M:M, _xlfn.AGGREGATE(15, 6, ROW(Kintoneデータ抽出!$K$2:$K$5000) / ((Kintoneデータ抽出!$K$2:$K$5000="院内")), ROW(A75)))&lt;&gt;0,INDEX(Kintoneデータ抽出!M:M, _xlfn.AGGREGATE(15, 6, ROW(Kintoneデータ抽出!$K$2:$K$5000) / ((Kintoneデータ抽出!$K$2:$K$5000="院内")), ROW(A75))),""), "")</f>
        <v/>
      </c>
      <c r="P112" s="78" t="str">
        <f t="array" ref="P112">IFERROR(IF(INDEX(Kintoneデータ抽出!L:L, _xlfn.AGGREGATE(15, 6, ROW(Kintoneデータ抽出!$K$2:$K$5000) / ((Kintoneデータ抽出!$K$2:$K$5000="院内")), ROW(A75)))&lt;&gt;"",
IF(COUNTIF(INDEX(Kintoneデータ抽出!L:L, _xlfn.AGGREGATE(15, 6, ROW(Kintoneデータ抽出!$K$2:$K$5000) / ((Kintoneデータ抽出!$K$2:$K$5000="院内")), ROW(A75))),"*企業主導型以外*"),"",
IF(COUNTIF(INDEX(Kintoneデータ抽出!L:L, _xlfn.AGGREGATE(15, 6, ROW(Kintoneデータ抽出!$K$2:$K$5000) / ((Kintoneデータ抽出!$K$2:$K$5000="院内")), ROW(A75))),"*その他*"),"",
IF(COUNTIF(INDEX(Kintoneデータ抽出!L:L, _xlfn.AGGREGATE(15, 6, ROW(Kintoneデータ抽出!$K$2:$K$5000) / ((Kintoneデータ抽出!$K$2:$K$5000="院内")), ROW(A75))),"*新制度*"),"新制度","企業主導型"))),""), "")</f>
        <v/>
      </c>
    </row>
    <row r="113" spans="2:16" ht="34.799999999999997" customHeight="1" x14ac:dyDescent="0.45">
      <c r="B113" s="45"/>
      <c r="C113" s="46"/>
      <c r="D113" s="98" t="str">
        <f t="shared" si="2"/>
        <v/>
      </c>
      <c r="E113" s="99"/>
      <c r="F113" s="75" t="str">
        <f t="array" ref="F113">IFERROR(INDEX(Kintoneデータ抽出!A:A, _xlfn.AGGREGATE(15, 6, ROW(Kintoneデータ抽出!$K$2:$K$5000) / ((Kintoneデータ抽出!$K$2:$K$5000="院内")), ROW(A76))), "")</f>
        <v/>
      </c>
      <c r="G113" s="77" t="str">
        <f t="array" ref="G113">IFERROR(INDEX(Kintoneデータ抽出!D:D, _xlfn.AGGREGATE(15, 6, ROW(Kintoneデータ抽出!$K$2:$K$5000) / ((Kintoneデータ抽出!$K$2:$K$5000="院内")), ROW(A76))), "")</f>
        <v/>
      </c>
      <c r="H113" s="77" t="str">
        <f t="array" ref="H113">IFERROR(INDEX(Kintoneデータ抽出!C:C, _xlfn.AGGREGATE(15, 6, ROW(Kintoneデータ抽出!$K$2:$K$5000) / ((Kintoneデータ抽出!$K$2:$K$5000="院内")), ROW(A76))), "")</f>
        <v/>
      </c>
      <c r="I113" s="75" t="str">
        <f t="array" ref="I113">IFERROR(IF(INDEX(Kintoneデータ抽出!G:G, _xlfn.AGGREGATE(15, 6, ROW(Kintoneデータ抽出!$K$2:$K$5000) / ((Kintoneデータ抽出!$K$2:$K$5000="院内")), ROW(A76)))&lt;&gt;"",INDEX(Kintoneデータ抽出!G:G, _xlfn.AGGREGATE(15, 6, ROW(Kintoneデータ抽出!$K$2:$K$5000) / ((Kintoneデータ抽出!$K$2:$K$5000="院内")), ROW(A76)))&amp;"名",""), "")</f>
        <v/>
      </c>
      <c r="J113" s="76" t="str">
        <f t="array" ref="J113">IFERROR(IF(INDEX(Kintoneデータ抽出!E:E, _xlfn.AGGREGATE(15, 6, ROW(Kintoneデータ抽出!$K$2:$K$5000) / ((Kintoneデータ抽出!$K$2:$K$5000="院内")), ROW(A76)))&lt;&gt;"",
YEAR(INDEX(Kintoneデータ抽出!E:E, _xlfn.AGGREGATE(15, 6, ROW(Kintoneデータ抽出!$K$2:$K$5000) / ((Kintoneデータ抽出!$K$2:$K$5000="院内")), ROW(A76))))&amp;"年"
&amp;MONTH(INDEX(Kintoneデータ抽出!E:E, _xlfn.AGGREGATE(15, 6, ROW(Kintoneデータ抽出!$K$2:$K$5000) / ((Kintoneデータ抽出!$K$2:$K$5000="院内")), ROW(A76))))&amp;"月"
&amp;DAY(INDEX(Kintoneデータ抽出!E:E, _xlfn.AGGREGATE(15, 6, ROW(Kintoneデータ抽出!$K$2:$K$5000) /((Kintoneデータ抽出!$K$2:$K$5000="院内")), ROW(A76))))&amp;"日",""), "")</f>
        <v/>
      </c>
      <c r="K113" s="77" t="str" cm="1">
        <f t="array" ref="K113">IFERROR(IF(INDEX(Kintoneデータ抽出!F:F, _xlfn.AGGREGATE(15, 6, ROW(Kintoneデータ抽出!$K$2:$K$5000) / ((Kintoneデータ抽出!$K$2:$K$5000="院内")), ROW(A76)))&lt;&gt;"",
VLOOKUP(INDEX(Kintoneデータ抽出!F:F, _xlfn.AGGREGATE(15, 6, ROW(Kintoneデータ抽出!$K$2:$K$5000) / ((Kintoneデータ抽出!$K$2:$K$5000="院内")), ROW(A76))),基本開園日の表記!$A$2:$B$13,2,FALSE),""), "")</f>
        <v/>
      </c>
      <c r="L113" s="75" t="str">
        <f t="array" ref="L113">IFERROR(IF(INDEX(Kintoneデータ抽出!F:F, _xlfn.AGGREGATE(15, 6, ROW(Kintoneデータ抽出!$K$2:$K$5000) / ((Kintoneデータ抽出!$K$2:$K$5000="院内")), ROW(A76)))&lt;&gt;"",
IF(COUNTIF(INDEX(Kintoneデータ抽出!F:F, _xlfn.AGGREGATE(15, 6, ROW(Kintoneデータ抽出!$K$2:$K$5000) / ((Kintoneデータ抽出!$K$2:$K$5000="院内")), ROW(A76))),"*あり*"),"夜間",""),""), "")</f>
        <v/>
      </c>
      <c r="M113" s="75" t="str">
        <f t="array" ref="M113">IFERROR(IF(INDEX(Kintoneデータ抽出!I:I, _xlfn.AGGREGATE(15, 6, ROW(Kintoneデータ抽出!$K$2:$K$5000) / ((Kintoneデータ抽出!$K$2:$K$5000="院内")), ROW(A76)))&lt;&gt;"",
IF(COUNTIF(INDEX(Kintoneデータ抽出!I:I, _xlfn.AGGREGATE(15, 6, ROW(Kintoneデータ抽出!$K$2:$K$5000) / ((Kintoneデータ抽出!$K$2:$K$5000="院内")), ROW(A76))),"*あり*"),"学童",""),""), "")</f>
        <v/>
      </c>
      <c r="N113" s="75" t="str">
        <f t="array" ref="N113">IFERROR(IF(INDEX(Kintoneデータ抽出!H:H, _xlfn.AGGREGATE(15, 6, ROW(Kintoneデータ抽出!$K$2:$K$5000) / ((Kintoneデータ抽出!$K$2:$K$5000="院内")), ROW(A76)))&lt;&gt;"",
IF(COUNTIF(INDEX(Kintoneデータ抽出!H:H, _xlfn.AGGREGATE(15, 6, ROW(Kintoneデータ抽出!$K$2:$K$5000) / ((Kintoneデータ抽出!$K$2:$K$5000="院内")), ROW(A76))),"*あり*"),"病児",""),""), "")</f>
        <v/>
      </c>
      <c r="O113" s="94" t="str" cm="1">
        <f t="array" ref="O113">IFERROR(
IF(INDEX(Kintoneデータ抽出!M:M, _xlfn.AGGREGATE(15, 6, ROW(Kintoneデータ抽出!$K$2:$K$5000) / ((Kintoneデータ抽出!$K$2:$K$5000="院内")), ROW(A76)))&lt;&gt;0,INDEX(Kintoneデータ抽出!M:M, _xlfn.AGGREGATE(15, 6, ROW(Kintoneデータ抽出!$K$2:$K$5000) / ((Kintoneデータ抽出!$K$2:$K$5000="院内")), ROW(A76))),""), "")</f>
        <v/>
      </c>
      <c r="P113" s="78" t="str">
        <f t="array" ref="P113">IFERROR(IF(INDEX(Kintoneデータ抽出!L:L, _xlfn.AGGREGATE(15, 6, ROW(Kintoneデータ抽出!$K$2:$K$5000) / ((Kintoneデータ抽出!$K$2:$K$5000="院内")), ROW(A76)))&lt;&gt;"",
IF(COUNTIF(INDEX(Kintoneデータ抽出!L:L, _xlfn.AGGREGATE(15, 6, ROW(Kintoneデータ抽出!$K$2:$K$5000) / ((Kintoneデータ抽出!$K$2:$K$5000="院内")), ROW(A76))),"*企業主導型以外*"),"",
IF(COUNTIF(INDEX(Kintoneデータ抽出!L:L, _xlfn.AGGREGATE(15, 6, ROW(Kintoneデータ抽出!$K$2:$K$5000) / ((Kintoneデータ抽出!$K$2:$K$5000="院内")), ROW(A76))),"*その他*"),"",
IF(COUNTIF(INDEX(Kintoneデータ抽出!L:L, _xlfn.AGGREGATE(15, 6, ROW(Kintoneデータ抽出!$K$2:$K$5000) / ((Kintoneデータ抽出!$K$2:$K$5000="院内")), ROW(A76))),"*新制度*"),"新制度","企業主導型"))),""), "")</f>
        <v/>
      </c>
    </row>
    <row r="114" spans="2:16" ht="34.799999999999997" customHeight="1" x14ac:dyDescent="0.45">
      <c r="B114" s="45"/>
      <c r="C114" s="46"/>
      <c r="D114" s="98" t="str">
        <f t="shared" si="2"/>
        <v/>
      </c>
      <c r="E114" s="99"/>
      <c r="F114" s="75" t="str">
        <f t="array" ref="F114">IFERROR(INDEX(Kintoneデータ抽出!A:A, _xlfn.AGGREGATE(15, 6, ROW(Kintoneデータ抽出!$K$2:$K$5000) / ((Kintoneデータ抽出!$K$2:$K$5000="院内")), ROW(A77))), "")</f>
        <v/>
      </c>
      <c r="G114" s="77" t="str">
        <f t="array" ref="G114">IFERROR(INDEX(Kintoneデータ抽出!D:D, _xlfn.AGGREGATE(15, 6, ROW(Kintoneデータ抽出!$K$2:$K$5000) / ((Kintoneデータ抽出!$K$2:$K$5000="院内")), ROW(A77))), "")</f>
        <v/>
      </c>
      <c r="H114" s="77" t="str">
        <f t="array" ref="H114">IFERROR(INDEX(Kintoneデータ抽出!C:C, _xlfn.AGGREGATE(15, 6, ROW(Kintoneデータ抽出!$K$2:$K$5000) / ((Kintoneデータ抽出!$K$2:$K$5000="院内")), ROW(A77))), "")</f>
        <v/>
      </c>
      <c r="I114" s="75" t="str">
        <f t="array" ref="I114">IFERROR(IF(INDEX(Kintoneデータ抽出!G:G, _xlfn.AGGREGATE(15, 6, ROW(Kintoneデータ抽出!$K$2:$K$5000) / ((Kintoneデータ抽出!$K$2:$K$5000="院内")), ROW(A77)))&lt;&gt;"",INDEX(Kintoneデータ抽出!G:G, _xlfn.AGGREGATE(15, 6, ROW(Kintoneデータ抽出!$K$2:$K$5000) / ((Kintoneデータ抽出!$K$2:$K$5000="院内")), ROW(A77)))&amp;"名",""), "")</f>
        <v/>
      </c>
      <c r="J114" s="76" t="str">
        <f t="array" ref="J114">IFERROR(IF(INDEX(Kintoneデータ抽出!E:E, _xlfn.AGGREGATE(15, 6, ROW(Kintoneデータ抽出!$K$2:$K$5000) / ((Kintoneデータ抽出!$K$2:$K$5000="院内")), ROW(A77)))&lt;&gt;"",
YEAR(INDEX(Kintoneデータ抽出!E:E, _xlfn.AGGREGATE(15, 6, ROW(Kintoneデータ抽出!$K$2:$K$5000) / ((Kintoneデータ抽出!$K$2:$K$5000="院内")), ROW(A77))))&amp;"年"
&amp;MONTH(INDEX(Kintoneデータ抽出!E:E, _xlfn.AGGREGATE(15, 6, ROW(Kintoneデータ抽出!$K$2:$K$5000) / ((Kintoneデータ抽出!$K$2:$K$5000="院内")), ROW(A77))))&amp;"月"
&amp;DAY(INDEX(Kintoneデータ抽出!E:E, _xlfn.AGGREGATE(15, 6, ROW(Kintoneデータ抽出!$K$2:$K$5000) /((Kintoneデータ抽出!$K$2:$K$5000="院内")), ROW(A77))))&amp;"日",""), "")</f>
        <v/>
      </c>
      <c r="K114" s="77" t="str" cm="1">
        <f t="array" ref="K114">IFERROR(IF(INDEX(Kintoneデータ抽出!F:F, _xlfn.AGGREGATE(15, 6, ROW(Kintoneデータ抽出!$K$2:$K$5000) / ((Kintoneデータ抽出!$K$2:$K$5000="院内")), ROW(A77)))&lt;&gt;"",
VLOOKUP(INDEX(Kintoneデータ抽出!F:F, _xlfn.AGGREGATE(15, 6, ROW(Kintoneデータ抽出!$K$2:$K$5000) / ((Kintoneデータ抽出!$K$2:$K$5000="院内")), ROW(A77))),基本開園日の表記!$A$2:$B$13,2,FALSE),""), "")</f>
        <v/>
      </c>
      <c r="L114" s="75" t="str">
        <f t="array" ref="L114">IFERROR(IF(INDEX(Kintoneデータ抽出!F:F, _xlfn.AGGREGATE(15, 6, ROW(Kintoneデータ抽出!$K$2:$K$5000) / ((Kintoneデータ抽出!$K$2:$K$5000="院内")), ROW(A77)))&lt;&gt;"",
IF(COUNTIF(INDEX(Kintoneデータ抽出!F:F, _xlfn.AGGREGATE(15, 6, ROW(Kintoneデータ抽出!$K$2:$K$5000) / ((Kintoneデータ抽出!$K$2:$K$5000="院内")), ROW(A77))),"*あり*"),"夜間",""),""), "")</f>
        <v/>
      </c>
      <c r="M114" s="75" t="str">
        <f t="array" ref="M114">IFERROR(IF(INDEX(Kintoneデータ抽出!I:I, _xlfn.AGGREGATE(15, 6, ROW(Kintoneデータ抽出!$K$2:$K$5000) / ((Kintoneデータ抽出!$K$2:$K$5000="院内")), ROW(A77)))&lt;&gt;"",
IF(COUNTIF(INDEX(Kintoneデータ抽出!I:I, _xlfn.AGGREGATE(15, 6, ROW(Kintoneデータ抽出!$K$2:$K$5000) / ((Kintoneデータ抽出!$K$2:$K$5000="院内")), ROW(A77))),"*あり*"),"学童",""),""), "")</f>
        <v/>
      </c>
      <c r="N114" s="75" t="str">
        <f t="array" ref="N114">IFERROR(IF(INDEX(Kintoneデータ抽出!H:H, _xlfn.AGGREGATE(15, 6, ROW(Kintoneデータ抽出!$K$2:$K$5000) / ((Kintoneデータ抽出!$K$2:$K$5000="院内")), ROW(A77)))&lt;&gt;"",
IF(COUNTIF(INDEX(Kintoneデータ抽出!H:H, _xlfn.AGGREGATE(15, 6, ROW(Kintoneデータ抽出!$K$2:$K$5000) / ((Kintoneデータ抽出!$K$2:$K$5000="院内")), ROW(A77))),"*あり*"),"病児",""),""), "")</f>
        <v/>
      </c>
      <c r="O114" s="94" t="str" cm="1">
        <f t="array" ref="O114">IFERROR(
IF(INDEX(Kintoneデータ抽出!M:M, _xlfn.AGGREGATE(15, 6, ROW(Kintoneデータ抽出!$K$2:$K$5000) / ((Kintoneデータ抽出!$K$2:$K$5000="院内")), ROW(A77)))&lt;&gt;0,INDEX(Kintoneデータ抽出!M:M, _xlfn.AGGREGATE(15, 6, ROW(Kintoneデータ抽出!$K$2:$K$5000) / ((Kintoneデータ抽出!$K$2:$K$5000="院内")), ROW(A77))),""), "")</f>
        <v/>
      </c>
      <c r="P114" s="78" t="str">
        <f t="array" ref="P114">IFERROR(IF(INDEX(Kintoneデータ抽出!L:L, _xlfn.AGGREGATE(15, 6, ROW(Kintoneデータ抽出!$K$2:$K$5000) / ((Kintoneデータ抽出!$K$2:$K$5000="院内")), ROW(A77)))&lt;&gt;"",
IF(COUNTIF(INDEX(Kintoneデータ抽出!L:L, _xlfn.AGGREGATE(15, 6, ROW(Kintoneデータ抽出!$K$2:$K$5000) / ((Kintoneデータ抽出!$K$2:$K$5000="院内")), ROW(A77))),"*企業主導型以外*"),"",
IF(COUNTIF(INDEX(Kintoneデータ抽出!L:L, _xlfn.AGGREGATE(15, 6, ROW(Kintoneデータ抽出!$K$2:$K$5000) / ((Kintoneデータ抽出!$K$2:$K$5000="院内")), ROW(A77))),"*その他*"),"",
IF(COUNTIF(INDEX(Kintoneデータ抽出!L:L, _xlfn.AGGREGATE(15, 6, ROW(Kintoneデータ抽出!$K$2:$K$5000) / ((Kintoneデータ抽出!$K$2:$K$5000="院内")), ROW(A77))),"*新制度*"),"新制度","企業主導型"))),""), "")</f>
        <v/>
      </c>
    </row>
    <row r="115" spans="2:16" ht="34.799999999999997" customHeight="1" x14ac:dyDescent="0.45">
      <c r="B115" s="45"/>
      <c r="C115" s="46"/>
      <c r="D115" s="98" t="str">
        <f t="shared" si="2"/>
        <v/>
      </c>
      <c r="E115" s="99"/>
      <c r="F115" s="75" t="str">
        <f t="array" ref="F115">IFERROR(INDEX(Kintoneデータ抽出!A:A, _xlfn.AGGREGATE(15, 6, ROW(Kintoneデータ抽出!$K$2:$K$5000) / ((Kintoneデータ抽出!$K$2:$K$5000="院内")), ROW(A78))), "")</f>
        <v/>
      </c>
      <c r="G115" s="77" t="str">
        <f t="array" ref="G115">IFERROR(INDEX(Kintoneデータ抽出!D:D, _xlfn.AGGREGATE(15, 6, ROW(Kintoneデータ抽出!$K$2:$K$5000) / ((Kintoneデータ抽出!$K$2:$K$5000="院内")), ROW(A78))), "")</f>
        <v/>
      </c>
      <c r="H115" s="77" t="str">
        <f t="array" ref="H115">IFERROR(INDEX(Kintoneデータ抽出!C:C, _xlfn.AGGREGATE(15, 6, ROW(Kintoneデータ抽出!$K$2:$K$5000) / ((Kintoneデータ抽出!$K$2:$K$5000="院内")), ROW(A78))), "")</f>
        <v/>
      </c>
      <c r="I115" s="75" t="str">
        <f t="array" ref="I115">IFERROR(IF(INDEX(Kintoneデータ抽出!G:G, _xlfn.AGGREGATE(15, 6, ROW(Kintoneデータ抽出!$K$2:$K$5000) / ((Kintoneデータ抽出!$K$2:$K$5000="院内")), ROW(A78)))&lt;&gt;"",INDEX(Kintoneデータ抽出!G:G, _xlfn.AGGREGATE(15, 6, ROW(Kintoneデータ抽出!$K$2:$K$5000) / ((Kintoneデータ抽出!$K$2:$K$5000="院内")), ROW(A78)))&amp;"名",""), "")</f>
        <v/>
      </c>
      <c r="J115" s="76" t="str">
        <f t="array" ref="J115">IFERROR(IF(INDEX(Kintoneデータ抽出!E:E, _xlfn.AGGREGATE(15, 6, ROW(Kintoneデータ抽出!$K$2:$K$5000) / ((Kintoneデータ抽出!$K$2:$K$5000="院内")), ROW(A78)))&lt;&gt;"",
YEAR(INDEX(Kintoneデータ抽出!E:E, _xlfn.AGGREGATE(15, 6, ROW(Kintoneデータ抽出!$K$2:$K$5000) / ((Kintoneデータ抽出!$K$2:$K$5000="院内")), ROW(A78))))&amp;"年"
&amp;MONTH(INDEX(Kintoneデータ抽出!E:E, _xlfn.AGGREGATE(15, 6, ROW(Kintoneデータ抽出!$K$2:$K$5000) / ((Kintoneデータ抽出!$K$2:$K$5000="院内")), ROW(A78))))&amp;"月"
&amp;DAY(INDEX(Kintoneデータ抽出!E:E, _xlfn.AGGREGATE(15, 6, ROW(Kintoneデータ抽出!$K$2:$K$5000) /((Kintoneデータ抽出!$K$2:$K$5000="院内")), ROW(A78))))&amp;"日",""), "")</f>
        <v/>
      </c>
      <c r="K115" s="77" t="str" cm="1">
        <f t="array" ref="K115">IFERROR(IF(INDEX(Kintoneデータ抽出!F:F, _xlfn.AGGREGATE(15, 6, ROW(Kintoneデータ抽出!$K$2:$K$5000) / ((Kintoneデータ抽出!$K$2:$K$5000="院内")), ROW(A78)))&lt;&gt;"",
VLOOKUP(INDEX(Kintoneデータ抽出!F:F, _xlfn.AGGREGATE(15, 6, ROW(Kintoneデータ抽出!$K$2:$K$5000) / ((Kintoneデータ抽出!$K$2:$K$5000="院内")), ROW(A78))),基本開園日の表記!$A$2:$B$13,2,FALSE),""), "")</f>
        <v/>
      </c>
      <c r="L115" s="75" t="str">
        <f t="array" ref="L115">IFERROR(IF(INDEX(Kintoneデータ抽出!F:F, _xlfn.AGGREGATE(15, 6, ROW(Kintoneデータ抽出!$K$2:$K$5000) / ((Kintoneデータ抽出!$K$2:$K$5000="院内")), ROW(A78)))&lt;&gt;"",
IF(COUNTIF(INDEX(Kintoneデータ抽出!F:F, _xlfn.AGGREGATE(15, 6, ROW(Kintoneデータ抽出!$K$2:$K$5000) / ((Kintoneデータ抽出!$K$2:$K$5000="院内")), ROW(A78))),"*あり*"),"夜間",""),""), "")</f>
        <v/>
      </c>
      <c r="M115" s="75" t="str">
        <f t="array" ref="M115">IFERROR(IF(INDEX(Kintoneデータ抽出!I:I, _xlfn.AGGREGATE(15, 6, ROW(Kintoneデータ抽出!$K$2:$K$5000) / ((Kintoneデータ抽出!$K$2:$K$5000="院内")), ROW(A78)))&lt;&gt;"",
IF(COUNTIF(INDEX(Kintoneデータ抽出!I:I, _xlfn.AGGREGATE(15, 6, ROW(Kintoneデータ抽出!$K$2:$K$5000) / ((Kintoneデータ抽出!$K$2:$K$5000="院内")), ROW(A78))),"*あり*"),"学童",""),""), "")</f>
        <v/>
      </c>
      <c r="N115" s="75" t="str">
        <f t="array" ref="N115">IFERROR(IF(INDEX(Kintoneデータ抽出!H:H, _xlfn.AGGREGATE(15, 6, ROW(Kintoneデータ抽出!$K$2:$K$5000) / ((Kintoneデータ抽出!$K$2:$K$5000="院内")), ROW(A78)))&lt;&gt;"",
IF(COUNTIF(INDEX(Kintoneデータ抽出!H:H, _xlfn.AGGREGATE(15, 6, ROW(Kintoneデータ抽出!$K$2:$K$5000) / ((Kintoneデータ抽出!$K$2:$K$5000="院内")), ROW(A78))),"*あり*"),"病児",""),""), "")</f>
        <v/>
      </c>
      <c r="O115" s="94" t="str" cm="1">
        <f t="array" ref="O115">IFERROR(
IF(INDEX(Kintoneデータ抽出!M:M, _xlfn.AGGREGATE(15, 6, ROW(Kintoneデータ抽出!$K$2:$K$5000) / ((Kintoneデータ抽出!$K$2:$K$5000="院内")), ROW(A78)))&lt;&gt;0,INDEX(Kintoneデータ抽出!M:M, _xlfn.AGGREGATE(15, 6, ROW(Kintoneデータ抽出!$K$2:$K$5000) / ((Kintoneデータ抽出!$K$2:$K$5000="院内")), ROW(A78))),""), "")</f>
        <v/>
      </c>
      <c r="P115" s="78" t="str">
        <f t="array" ref="P115">IFERROR(IF(INDEX(Kintoneデータ抽出!L:L, _xlfn.AGGREGATE(15, 6, ROW(Kintoneデータ抽出!$K$2:$K$5000) / ((Kintoneデータ抽出!$K$2:$K$5000="院内")), ROW(A78)))&lt;&gt;"",
IF(COUNTIF(INDEX(Kintoneデータ抽出!L:L, _xlfn.AGGREGATE(15, 6, ROW(Kintoneデータ抽出!$K$2:$K$5000) / ((Kintoneデータ抽出!$K$2:$K$5000="院内")), ROW(A78))),"*企業主導型以外*"),"",
IF(COUNTIF(INDEX(Kintoneデータ抽出!L:L, _xlfn.AGGREGATE(15, 6, ROW(Kintoneデータ抽出!$K$2:$K$5000) / ((Kintoneデータ抽出!$K$2:$K$5000="院内")), ROW(A78))),"*その他*"),"",
IF(COUNTIF(INDEX(Kintoneデータ抽出!L:L, _xlfn.AGGREGATE(15, 6, ROW(Kintoneデータ抽出!$K$2:$K$5000) / ((Kintoneデータ抽出!$K$2:$K$5000="院内")), ROW(A78))),"*新制度*"),"新制度","企業主導型"))),""), "")</f>
        <v/>
      </c>
    </row>
    <row r="116" spans="2:16" ht="34.799999999999997" customHeight="1" x14ac:dyDescent="0.45">
      <c r="B116" s="45"/>
      <c r="C116" s="46"/>
      <c r="D116" s="98" t="str">
        <f t="shared" si="2"/>
        <v/>
      </c>
      <c r="E116" s="99"/>
      <c r="F116" s="75" t="str">
        <f t="array" ref="F116">IFERROR(INDEX(Kintoneデータ抽出!A:A, _xlfn.AGGREGATE(15, 6, ROW(Kintoneデータ抽出!$K$2:$K$5000) / ((Kintoneデータ抽出!$K$2:$K$5000="院内")), ROW(A79))), "")</f>
        <v/>
      </c>
      <c r="G116" s="77" t="str">
        <f t="array" ref="G116">IFERROR(INDEX(Kintoneデータ抽出!D:D, _xlfn.AGGREGATE(15, 6, ROW(Kintoneデータ抽出!$K$2:$K$5000) / ((Kintoneデータ抽出!$K$2:$K$5000="院内")), ROW(A79))), "")</f>
        <v/>
      </c>
      <c r="H116" s="77" t="str">
        <f t="array" ref="H116">IFERROR(INDEX(Kintoneデータ抽出!C:C, _xlfn.AGGREGATE(15, 6, ROW(Kintoneデータ抽出!$K$2:$K$5000) / ((Kintoneデータ抽出!$K$2:$K$5000="院内")), ROW(A79))), "")</f>
        <v/>
      </c>
      <c r="I116" s="75" t="str">
        <f t="array" ref="I116">IFERROR(IF(INDEX(Kintoneデータ抽出!G:G, _xlfn.AGGREGATE(15, 6, ROW(Kintoneデータ抽出!$K$2:$K$5000) / ((Kintoneデータ抽出!$K$2:$K$5000="院内")), ROW(A79)))&lt;&gt;"",INDEX(Kintoneデータ抽出!G:G, _xlfn.AGGREGATE(15, 6, ROW(Kintoneデータ抽出!$K$2:$K$5000) / ((Kintoneデータ抽出!$K$2:$K$5000="院内")), ROW(A79)))&amp;"名",""), "")</f>
        <v/>
      </c>
      <c r="J116" s="76" t="str">
        <f t="array" ref="J116">IFERROR(IF(INDEX(Kintoneデータ抽出!E:E, _xlfn.AGGREGATE(15, 6, ROW(Kintoneデータ抽出!$K$2:$K$5000) / ((Kintoneデータ抽出!$K$2:$K$5000="院内")), ROW(A79)))&lt;&gt;"",
YEAR(INDEX(Kintoneデータ抽出!E:E, _xlfn.AGGREGATE(15, 6, ROW(Kintoneデータ抽出!$K$2:$K$5000) / ((Kintoneデータ抽出!$K$2:$K$5000="院内")), ROW(A79))))&amp;"年"
&amp;MONTH(INDEX(Kintoneデータ抽出!E:E, _xlfn.AGGREGATE(15, 6, ROW(Kintoneデータ抽出!$K$2:$K$5000) / ((Kintoneデータ抽出!$K$2:$K$5000="院内")), ROW(A79))))&amp;"月"
&amp;DAY(INDEX(Kintoneデータ抽出!E:E, _xlfn.AGGREGATE(15, 6, ROW(Kintoneデータ抽出!$K$2:$K$5000) /((Kintoneデータ抽出!$K$2:$K$5000="院内")), ROW(A79))))&amp;"日",""), "")</f>
        <v/>
      </c>
      <c r="K116" s="77" t="str" cm="1">
        <f t="array" ref="K116">IFERROR(IF(INDEX(Kintoneデータ抽出!F:F, _xlfn.AGGREGATE(15, 6, ROW(Kintoneデータ抽出!$K$2:$K$5000) / ((Kintoneデータ抽出!$K$2:$K$5000="院内")), ROW(A79)))&lt;&gt;"",
VLOOKUP(INDEX(Kintoneデータ抽出!F:F, _xlfn.AGGREGATE(15, 6, ROW(Kintoneデータ抽出!$K$2:$K$5000) / ((Kintoneデータ抽出!$K$2:$K$5000="院内")), ROW(A79))),基本開園日の表記!$A$2:$B$13,2,FALSE),""), "")</f>
        <v/>
      </c>
      <c r="L116" s="75" t="str">
        <f t="array" ref="L116">IFERROR(IF(INDEX(Kintoneデータ抽出!F:F, _xlfn.AGGREGATE(15, 6, ROW(Kintoneデータ抽出!$K$2:$K$5000) / ((Kintoneデータ抽出!$K$2:$K$5000="院内")), ROW(A79)))&lt;&gt;"",
IF(COUNTIF(INDEX(Kintoneデータ抽出!F:F, _xlfn.AGGREGATE(15, 6, ROW(Kintoneデータ抽出!$K$2:$K$5000) / ((Kintoneデータ抽出!$K$2:$K$5000="院内")), ROW(A79))),"*あり*"),"夜間",""),""), "")</f>
        <v/>
      </c>
      <c r="M116" s="75" t="str">
        <f t="array" ref="M116">IFERROR(IF(INDEX(Kintoneデータ抽出!I:I, _xlfn.AGGREGATE(15, 6, ROW(Kintoneデータ抽出!$K$2:$K$5000) / ((Kintoneデータ抽出!$K$2:$K$5000="院内")), ROW(A79)))&lt;&gt;"",
IF(COUNTIF(INDEX(Kintoneデータ抽出!I:I, _xlfn.AGGREGATE(15, 6, ROW(Kintoneデータ抽出!$K$2:$K$5000) / ((Kintoneデータ抽出!$K$2:$K$5000="院内")), ROW(A79))),"*あり*"),"学童",""),""), "")</f>
        <v/>
      </c>
      <c r="N116" s="75" t="str">
        <f t="array" ref="N116">IFERROR(IF(INDEX(Kintoneデータ抽出!H:H, _xlfn.AGGREGATE(15, 6, ROW(Kintoneデータ抽出!$K$2:$K$5000) / ((Kintoneデータ抽出!$K$2:$K$5000="院内")), ROW(A79)))&lt;&gt;"",
IF(COUNTIF(INDEX(Kintoneデータ抽出!H:H, _xlfn.AGGREGATE(15, 6, ROW(Kintoneデータ抽出!$K$2:$K$5000) / ((Kintoneデータ抽出!$K$2:$K$5000="院内")), ROW(A79))),"*あり*"),"病児",""),""), "")</f>
        <v/>
      </c>
      <c r="O116" s="94" t="str" cm="1">
        <f t="array" ref="O116">IFERROR(
IF(INDEX(Kintoneデータ抽出!M:M, _xlfn.AGGREGATE(15, 6, ROW(Kintoneデータ抽出!$K$2:$K$5000) / ((Kintoneデータ抽出!$K$2:$K$5000="院内")), ROW(A79)))&lt;&gt;0,INDEX(Kintoneデータ抽出!M:M, _xlfn.AGGREGATE(15, 6, ROW(Kintoneデータ抽出!$K$2:$K$5000) / ((Kintoneデータ抽出!$K$2:$K$5000="院内")), ROW(A79))),""), "")</f>
        <v/>
      </c>
      <c r="P116" s="78" t="str">
        <f t="array" ref="P116">IFERROR(IF(INDEX(Kintoneデータ抽出!L:L, _xlfn.AGGREGATE(15, 6, ROW(Kintoneデータ抽出!$K$2:$K$5000) / ((Kintoneデータ抽出!$K$2:$K$5000="院内")), ROW(A79)))&lt;&gt;"",
IF(COUNTIF(INDEX(Kintoneデータ抽出!L:L, _xlfn.AGGREGATE(15, 6, ROW(Kintoneデータ抽出!$K$2:$K$5000) / ((Kintoneデータ抽出!$K$2:$K$5000="院内")), ROW(A79))),"*企業主導型以外*"),"",
IF(COUNTIF(INDEX(Kintoneデータ抽出!L:L, _xlfn.AGGREGATE(15, 6, ROW(Kintoneデータ抽出!$K$2:$K$5000) / ((Kintoneデータ抽出!$K$2:$K$5000="院内")), ROW(A79))),"*その他*"),"",
IF(COUNTIF(INDEX(Kintoneデータ抽出!L:L, _xlfn.AGGREGATE(15, 6, ROW(Kintoneデータ抽出!$K$2:$K$5000) / ((Kintoneデータ抽出!$K$2:$K$5000="院内")), ROW(A79))),"*新制度*"),"新制度","企業主導型"))),""), "")</f>
        <v/>
      </c>
    </row>
    <row r="117" spans="2:16" ht="34.799999999999997" customHeight="1" x14ac:dyDescent="0.45">
      <c r="B117" s="45"/>
      <c r="C117" s="46"/>
      <c r="D117" s="98" t="str">
        <f t="shared" si="2"/>
        <v/>
      </c>
      <c r="E117" s="99"/>
      <c r="F117" s="75" t="str">
        <f t="array" ref="F117">IFERROR(INDEX(Kintoneデータ抽出!A:A, _xlfn.AGGREGATE(15, 6, ROW(Kintoneデータ抽出!$K$2:$K$5000) / ((Kintoneデータ抽出!$K$2:$K$5000="院内")), ROW(A80))), "")</f>
        <v/>
      </c>
      <c r="G117" s="77" t="str">
        <f t="array" ref="G117">IFERROR(INDEX(Kintoneデータ抽出!D:D, _xlfn.AGGREGATE(15, 6, ROW(Kintoneデータ抽出!$K$2:$K$5000) / ((Kintoneデータ抽出!$K$2:$K$5000="院内")), ROW(A80))), "")</f>
        <v/>
      </c>
      <c r="H117" s="77" t="str">
        <f t="array" ref="H117">IFERROR(INDEX(Kintoneデータ抽出!C:C, _xlfn.AGGREGATE(15, 6, ROW(Kintoneデータ抽出!$K$2:$K$5000) / ((Kintoneデータ抽出!$K$2:$K$5000="院内")), ROW(A80))), "")</f>
        <v/>
      </c>
      <c r="I117" s="75" t="str">
        <f t="array" ref="I117">IFERROR(IF(INDEX(Kintoneデータ抽出!G:G, _xlfn.AGGREGATE(15, 6, ROW(Kintoneデータ抽出!$K$2:$K$5000) / ((Kintoneデータ抽出!$K$2:$K$5000="院内")), ROW(A80)))&lt;&gt;"",INDEX(Kintoneデータ抽出!G:G, _xlfn.AGGREGATE(15, 6, ROW(Kintoneデータ抽出!$K$2:$K$5000) / ((Kintoneデータ抽出!$K$2:$K$5000="院内")), ROW(A80)))&amp;"名",""), "")</f>
        <v/>
      </c>
      <c r="J117" s="76" t="str">
        <f t="array" ref="J117">IFERROR(IF(INDEX(Kintoneデータ抽出!E:E, _xlfn.AGGREGATE(15, 6, ROW(Kintoneデータ抽出!$K$2:$K$5000) / ((Kintoneデータ抽出!$K$2:$K$5000="院内")), ROW(A80)))&lt;&gt;"",
YEAR(INDEX(Kintoneデータ抽出!E:E, _xlfn.AGGREGATE(15, 6, ROW(Kintoneデータ抽出!$K$2:$K$5000) / ((Kintoneデータ抽出!$K$2:$K$5000="院内")), ROW(A80))))&amp;"年"
&amp;MONTH(INDEX(Kintoneデータ抽出!E:E, _xlfn.AGGREGATE(15, 6, ROW(Kintoneデータ抽出!$K$2:$K$5000) / ((Kintoneデータ抽出!$K$2:$K$5000="院内")), ROW(A80))))&amp;"月"
&amp;DAY(INDEX(Kintoneデータ抽出!E:E, _xlfn.AGGREGATE(15, 6, ROW(Kintoneデータ抽出!$K$2:$K$5000) /((Kintoneデータ抽出!$K$2:$K$5000="院内")), ROW(A80))))&amp;"日",""), "")</f>
        <v/>
      </c>
      <c r="K117" s="77" t="str" cm="1">
        <f t="array" ref="K117">IFERROR(IF(INDEX(Kintoneデータ抽出!F:F, _xlfn.AGGREGATE(15, 6, ROW(Kintoneデータ抽出!$K$2:$K$5000) / ((Kintoneデータ抽出!$K$2:$K$5000="院内")), ROW(A80)))&lt;&gt;"",
VLOOKUP(INDEX(Kintoneデータ抽出!F:F, _xlfn.AGGREGATE(15, 6, ROW(Kintoneデータ抽出!$K$2:$K$5000) / ((Kintoneデータ抽出!$K$2:$K$5000="院内")), ROW(A80))),基本開園日の表記!$A$2:$B$13,2,FALSE),""), "")</f>
        <v/>
      </c>
      <c r="L117" s="75" t="str">
        <f t="array" ref="L117">IFERROR(IF(INDEX(Kintoneデータ抽出!F:F, _xlfn.AGGREGATE(15, 6, ROW(Kintoneデータ抽出!$K$2:$K$5000) / ((Kintoneデータ抽出!$K$2:$K$5000="院内")), ROW(A80)))&lt;&gt;"",
IF(COUNTIF(INDEX(Kintoneデータ抽出!F:F, _xlfn.AGGREGATE(15, 6, ROW(Kintoneデータ抽出!$K$2:$K$5000) / ((Kintoneデータ抽出!$K$2:$K$5000="院内")), ROW(A80))),"*あり*"),"夜間",""),""), "")</f>
        <v/>
      </c>
      <c r="M117" s="75" t="str">
        <f t="array" ref="M117">IFERROR(IF(INDEX(Kintoneデータ抽出!I:I, _xlfn.AGGREGATE(15, 6, ROW(Kintoneデータ抽出!$K$2:$K$5000) / ((Kintoneデータ抽出!$K$2:$K$5000="院内")), ROW(A80)))&lt;&gt;"",
IF(COUNTIF(INDEX(Kintoneデータ抽出!I:I, _xlfn.AGGREGATE(15, 6, ROW(Kintoneデータ抽出!$K$2:$K$5000) / ((Kintoneデータ抽出!$K$2:$K$5000="院内")), ROW(A80))),"*あり*"),"学童",""),""), "")</f>
        <v/>
      </c>
      <c r="N117" s="75" t="str">
        <f t="array" ref="N117">IFERROR(IF(INDEX(Kintoneデータ抽出!H:H, _xlfn.AGGREGATE(15, 6, ROW(Kintoneデータ抽出!$K$2:$K$5000) / ((Kintoneデータ抽出!$K$2:$K$5000="院内")), ROW(A80)))&lt;&gt;"",
IF(COUNTIF(INDEX(Kintoneデータ抽出!H:H, _xlfn.AGGREGATE(15, 6, ROW(Kintoneデータ抽出!$K$2:$K$5000) / ((Kintoneデータ抽出!$K$2:$K$5000="院内")), ROW(A80))),"*あり*"),"病児",""),""), "")</f>
        <v/>
      </c>
      <c r="O117" s="94" t="str" cm="1">
        <f t="array" ref="O117">IFERROR(
IF(INDEX(Kintoneデータ抽出!M:M, _xlfn.AGGREGATE(15, 6, ROW(Kintoneデータ抽出!$K$2:$K$5000) / ((Kintoneデータ抽出!$K$2:$K$5000="院内")), ROW(A80)))&lt;&gt;0,INDEX(Kintoneデータ抽出!M:M, _xlfn.AGGREGATE(15, 6, ROW(Kintoneデータ抽出!$K$2:$K$5000) / ((Kintoneデータ抽出!$K$2:$K$5000="院内")), ROW(A80))),""), "")</f>
        <v/>
      </c>
      <c r="P117" s="78" t="str">
        <f t="array" ref="P117">IFERROR(IF(INDEX(Kintoneデータ抽出!L:L, _xlfn.AGGREGATE(15, 6, ROW(Kintoneデータ抽出!$K$2:$K$5000) / ((Kintoneデータ抽出!$K$2:$K$5000="院内")), ROW(A80)))&lt;&gt;"",
IF(COUNTIF(INDEX(Kintoneデータ抽出!L:L, _xlfn.AGGREGATE(15, 6, ROW(Kintoneデータ抽出!$K$2:$K$5000) / ((Kintoneデータ抽出!$K$2:$K$5000="院内")), ROW(A80))),"*企業主導型以外*"),"",
IF(COUNTIF(INDEX(Kintoneデータ抽出!L:L, _xlfn.AGGREGATE(15, 6, ROW(Kintoneデータ抽出!$K$2:$K$5000) / ((Kintoneデータ抽出!$K$2:$K$5000="院内")), ROW(A80))),"*その他*"),"",
IF(COUNTIF(INDEX(Kintoneデータ抽出!L:L, _xlfn.AGGREGATE(15, 6, ROW(Kintoneデータ抽出!$K$2:$K$5000) / ((Kintoneデータ抽出!$K$2:$K$5000="院内")), ROW(A80))),"*新制度*"),"新制度","企業主導型"))),""), "")</f>
        <v/>
      </c>
    </row>
    <row r="118" spans="2:16" ht="34.799999999999997" customHeight="1" x14ac:dyDescent="0.45">
      <c r="B118" s="45"/>
      <c r="C118" s="46"/>
      <c r="D118" s="98" t="str">
        <f t="shared" si="2"/>
        <v/>
      </c>
      <c r="E118" s="99"/>
      <c r="F118" s="75" t="str">
        <f t="array" ref="F118">IFERROR(INDEX(Kintoneデータ抽出!A:A, _xlfn.AGGREGATE(15, 6, ROW(Kintoneデータ抽出!$K$2:$K$5000) / ((Kintoneデータ抽出!$K$2:$K$5000="院内")), ROW(A81))), "")</f>
        <v/>
      </c>
      <c r="G118" s="77" t="str">
        <f t="array" ref="G118">IFERROR(INDEX(Kintoneデータ抽出!D:D, _xlfn.AGGREGATE(15, 6, ROW(Kintoneデータ抽出!$K$2:$K$5000) / ((Kintoneデータ抽出!$K$2:$K$5000="院内")), ROW(A81))), "")</f>
        <v/>
      </c>
      <c r="H118" s="77" t="str">
        <f t="array" ref="H118">IFERROR(INDEX(Kintoneデータ抽出!C:C, _xlfn.AGGREGATE(15, 6, ROW(Kintoneデータ抽出!$K$2:$K$5000) / ((Kintoneデータ抽出!$K$2:$K$5000="院内")), ROW(A81))), "")</f>
        <v/>
      </c>
      <c r="I118" s="75" t="str">
        <f t="array" ref="I118">IFERROR(IF(INDEX(Kintoneデータ抽出!G:G, _xlfn.AGGREGATE(15, 6, ROW(Kintoneデータ抽出!$K$2:$K$5000) / ((Kintoneデータ抽出!$K$2:$K$5000="院内")), ROW(A81)))&lt;&gt;"",INDEX(Kintoneデータ抽出!G:G, _xlfn.AGGREGATE(15, 6, ROW(Kintoneデータ抽出!$K$2:$K$5000) / ((Kintoneデータ抽出!$K$2:$K$5000="院内")), ROW(A81)))&amp;"名",""), "")</f>
        <v/>
      </c>
      <c r="J118" s="76" t="str">
        <f t="array" ref="J118">IFERROR(IF(INDEX(Kintoneデータ抽出!E:E, _xlfn.AGGREGATE(15, 6, ROW(Kintoneデータ抽出!$K$2:$K$5000) / ((Kintoneデータ抽出!$K$2:$K$5000="院内")), ROW(A81)))&lt;&gt;"",
YEAR(INDEX(Kintoneデータ抽出!E:E, _xlfn.AGGREGATE(15, 6, ROW(Kintoneデータ抽出!$K$2:$K$5000) / ((Kintoneデータ抽出!$K$2:$K$5000="院内")), ROW(A81))))&amp;"年"
&amp;MONTH(INDEX(Kintoneデータ抽出!E:E, _xlfn.AGGREGATE(15, 6, ROW(Kintoneデータ抽出!$K$2:$K$5000) / ((Kintoneデータ抽出!$K$2:$K$5000="院内")), ROW(A81))))&amp;"月"
&amp;DAY(INDEX(Kintoneデータ抽出!E:E, _xlfn.AGGREGATE(15, 6, ROW(Kintoneデータ抽出!$K$2:$K$5000) /((Kintoneデータ抽出!$K$2:$K$5000="院内")), ROW(A81))))&amp;"日",""), "")</f>
        <v/>
      </c>
      <c r="K118" s="77" t="str" cm="1">
        <f t="array" ref="K118">IFERROR(IF(INDEX(Kintoneデータ抽出!F:F, _xlfn.AGGREGATE(15, 6, ROW(Kintoneデータ抽出!$K$2:$K$5000) / ((Kintoneデータ抽出!$K$2:$K$5000="院内")), ROW(A81)))&lt;&gt;"",
VLOOKUP(INDEX(Kintoneデータ抽出!F:F, _xlfn.AGGREGATE(15, 6, ROW(Kintoneデータ抽出!$K$2:$K$5000) / ((Kintoneデータ抽出!$K$2:$K$5000="院内")), ROW(A81))),基本開園日の表記!$A$2:$B$13,2,FALSE),""), "")</f>
        <v/>
      </c>
      <c r="L118" s="75" t="str">
        <f t="array" ref="L118">IFERROR(IF(INDEX(Kintoneデータ抽出!F:F, _xlfn.AGGREGATE(15, 6, ROW(Kintoneデータ抽出!$K$2:$K$5000) / ((Kintoneデータ抽出!$K$2:$K$5000="院内")), ROW(A81)))&lt;&gt;"",
IF(COUNTIF(INDEX(Kintoneデータ抽出!F:F, _xlfn.AGGREGATE(15, 6, ROW(Kintoneデータ抽出!$K$2:$K$5000) / ((Kintoneデータ抽出!$K$2:$K$5000="院内")), ROW(A81))),"*あり*"),"夜間",""),""), "")</f>
        <v/>
      </c>
      <c r="M118" s="75" t="str">
        <f t="array" ref="M118">IFERROR(IF(INDEX(Kintoneデータ抽出!I:I, _xlfn.AGGREGATE(15, 6, ROW(Kintoneデータ抽出!$K$2:$K$5000) / ((Kintoneデータ抽出!$K$2:$K$5000="院内")), ROW(A81)))&lt;&gt;"",
IF(COUNTIF(INDEX(Kintoneデータ抽出!I:I, _xlfn.AGGREGATE(15, 6, ROW(Kintoneデータ抽出!$K$2:$K$5000) / ((Kintoneデータ抽出!$K$2:$K$5000="院内")), ROW(A81))),"*あり*"),"学童",""),""), "")</f>
        <v/>
      </c>
      <c r="N118" s="75" t="str">
        <f t="array" ref="N118">IFERROR(IF(INDEX(Kintoneデータ抽出!H:H, _xlfn.AGGREGATE(15, 6, ROW(Kintoneデータ抽出!$K$2:$K$5000) / ((Kintoneデータ抽出!$K$2:$K$5000="院内")), ROW(A81)))&lt;&gt;"",
IF(COUNTIF(INDEX(Kintoneデータ抽出!H:H, _xlfn.AGGREGATE(15, 6, ROW(Kintoneデータ抽出!$K$2:$K$5000) / ((Kintoneデータ抽出!$K$2:$K$5000="院内")), ROW(A81))),"*あり*"),"病児",""),""), "")</f>
        <v/>
      </c>
      <c r="O118" s="94" t="str" cm="1">
        <f t="array" ref="O118">IFERROR(
IF(INDEX(Kintoneデータ抽出!M:M, _xlfn.AGGREGATE(15, 6, ROW(Kintoneデータ抽出!$K$2:$K$5000) / ((Kintoneデータ抽出!$K$2:$K$5000="院内")), ROW(A81)))&lt;&gt;0,INDEX(Kintoneデータ抽出!M:M, _xlfn.AGGREGATE(15, 6, ROW(Kintoneデータ抽出!$K$2:$K$5000) / ((Kintoneデータ抽出!$K$2:$K$5000="院内")), ROW(A81))),""), "")</f>
        <v/>
      </c>
      <c r="P118" s="78" t="str">
        <f t="array" ref="P118">IFERROR(IF(INDEX(Kintoneデータ抽出!L:L, _xlfn.AGGREGATE(15, 6, ROW(Kintoneデータ抽出!$K$2:$K$5000) / ((Kintoneデータ抽出!$K$2:$K$5000="院内")), ROW(A81)))&lt;&gt;"",
IF(COUNTIF(INDEX(Kintoneデータ抽出!L:L, _xlfn.AGGREGATE(15, 6, ROW(Kintoneデータ抽出!$K$2:$K$5000) / ((Kintoneデータ抽出!$K$2:$K$5000="院内")), ROW(A81))),"*企業主導型以外*"),"",
IF(COUNTIF(INDEX(Kintoneデータ抽出!L:L, _xlfn.AGGREGATE(15, 6, ROW(Kintoneデータ抽出!$K$2:$K$5000) / ((Kintoneデータ抽出!$K$2:$K$5000="院内")), ROW(A81))),"*その他*"),"",
IF(COUNTIF(INDEX(Kintoneデータ抽出!L:L, _xlfn.AGGREGATE(15, 6, ROW(Kintoneデータ抽出!$K$2:$K$5000) / ((Kintoneデータ抽出!$K$2:$K$5000="院内")), ROW(A81))),"*新制度*"),"新制度","企業主導型"))),""), "")</f>
        <v/>
      </c>
    </row>
    <row r="119" spans="2:16" ht="34.799999999999997" customHeight="1" x14ac:dyDescent="0.45">
      <c r="B119" s="45"/>
      <c r="C119" s="46"/>
      <c r="D119" s="98" t="str">
        <f t="shared" si="2"/>
        <v/>
      </c>
      <c r="E119" s="99"/>
      <c r="F119" s="75" t="str">
        <f t="array" ref="F119">IFERROR(INDEX(Kintoneデータ抽出!A:A, _xlfn.AGGREGATE(15, 6, ROW(Kintoneデータ抽出!$K$2:$K$5000) / ((Kintoneデータ抽出!$K$2:$K$5000="院内")), ROW(A82))), "")</f>
        <v/>
      </c>
      <c r="G119" s="77" t="str">
        <f t="array" ref="G119">IFERROR(INDEX(Kintoneデータ抽出!D:D, _xlfn.AGGREGATE(15, 6, ROW(Kintoneデータ抽出!$K$2:$K$5000) / ((Kintoneデータ抽出!$K$2:$K$5000="院内")), ROW(A82))), "")</f>
        <v/>
      </c>
      <c r="H119" s="77" t="str">
        <f t="array" ref="H119">IFERROR(INDEX(Kintoneデータ抽出!C:C, _xlfn.AGGREGATE(15, 6, ROW(Kintoneデータ抽出!$K$2:$K$5000) / ((Kintoneデータ抽出!$K$2:$K$5000="院内")), ROW(A82))), "")</f>
        <v/>
      </c>
      <c r="I119" s="75" t="str">
        <f t="array" ref="I119">IFERROR(IF(INDEX(Kintoneデータ抽出!G:G, _xlfn.AGGREGATE(15, 6, ROW(Kintoneデータ抽出!$K$2:$K$5000) / ((Kintoneデータ抽出!$K$2:$K$5000="院内")), ROW(A82)))&lt;&gt;"",INDEX(Kintoneデータ抽出!G:G, _xlfn.AGGREGATE(15, 6, ROW(Kintoneデータ抽出!$K$2:$K$5000) / ((Kintoneデータ抽出!$K$2:$K$5000="院内")), ROW(A82)))&amp;"名",""), "")</f>
        <v/>
      </c>
      <c r="J119" s="76" t="str">
        <f t="array" ref="J119">IFERROR(IF(INDEX(Kintoneデータ抽出!E:E, _xlfn.AGGREGATE(15, 6, ROW(Kintoneデータ抽出!$K$2:$K$5000) / ((Kintoneデータ抽出!$K$2:$K$5000="院内")), ROW(A82)))&lt;&gt;"",
YEAR(INDEX(Kintoneデータ抽出!E:E, _xlfn.AGGREGATE(15, 6, ROW(Kintoneデータ抽出!$K$2:$K$5000) / ((Kintoneデータ抽出!$K$2:$K$5000="院内")), ROW(A82))))&amp;"年"
&amp;MONTH(INDEX(Kintoneデータ抽出!E:E, _xlfn.AGGREGATE(15, 6, ROW(Kintoneデータ抽出!$K$2:$K$5000) / ((Kintoneデータ抽出!$K$2:$K$5000="院内")), ROW(A82))))&amp;"月"
&amp;DAY(INDEX(Kintoneデータ抽出!E:E, _xlfn.AGGREGATE(15, 6, ROW(Kintoneデータ抽出!$K$2:$K$5000) /((Kintoneデータ抽出!$K$2:$K$5000="院内")), ROW(A82))))&amp;"日",""), "")</f>
        <v/>
      </c>
      <c r="K119" s="77" t="str" cm="1">
        <f t="array" ref="K119">IFERROR(IF(INDEX(Kintoneデータ抽出!F:F, _xlfn.AGGREGATE(15, 6, ROW(Kintoneデータ抽出!$K$2:$K$5000) / ((Kintoneデータ抽出!$K$2:$K$5000="院内")), ROW(A82)))&lt;&gt;"",
VLOOKUP(INDEX(Kintoneデータ抽出!F:F, _xlfn.AGGREGATE(15, 6, ROW(Kintoneデータ抽出!$K$2:$K$5000) / ((Kintoneデータ抽出!$K$2:$K$5000="院内")), ROW(A82))),基本開園日の表記!$A$2:$B$13,2,FALSE),""), "")</f>
        <v/>
      </c>
      <c r="L119" s="75" t="str">
        <f t="array" ref="L119">IFERROR(IF(INDEX(Kintoneデータ抽出!F:F, _xlfn.AGGREGATE(15, 6, ROW(Kintoneデータ抽出!$K$2:$K$5000) / ((Kintoneデータ抽出!$K$2:$K$5000="院内")), ROW(A82)))&lt;&gt;"",
IF(COUNTIF(INDEX(Kintoneデータ抽出!F:F, _xlfn.AGGREGATE(15, 6, ROW(Kintoneデータ抽出!$K$2:$K$5000) / ((Kintoneデータ抽出!$K$2:$K$5000="院内")), ROW(A82))),"*あり*"),"夜間",""),""), "")</f>
        <v/>
      </c>
      <c r="M119" s="75" t="str">
        <f t="array" ref="M119">IFERROR(IF(INDEX(Kintoneデータ抽出!I:I, _xlfn.AGGREGATE(15, 6, ROW(Kintoneデータ抽出!$K$2:$K$5000) / ((Kintoneデータ抽出!$K$2:$K$5000="院内")), ROW(A82)))&lt;&gt;"",
IF(COUNTIF(INDEX(Kintoneデータ抽出!I:I, _xlfn.AGGREGATE(15, 6, ROW(Kintoneデータ抽出!$K$2:$K$5000) / ((Kintoneデータ抽出!$K$2:$K$5000="院内")), ROW(A82))),"*あり*"),"学童",""),""), "")</f>
        <v/>
      </c>
      <c r="N119" s="75" t="str">
        <f t="array" ref="N119">IFERROR(IF(INDEX(Kintoneデータ抽出!H:H, _xlfn.AGGREGATE(15, 6, ROW(Kintoneデータ抽出!$K$2:$K$5000) / ((Kintoneデータ抽出!$K$2:$K$5000="院内")), ROW(A82)))&lt;&gt;"",
IF(COUNTIF(INDEX(Kintoneデータ抽出!H:H, _xlfn.AGGREGATE(15, 6, ROW(Kintoneデータ抽出!$K$2:$K$5000) / ((Kintoneデータ抽出!$K$2:$K$5000="院内")), ROW(A82))),"*あり*"),"病児",""),""), "")</f>
        <v/>
      </c>
      <c r="O119" s="94" t="str" cm="1">
        <f t="array" ref="O119">IFERROR(
IF(INDEX(Kintoneデータ抽出!M:M, _xlfn.AGGREGATE(15, 6, ROW(Kintoneデータ抽出!$K$2:$K$5000) / ((Kintoneデータ抽出!$K$2:$K$5000="院内")), ROW(A82)))&lt;&gt;0,INDEX(Kintoneデータ抽出!M:M, _xlfn.AGGREGATE(15, 6, ROW(Kintoneデータ抽出!$K$2:$K$5000) / ((Kintoneデータ抽出!$K$2:$K$5000="院内")), ROW(A82))),""), "")</f>
        <v/>
      </c>
      <c r="P119" s="78" t="str">
        <f t="array" ref="P119">IFERROR(IF(INDEX(Kintoneデータ抽出!L:L, _xlfn.AGGREGATE(15, 6, ROW(Kintoneデータ抽出!$K$2:$K$5000) / ((Kintoneデータ抽出!$K$2:$K$5000="院内")), ROW(A82)))&lt;&gt;"",
IF(COUNTIF(INDEX(Kintoneデータ抽出!L:L, _xlfn.AGGREGATE(15, 6, ROW(Kintoneデータ抽出!$K$2:$K$5000) / ((Kintoneデータ抽出!$K$2:$K$5000="院内")), ROW(A82))),"*企業主導型以外*"),"",
IF(COUNTIF(INDEX(Kintoneデータ抽出!L:L, _xlfn.AGGREGATE(15, 6, ROW(Kintoneデータ抽出!$K$2:$K$5000) / ((Kintoneデータ抽出!$K$2:$K$5000="院内")), ROW(A82))),"*その他*"),"",
IF(COUNTIF(INDEX(Kintoneデータ抽出!L:L, _xlfn.AGGREGATE(15, 6, ROW(Kintoneデータ抽出!$K$2:$K$5000) / ((Kintoneデータ抽出!$K$2:$K$5000="院内")), ROW(A82))),"*新制度*"),"新制度","企業主導型"))),""), "")</f>
        <v/>
      </c>
    </row>
    <row r="120" spans="2:16" ht="34.799999999999997" customHeight="1" x14ac:dyDescent="0.45">
      <c r="B120" s="45"/>
      <c r="C120" s="46"/>
      <c r="D120" s="98" t="str">
        <f t="shared" si="2"/>
        <v/>
      </c>
      <c r="E120" s="99"/>
      <c r="F120" s="75" t="str">
        <f t="array" ref="F120">IFERROR(INDEX(Kintoneデータ抽出!A:A, _xlfn.AGGREGATE(15, 6, ROW(Kintoneデータ抽出!$K$2:$K$5000) / ((Kintoneデータ抽出!$K$2:$K$5000="院内")), ROW(A83))), "")</f>
        <v/>
      </c>
      <c r="G120" s="77" t="str">
        <f t="array" ref="G120">IFERROR(INDEX(Kintoneデータ抽出!D:D, _xlfn.AGGREGATE(15, 6, ROW(Kintoneデータ抽出!$K$2:$K$5000) / ((Kintoneデータ抽出!$K$2:$K$5000="院内")), ROW(A83))), "")</f>
        <v/>
      </c>
      <c r="H120" s="77" t="str">
        <f t="array" ref="H120">IFERROR(INDEX(Kintoneデータ抽出!C:C, _xlfn.AGGREGATE(15, 6, ROW(Kintoneデータ抽出!$K$2:$K$5000) / ((Kintoneデータ抽出!$K$2:$K$5000="院内")), ROW(A83))), "")</f>
        <v/>
      </c>
      <c r="I120" s="75" t="str">
        <f t="array" ref="I120">IFERROR(IF(INDEX(Kintoneデータ抽出!G:G, _xlfn.AGGREGATE(15, 6, ROW(Kintoneデータ抽出!$K$2:$K$5000) / ((Kintoneデータ抽出!$K$2:$K$5000="院内")), ROW(A83)))&lt;&gt;"",INDEX(Kintoneデータ抽出!G:G, _xlfn.AGGREGATE(15, 6, ROW(Kintoneデータ抽出!$K$2:$K$5000) / ((Kintoneデータ抽出!$K$2:$K$5000="院内")), ROW(A83)))&amp;"名",""), "")</f>
        <v/>
      </c>
      <c r="J120" s="76" t="str">
        <f t="array" ref="J120">IFERROR(IF(INDEX(Kintoneデータ抽出!E:E, _xlfn.AGGREGATE(15, 6, ROW(Kintoneデータ抽出!$K$2:$K$5000) / ((Kintoneデータ抽出!$K$2:$K$5000="院内")), ROW(A83)))&lt;&gt;"",
YEAR(INDEX(Kintoneデータ抽出!E:E, _xlfn.AGGREGATE(15, 6, ROW(Kintoneデータ抽出!$K$2:$K$5000) / ((Kintoneデータ抽出!$K$2:$K$5000="院内")), ROW(A83))))&amp;"年"
&amp;MONTH(INDEX(Kintoneデータ抽出!E:E, _xlfn.AGGREGATE(15, 6, ROW(Kintoneデータ抽出!$K$2:$K$5000) / ((Kintoneデータ抽出!$K$2:$K$5000="院内")), ROW(A83))))&amp;"月"
&amp;DAY(INDEX(Kintoneデータ抽出!E:E, _xlfn.AGGREGATE(15, 6, ROW(Kintoneデータ抽出!$K$2:$K$5000) /((Kintoneデータ抽出!$K$2:$K$5000="院内")), ROW(A83))))&amp;"日",""), "")</f>
        <v/>
      </c>
      <c r="K120" s="77" t="str" cm="1">
        <f t="array" ref="K120">IFERROR(IF(INDEX(Kintoneデータ抽出!F:F, _xlfn.AGGREGATE(15, 6, ROW(Kintoneデータ抽出!$K$2:$K$5000) / ((Kintoneデータ抽出!$K$2:$K$5000="院内")), ROW(A83)))&lt;&gt;"",
VLOOKUP(INDEX(Kintoneデータ抽出!F:F, _xlfn.AGGREGATE(15, 6, ROW(Kintoneデータ抽出!$K$2:$K$5000) / ((Kintoneデータ抽出!$K$2:$K$5000="院内")), ROW(A83))),基本開園日の表記!$A$2:$B$13,2,FALSE),""), "")</f>
        <v/>
      </c>
      <c r="L120" s="75" t="str">
        <f t="array" ref="L120">IFERROR(IF(INDEX(Kintoneデータ抽出!F:F, _xlfn.AGGREGATE(15, 6, ROW(Kintoneデータ抽出!$K$2:$K$5000) / ((Kintoneデータ抽出!$K$2:$K$5000="院内")), ROW(A83)))&lt;&gt;"",
IF(COUNTIF(INDEX(Kintoneデータ抽出!F:F, _xlfn.AGGREGATE(15, 6, ROW(Kintoneデータ抽出!$K$2:$K$5000) / ((Kintoneデータ抽出!$K$2:$K$5000="院内")), ROW(A83))),"*あり*"),"夜間",""),""), "")</f>
        <v/>
      </c>
      <c r="M120" s="75" t="str">
        <f t="array" ref="M120">IFERROR(IF(INDEX(Kintoneデータ抽出!I:I, _xlfn.AGGREGATE(15, 6, ROW(Kintoneデータ抽出!$K$2:$K$5000) / ((Kintoneデータ抽出!$K$2:$K$5000="院内")), ROW(A83)))&lt;&gt;"",
IF(COUNTIF(INDEX(Kintoneデータ抽出!I:I, _xlfn.AGGREGATE(15, 6, ROW(Kintoneデータ抽出!$K$2:$K$5000) / ((Kintoneデータ抽出!$K$2:$K$5000="院内")), ROW(A83))),"*あり*"),"学童",""),""), "")</f>
        <v/>
      </c>
      <c r="N120" s="75" t="str">
        <f t="array" ref="N120">IFERROR(IF(INDEX(Kintoneデータ抽出!H:H, _xlfn.AGGREGATE(15, 6, ROW(Kintoneデータ抽出!$K$2:$K$5000) / ((Kintoneデータ抽出!$K$2:$K$5000="院内")), ROW(A83)))&lt;&gt;"",
IF(COUNTIF(INDEX(Kintoneデータ抽出!H:H, _xlfn.AGGREGATE(15, 6, ROW(Kintoneデータ抽出!$K$2:$K$5000) / ((Kintoneデータ抽出!$K$2:$K$5000="院内")), ROW(A83))),"*あり*"),"病児",""),""), "")</f>
        <v/>
      </c>
      <c r="O120" s="94" t="str" cm="1">
        <f t="array" ref="O120">IFERROR(
IF(INDEX(Kintoneデータ抽出!M:M, _xlfn.AGGREGATE(15, 6, ROW(Kintoneデータ抽出!$K$2:$K$5000) / ((Kintoneデータ抽出!$K$2:$K$5000="院内")), ROW(A83)))&lt;&gt;0,INDEX(Kintoneデータ抽出!M:M, _xlfn.AGGREGATE(15, 6, ROW(Kintoneデータ抽出!$K$2:$K$5000) / ((Kintoneデータ抽出!$K$2:$K$5000="院内")), ROW(A83))),""), "")</f>
        <v/>
      </c>
      <c r="P120" s="78" t="str">
        <f t="array" ref="P120">IFERROR(IF(INDEX(Kintoneデータ抽出!L:L, _xlfn.AGGREGATE(15, 6, ROW(Kintoneデータ抽出!$K$2:$K$5000) / ((Kintoneデータ抽出!$K$2:$K$5000="院内")), ROW(A83)))&lt;&gt;"",
IF(COUNTIF(INDEX(Kintoneデータ抽出!L:L, _xlfn.AGGREGATE(15, 6, ROW(Kintoneデータ抽出!$K$2:$K$5000) / ((Kintoneデータ抽出!$K$2:$K$5000="院内")), ROW(A83))),"*企業主導型以外*"),"",
IF(COUNTIF(INDEX(Kintoneデータ抽出!L:L, _xlfn.AGGREGATE(15, 6, ROW(Kintoneデータ抽出!$K$2:$K$5000) / ((Kintoneデータ抽出!$K$2:$K$5000="院内")), ROW(A83))),"*その他*"),"",
IF(COUNTIF(INDEX(Kintoneデータ抽出!L:L, _xlfn.AGGREGATE(15, 6, ROW(Kintoneデータ抽出!$K$2:$K$5000) / ((Kintoneデータ抽出!$K$2:$K$5000="院内")), ROW(A83))),"*新制度*"),"新制度","企業主導型"))),""), "")</f>
        <v/>
      </c>
    </row>
    <row r="121" spans="2:16" ht="34.799999999999997" customHeight="1" x14ac:dyDescent="0.45">
      <c r="B121" s="45"/>
      <c r="C121" s="46"/>
      <c r="D121" s="98" t="str">
        <f t="shared" si="2"/>
        <v/>
      </c>
      <c r="E121" s="99"/>
      <c r="F121" s="75" t="str">
        <f t="array" ref="F121">IFERROR(INDEX(Kintoneデータ抽出!A:A, _xlfn.AGGREGATE(15, 6, ROW(Kintoneデータ抽出!$K$2:$K$5000) / ((Kintoneデータ抽出!$K$2:$K$5000="院内")), ROW(A84))), "")</f>
        <v/>
      </c>
      <c r="G121" s="77" t="str">
        <f t="array" ref="G121">IFERROR(INDEX(Kintoneデータ抽出!D:D, _xlfn.AGGREGATE(15, 6, ROW(Kintoneデータ抽出!$K$2:$K$5000) / ((Kintoneデータ抽出!$K$2:$K$5000="院内")), ROW(A84))), "")</f>
        <v/>
      </c>
      <c r="H121" s="77" t="str">
        <f t="array" ref="H121">IFERROR(INDEX(Kintoneデータ抽出!C:C, _xlfn.AGGREGATE(15, 6, ROW(Kintoneデータ抽出!$K$2:$K$5000) / ((Kintoneデータ抽出!$K$2:$K$5000="院内")), ROW(A84))), "")</f>
        <v/>
      </c>
      <c r="I121" s="75" t="str">
        <f t="array" ref="I121">IFERROR(IF(INDEX(Kintoneデータ抽出!G:G, _xlfn.AGGREGATE(15, 6, ROW(Kintoneデータ抽出!$K$2:$K$5000) / ((Kintoneデータ抽出!$K$2:$K$5000="院内")), ROW(A84)))&lt;&gt;"",INDEX(Kintoneデータ抽出!G:G, _xlfn.AGGREGATE(15, 6, ROW(Kintoneデータ抽出!$K$2:$K$5000) / ((Kintoneデータ抽出!$K$2:$K$5000="院内")), ROW(A84)))&amp;"名",""), "")</f>
        <v/>
      </c>
      <c r="J121" s="76" t="str">
        <f t="array" ref="J121">IFERROR(IF(INDEX(Kintoneデータ抽出!E:E, _xlfn.AGGREGATE(15, 6, ROW(Kintoneデータ抽出!$K$2:$K$5000) / ((Kintoneデータ抽出!$K$2:$K$5000="院内")), ROW(A84)))&lt;&gt;"",
YEAR(INDEX(Kintoneデータ抽出!E:E, _xlfn.AGGREGATE(15, 6, ROW(Kintoneデータ抽出!$K$2:$K$5000) / ((Kintoneデータ抽出!$K$2:$K$5000="院内")), ROW(A84))))&amp;"年"
&amp;MONTH(INDEX(Kintoneデータ抽出!E:E, _xlfn.AGGREGATE(15, 6, ROW(Kintoneデータ抽出!$K$2:$K$5000) / ((Kintoneデータ抽出!$K$2:$K$5000="院内")), ROW(A84))))&amp;"月"
&amp;DAY(INDEX(Kintoneデータ抽出!E:E, _xlfn.AGGREGATE(15, 6, ROW(Kintoneデータ抽出!$K$2:$K$5000) /((Kintoneデータ抽出!$K$2:$K$5000="院内")), ROW(A84))))&amp;"日",""), "")</f>
        <v/>
      </c>
      <c r="K121" s="77" t="str" cm="1">
        <f t="array" ref="K121">IFERROR(IF(INDEX(Kintoneデータ抽出!F:F, _xlfn.AGGREGATE(15, 6, ROW(Kintoneデータ抽出!$K$2:$K$5000) / ((Kintoneデータ抽出!$K$2:$K$5000="院内")), ROW(A84)))&lt;&gt;"",
VLOOKUP(INDEX(Kintoneデータ抽出!F:F, _xlfn.AGGREGATE(15, 6, ROW(Kintoneデータ抽出!$K$2:$K$5000) / ((Kintoneデータ抽出!$K$2:$K$5000="院内")), ROW(A84))),基本開園日の表記!$A$2:$B$13,2,FALSE),""), "")</f>
        <v/>
      </c>
      <c r="L121" s="75" t="str">
        <f t="array" ref="L121">IFERROR(IF(INDEX(Kintoneデータ抽出!F:F, _xlfn.AGGREGATE(15, 6, ROW(Kintoneデータ抽出!$K$2:$K$5000) / ((Kintoneデータ抽出!$K$2:$K$5000="院内")), ROW(A84)))&lt;&gt;"",
IF(COUNTIF(INDEX(Kintoneデータ抽出!F:F, _xlfn.AGGREGATE(15, 6, ROW(Kintoneデータ抽出!$K$2:$K$5000) / ((Kintoneデータ抽出!$K$2:$K$5000="院内")), ROW(A84))),"*あり*"),"夜間",""),""), "")</f>
        <v/>
      </c>
      <c r="M121" s="75" t="str">
        <f t="array" ref="M121">IFERROR(IF(INDEX(Kintoneデータ抽出!I:I, _xlfn.AGGREGATE(15, 6, ROW(Kintoneデータ抽出!$K$2:$K$5000) / ((Kintoneデータ抽出!$K$2:$K$5000="院内")), ROW(A84)))&lt;&gt;"",
IF(COUNTIF(INDEX(Kintoneデータ抽出!I:I, _xlfn.AGGREGATE(15, 6, ROW(Kintoneデータ抽出!$K$2:$K$5000) / ((Kintoneデータ抽出!$K$2:$K$5000="院内")), ROW(A84))),"*あり*"),"学童",""),""), "")</f>
        <v/>
      </c>
      <c r="N121" s="75" t="str">
        <f t="array" ref="N121">IFERROR(IF(INDEX(Kintoneデータ抽出!H:H, _xlfn.AGGREGATE(15, 6, ROW(Kintoneデータ抽出!$K$2:$K$5000) / ((Kintoneデータ抽出!$K$2:$K$5000="院内")), ROW(A84)))&lt;&gt;"",
IF(COUNTIF(INDEX(Kintoneデータ抽出!H:H, _xlfn.AGGREGATE(15, 6, ROW(Kintoneデータ抽出!$K$2:$K$5000) / ((Kintoneデータ抽出!$K$2:$K$5000="院内")), ROW(A84))),"*あり*"),"病児",""),""), "")</f>
        <v/>
      </c>
      <c r="O121" s="94" t="str" cm="1">
        <f t="array" ref="O121">IFERROR(
IF(INDEX(Kintoneデータ抽出!M:M, _xlfn.AGGREGATE(15, 6, ROW(Kintoneデータ抽出!$K$2:$K$5000) / ((Kintoneデータ抽出!$K$2:$K$5000="院内")), ROW(A84)))&lt;&gt;0,INDEX(Kintoneデータ抽出!M:M, _xlfn.AGGREGATE(15, 6, ROW(Kintoneデータ抽出!$K$2:$K$5000) / ((Kintoneデータ抽出!$K$2:$K$5000="院内")), ROW(A84))),""), "")</f>
        <v/>
      </c>
      <c r="P121" s="78" t="str">
        <f t="array" ref="P121">IFERROR(IF(INDEX(Kintoneデータ抽出!L:L, _xlfn.AGGREGATE(15, 6, ROW(Kintoneデータ抽出!$K$2:$K$5000) / ((Kintoneデータ抽出!$K$2:$K$5000="院内")), ROW(A84)))&lt;&gt;"",
IF(COUNTIF(INDEX(Kintoneデータ抽出!L:L, _xlfn.AGGREGATE(15, 6, ROW(Kintoneデータ抽出!$K$2:$K$5000) / ((Kintoneデータ抽出!$K$2:$K$5000="院内")), ROW(A84))),"*企業主導型以外*"),"",
IF(COUNTIF(INDEX(Kintoneデータ抽出!L:L, _xlfn.AGGREGATE(15, 6, ROW(Kintoneデータ抽出!$K$2:$K$5000) / ((Kintoneデータ抽出!$K$2:$K$5000="院内")), ROW(A84))),"*その他*"),"",
IF(COUNTIF(INDEX(Kintoneデータ抽出!L:L, _xlfn.AGGREGATE(15, 6, ROW(Kintoneデータ抽出!$K$2:$K$5000) / ((Kintoneデータ抽出!$K$2:$K$5000="院内")), ROW(A84))),"*新制度*"),"新制度","企業主導型"))),""), "")</f>
        <v/>
      </c>
    </row>
    <row r="122" spans="2:16" ht="34.799999999999997" customHeight="1" x14ac:dyDescent="0.45">
      <c r="B122" s="45"/>
      <c r="C122" s="46"/>
      <c r="D122" s="98" t="str">
        <f t="shared" si="2"/>
        <v/>
      </c>
      <c r="E122" s="99"/>
      <c r="F122" s="75" t="str">
        <f t="array" ref="F122">IFERROR(INDEX(Kintoneデータ抽出!A:A, _xlfn.AGGREGATE(15, 6, ROW(Kintoneデータ抽出!$K$2:$K$5000) / ((Kintoneデータ抽出!$K$2:$K$5000="院内")), ROW(A85))), "")</f>
        <v/>
      </c>
      <c r="G122" s="77" t="str">
        <f t="array" ref="G122">IFERROR(INDEX(Kintoneデータ抽出!D:D, _xlfn.AGGREGATE(15, 6, ROW(Kintoneデータ抽出!$K$2:$K$5000) / ((Kintoneデータ抽出!$K$2:$K$5000="院内")), ROW(A85))), "")</f>
        <v/>
      </c>
      <c r="H122" s="77" t="str">
        <f t="array" ref="H122">IFERROR(INDEX(Kintoneデータ抽出!C:C, _xlfn.AGGREGATE(15, 6, ROW(Kintoneデータ抽出!$K$2:$K$5000) / ((Kintoneデータ抽出!$K$2:$K$5000="院内")), ROW(A85))), "")</f>
        <v/>
      </c>
      <c r="I122" s="75" t="str">
        <f t="array" ref="I122">IFERROR(IF(INDEX(Kintoneデータ抽出!G:G, _xlfn.AGGREGATE(15, 6, ROW(Kintoneデータ抽出!$K$2:$K$5000) / ((Kintoneデータ抽出!$K$2:$K$5000="院内")), ROW(A85)))&lt;&gt;"",INDEX(Kintoneデータ抽出!G:G, _xlfn.AGGREGATE(15, 6, ROW(Kintoneデータ抽出!$K$2:$K$5000) / ((Kintoneデータ抽出!$K$2:$K$5000="院内")), ROW(A85)))&amp;"名",""), "")</f>
        <v/>
      </c>
      <c r="J122" s="76" t="str">
        <f t="array" ref="J122">IFERROR(IF(INDEX(Kintoneデータ抽出!E:E, _xlfn.AGGREGATE(15, 6, ROW(Kintoneデータ抽出!$K$2:$K$5000) / ((Kintoneデータ抽出!$K$2:$K$5000="院内")), ROW(A85)))&lt;&gt;"",
YEAR(INDEX(Kintoneデータ抽出!E:E, _xlfn.AGGREGATE(15, 6, ROW(Kintoneデータ抽出!$K$2:$K$5000) / ((Kintoneデータ抽出!$K$2:$K$5000="院内")), ROW(A85))))&amp;"年"
&amp;MONTH(INDEX(Kintoneデータ抽出!E:E, _xlfn.AGGREGATE(15, 6, ROW(Kintoneデータ抽出!$K$2:$K$5000) / ((Kintoneデータ抽出!$K$2:$K$5000="院内")), ROW(A85))))&amp;"月"
&amp;DAY(INDEX(Kintoneデータ抽出!E:E, _xlfn.AGGREGATE(15, 6, ROW(Kintoneデータ抽出!$K$2:$K$5000) /((Kintoneデータ抽出!$K$2:$K$5000="院内")), ROW(A85))))&amp;"日",""), "")</f>
        <v/>
      </c>
      <c r="K122" s="77" t="str" cm="1">
        <f t="array" ref="K122">IFERROR(IF(INDEX(Kintoneデータ抽出!F:F, _xlfn.AGGREGATE(15, 6, ROW(Kintoneデータ抽出!$K$2:$K$5000) / ((Kintoneデータ抽出!$K$2:$K$5000="院内")), ROW(A85)))&lt;&gt;"",
VLOOKUP(INDEX(Kintoneデータ抽出!F:F, _xlfn.AGGREGATE(15, 6, ROW(Kintoneデータ抽出!$K$2:$K$5000) / ((Kintoneデータ抽出!$K$2:$K$5000="院内")), ROW(A85))),基本開園日の表記!$A$2:$B$13,2,FALSE),""), "")</f>
        <v/>
      </c>
      <c r="L122" s="75" t="str">
        <f t="array" ref="L122">IFERROR(IF(INDEX(Kintoneデータ抽出!F:F, _xlfn.AGGREGATE(15, 6, ROW(Kintoneデータ抽出!$K$2:$K$5000) / ((Kintoneデータ抽出!$K$2:$K$5000="院内")), ROW(A85)))&lt;&gt;"",
IF(COUNTIF(INDEX(Kintoneデータ抽出!F:F, _xlfn.AGGREGATE(15, 6, ROW(Kintoneデータ抽出!$K$2:$K$5000) / ((Kintoneデータ抽出!$K$2:$K$5000="院内")), ROW(A85))),"*あり*"),"夜間",""),""), "")</f>
        <v/>
      </c>
      <c r="M122" s="75" t="str">
        <f t="array" ref="M122">IFERROR(IF(INDEX(Kintoneデータ抽出!I:I, _xlfn.AGGREGATE(15, 6, ROW(Kintoneデータ抽出!$K$2:$K$5000) / ((Kintoneデータ抽出!$K$2:$K$5000="院内")), ROW(A85)))&lt;&gt;"",
IF(COUNTIF(INDEX(Kintoneデータ抽出!I:I, _xlfn.AGGREGATE(15, 6, ROW(Kintoneデータ抽出!$K$2:$K$5000) / ((Kintoneデータ抽出!$K$2:$K$5000="院内")), ROW(A85))),"*あり*"),"学童",""),""), "")</f>
        <v/>
      </c>
      <c r="N122" s="75" t="str">
        <f t="array" ref="N122">IFERROR(IF(INDEX(Kintoneデータ抽出!H:H, _xlfn.AGGREGATE(15, 6, ROW(Kintoneデータ抽出!$K$2:$K$5000) / ((Kintoneデータ抽出!$K$2:$K$5000="院内")), ROW(A85)))&lt;&gt;"",
IF(COUNTIF(INDEX(Kintoneデータ抽出!H:H, _xlfn.AGGREGATE(15, 6, ROW(Kintoneデータ抽出!$K$2:$K$5000) / ((Kintoneデータ抽出!$K$2:$K$5000="院内")), ROW(A85))),"*あり*"),"病児",""),""), "")</f>
        <v/>
      </c>
      <c r="O122" s="94" t="str" cm="1">
        <f t="array" ref="O122">IFERROR(
IF(INDEX(Kintoneデータ抽出!M:M, _xlfn.AGGREGATE(15, 6, ROW(Kintoneデータ抽出!$K$2:$K$5000) / ((Kintoneデータ抽出!$K$2:$K$5000="院内")), ROW(A85)))&lt;&gt;0,INDEX(Kintoneデータ抽出!M:M, _xlfn.AGGREGATE(15, 6, ROW(Kintoneデータ抽出!$K$2:$K$5000) / ((Kintoneデータ抽出!$K$2:$K$5000="院内")), ROW(A85))),""), "")</f>
        <v/>
      </c>
      <c r="P122" s="78" t="str">
        <f t="array" ref="P122">IFERROR(IF(INDEX(Kintoneデータ抽出!L:L, _xlfn.AGGREGATE(15, 6, ROW(Kintoneデータ抽出!$K$2:$K$5000) / ((Kintoneデータ抽出!$K$2:$K$5000="院内")), ROW(A85)))&lt;&gt;"",
IF(COUNTIF(INDEX(Kintoneデータ抽出!L:L, _xlfn.AGGREGATE(15, 6, ROW(Kintoneデータ抽出!$K$2:$K$5000) / ((Kintoneデータ抽出!$K$2:$K$5000="院内")), ROW(A85))),"*企業主導型以外*"),"",
IF(COUNTIF(INDEX(Kintoneデータ抽出!L:L, _xlfn.AGGREGATE(15, 6, ROW(Kintoneデータ抽出!$K$2:$K$5000) / ((Kintoneデータ抽出!$K$2:$K$5000="院内")), ROW(A85))),"*その他*"),"",
IF(COUNTIF(INDEX(Kintoneデータ抽出!L:L, _xlfn.AGGREGATE(15, 6, ROW(Kintoneデータ抽出!$K$2:$K$5000) / ((Kintoneデータ抽出!$K$2:$K$5000="院内")), ROW(A85))),"*新制度*"),"新制度","企業主導型"))),""), "")</f>
        <v/>
      </c>
    </row>
    <row r="123" spans="2:16" ht="34.799999999999997" customHeight="1" x14ac:dyDescent="0.45">
      <c r="B123" s="45"/>
      <c r="C123" s="46"/>
      <c r="D123" s="98" t="str">
        <f t="shared" si="2"/>
        <v/>
      </c>
      <c r="E123" s="99"/>
      <c r="F123" s="75" t="str">
        <f t="array" ref="F123">IFERROR(INDEX(Kintoneデータ抽出!A:A, _xlfn.AGGREGATE(15, 6, ROW(Kintoneデータ抽出!$K$2:$K$5000) / ((Kintoneデータ抽出!$K$2:$K$5000="院内")), ROW(A86))), "")</f>
        <v/>
      </c>
      <c r="G123" s="77" t="str">
        <f t="array" ref="G123">IFERROR(INDEX(Kintoneデータ抽出!D:D, _xlfn.AGGREGATE(15, 6, ROW(Kintoneデータ抽出!$K$2:$K$5000) / ((Kintoneデータ抽出!$K$2:$K$5000="院内")), ROW(A86))), "")</f>
        <v/>
      </c>
      <c r="H123" s="77" t="str">
        <f t="array" ref="H123">IFERROR(INDEX(Kintoneデータ抽出!C:C, _xlfn.AGGREGATE(15, 6, ROW(Kintoneデータ抽出!$K$2:$K$5000) / ((Kintoneデータ抽出!$K$2:$K$5000="院内")), ROW(A86))), "")</f>
        <v/>
      </c>
      <c r="I123" s="75" t="str">
        <f t="array" ref="I123">IFERROR(IF(INDEX(Kintoneデータ抽出!G:G, _xlfn.AGGREGATE(15, 6, ROW(Kintoneデータ抽出!$K$2:$K$5000) / ((Kintoneデータ抽出!$K$2:$K$5000="院内")), ROW(A86)))&lt;&gt;"",INDEX(Kintoneデータ抽出!G:G, _xlfn.AGGREGATE(15, 6, ROW(Kintoneデータ抽出!$K$2:$K$5000) / ((Kintoneデータ抽出!$K$2:$K$5000="院内")), ROW(A86)))&amp;"名",""), "")</f>
        <v/>
      </c>
      <c r="J123" s="76" t="str">
        <f t="array" ref="J123">IFERROR(IF(INDEX(Kintoneデータ抽出!E:E, _xlfn.AGGREGATE(15, 6, ROW(Kintoneデータ抽出!$K$2:$K$5000) / ((Kintoneデータ抽出!$K$2:$K$5000="院内")), ROW(A86)))&lt;&gt;"",
YEAR(INDEX(Kintoneデータ抽出!E:E, _xlfn.AGGREGATE(15, 6, ROW(Kintoneデータ抽出!$K$2:$K$5000) / ((Kintoneデータ抽出!$K$2:$K$5000="院内")), ROW(A86))))&amp;"年"
&amp;MONTH(INDEX(Kintoneデータ抽出!E:E, _xlfn.AGGREGATE(15, 6, ROW(Kintoneデータ抽出!$K$2:$K$5000) / ((Kintoneデータ抽出!$K$2:$K$5000="院内")), ROW(A86))))&amp;"月"
&amp;DAY(INDEX(Kintoneデータ抽出!E:E, _xlfn.AGGREGATE(15, 6, ROW(Kintoneデータ抽出!$K$2:$K$5000) /((Kintoneデータ抽出!$K$2:$K$5000="院内")), ROW(A86))))&amp;"日",""), "")</f>
        <v/>
      </c>
      <c r="K123" s="77" t="str" cm="1">
        <f t="array" ref="K123">IFERROR(IF(INDEX(Kintoneデータ抽出!F:F, _xlfn.AGGREGATE(15, 6, ROW(Kintoneデータ抽出!$K$2:$K$5000) / ((Kintoneデータ抽出!$K$2:$K$5000="院内")), ROW(A86)))&lt;&gt;"",
VLOOKUP(INDEX(Kintoneデータ抽出!F:F, _xlfn.AGGREGATE(15, 6, ROW(Kintoneデータ抽出!$K$2:$K$5000) / ((Kintoneデータ抽出!$K$2:$K$5000="院内")), ROW(A86))),基本開園日の表記!$A$2:$B$13,2,FALSE),""), "")</f>
        <v/>
      </c>
      <c r="L123" s="75" t="str">
        <f t="array" ref="L123">IFERROR(IF(INDEX(Kintoneデータ抽出!F:F, _xlfn.AGGREGATE(15, 6, ROW(Kintoneデータ抽出!$K$2:$K$5000) / ((Kintoneデータ抽出!$K$2:$K$5000="院内")), ROW(A86)))&lt;&gt;"",
IF(COUNTIF(INDEX(Kintoneデータ抽出!F:F, _xlfn.AGGREGATE(15, 6, ROW(Kintoneデータ抽出!$K$2:$K$5000) / ((Kintoneデータ抽出!$K$2:$K$5000="院内")), ROW(A86))),"*あり*"),"夜間",""),""), "")</f>
        <v/>
      </c>
      <c r="M123" s="75" t="str">
        <f t="array" ref="M123">IFERROR(IF(INDEX(Kintoneデータ抽出!I:I, _xlfn.AGGREGATE(15, 6, ROW(Kintoneデータ抽出!$K$2:$K$5000) / ((Kintoneデータ抽出!$K$2:$K$5000="院内")), ROW(A86)))&lt;&gt;"",
IF(COUNTIF(INDEX(Kintoneデータ抽出!I:I, _xlfn.AGGREGATE(15, 6, ROW(Kintoneデータ抽出!$K$2:$K$5000) / ((Kintoneデータ抽出!$K$2:$K$5000="院内")), ROW(A86))),"*あり*"),"学童",""),""), "")</f>
        <v/>
      </c>
      <c r="N123" s="75" t="str">
        <f t="array" ref="N123">IFERROR(IF(INDEX(Kintoneデータ抽出!H:H, _xlfn.AGGREGATE(15, 6, ROW(Kintoneデータ抽出!$K$2:$K$5000) / ((Kintoneデータ抽出!$K$2:$K$5000="院内")), ROW(A86)))&lt;&gt;"",
IF(COUNTIF(INDEX(Kintoneデータ抽出!H:H, _xlfn.AGGREGATE(15, 6, ROW(Kintoneデータ抽出!$K$2:$K$5000) / ((Kintoneデータ抽出!$K$2:$K$5000="院内")), ROW(A86))),"*あり*"),"病児",""),""), "")</f>
        <v/>
      </c>
      <c r="O123" s="94" t="str" cm="1">
        <f t="array" ref="O123">IFERROR(
IF(INDEX(Kintoneデータ抽出!M:M, _xlfn.AGGREGATE(15, 6, ROW(Kintoneデータ抽出!$K$2:$K$5000) / ((Kintoneデータ抽出!$K$2:$K$5000="院内")), ROW(A86)))&lt;&gt;0,INDEX(Kintoneデータ抽出!M:M, _xlfn.AGGREGATE(15, 6, ROW(Kintoneデータ抽出!$K$2:$K$5000) / ((Kintoneデータ抽出!$K$2:$K$5000="院内")), ROW(A86))),""), "")</f>
        <v/>
      </c>
      <c r="P123" s="78" t="str">
        <f t="array" ref="P123">IFERROR(IF(INDEX(Kintoneデータ抽出!L:L, _xlfn.AGGREGATE(15, 6, ROW(Kintoneデータ抽出!$K$2:$K$5000) / ((Kintoneデータ抽出!$K$2:$K$5000="院内")), ROW(A86)))&lt;&gt;"",
IF(COUNTIF(INDEX(Kintoneデータ抽出!L:L, _xlfn.AGGREGATE(15, 6, ROW(Kintoneデータ抽出!$K$2:$K$5000) / ((Kintoneデータ抽出!$K$2:$K$5000="院内")), ROW(A86))),"*企業主導型以外*"),"",
IF(COUNTIF(INDEX(Kintoneデータ抽出!L:L, _xlfn.AGGREGATE(15, 6, ROW(Kintoneデータ抽出!$K$2:$K$5000) / ((Kintoneデータ抽出!$K$2:$K$5000="院内")), ROW(A86))),"*その他*"),"",
IF(COUNTIF(INDEX(Kintoneデータ抽出!L:L, _xlfn.AGGREGATE(15, 6, ROW(Kintoneデータ抽出!$K$2:$K$5000) / ((Kintoneデータ抽出!$K$2:$K$5000="院内")), ROW(A86))),"*新制度*"),"新制度","企業主導型"))),""), "")</f>
        <v/>
      </c>
    </row>
    <row r="124" spans="2:16" ht="34.799999999999997" customHeight="1" x14ac:dyDescent="0.45">
      <c r="B124" s="45"/>
      <c r="C124" s="46"/>
      <c r="D124" s="98" t="str">
        <f t="shared" si="2"/>
        <v/>
      </c>
      <c r="E124" s="99"/>
      <c r="F124" s="75" t="str">
        <f t="array" ref="F124">IFERROR(INDEX(Kintoneデータ抽出!A:A, _xlfn.AGGREGATE(15, 6, ROW(Kintoneデータ抽出!$K$2:$K$5000) / ((Kintoneデータ抽出!$K$2:$K$5000="院内")), ROW(A87))), "")</f>
        <v/>
      </c>
      <c r="G124" s="77" t="str">
        <f t="array" ref="G124">IFERROR(INDEX(Kintoneデータ抽出!D:D, _xlfn.AGGREGATE(15, 6, ROW(Kintoneデータ抽出!$K$2:$K$5000) / ((Kintoneデータ抽出!$K$2:$K$5000="院内")), ROW(A87))), "")</f>
        <v/>
      </c>
      <c r="H124" s="77" t="str">
        <f t="array" ref="H124">IFERROR(INDEX(Kintoneデータ抽出!C:C, _xlfn.AGGREGATE(15, 6, ROW(Kintoneデータ抽出!$K$2:$K$5000) / ((Kintoneデータ抽出!$K$2:$K$5000="院内")), ROW(A87))), "")</f>
        <v/>
      </c>
      <c r="I124" s="75" t="str">
        <f t="array" ref="I124">IFERROR(IF(INDEX(Kintoneデータ抽出!G:G, _xlfn.AGGREGATE(15, 6, ROW(Kintoneデータ抽出!$K$2:$K$5000) / ((Kintoneデータ抽出!$K$2:$K$5000="院内")), ROW(A87)))&lt;&gt;"",INDEX(Kintoneデータ抽出!G:G, _xlfn.AGGREGATE(15, 6, ROW(Kintoneデータ抽出!$K$2:$K$5000) / ((Kintoneデータ抽出!$K$2:$K$5000="院内")), ROW(A87)))&amp;"名",""), "")</f>
        <v/>
      </c>
      <c r="J124" s="76" t="str">
        <f t="array" ref="J124">IFERROR(IF(INDEX(Kintoneデータ抽出!E:E, _xlfn.AGGREGATE(15, 6, ROW(Kintoneデータ抽出!$K$2:$K$5000) / ((Kintoneデータ抽出!$K$2:$K$5000="院内")), ROW(A87)))&lt;&gt;"",
YEAR(INDEX(Kintoneデータ抽出!E:E, _xlfn.AGGREGATE(15, 6, ROW(Kintoneデータ抽出!$K$2:$K$5000) / ((Kintoneデータ抽出!$K$2:$K$5000="院内")), ROW(A87))))&amp;"年"
&amp;MONTH(INDEX(Kintoneデータ抽出!E:E, _xlfn.AGGREGATE(15, 6, ROW(Kintoneデータ抽出!$K$2:$K$5000) / ((Kintoneデータ抽出!$K$2:$K$5000="院内")), ROW(A87))))&amp;"月"
&amp;DAY(INDEX(Kintoneデータ抽出!E:E, _xlfn.AGGREGATE(15, 6, ROW(Kintoneデータ抽出!$K$2:$K$5000) /((Kintoneデータ抽出!$K$2:$K$5000="院内")), ROW(A87))))&amp;"日",""), "")</f>
        <v/>
      </c>
      <c r="K124" s="77" t="str" cm="1">
        <f t="array" ref="K124">IFERROR(IF(INDEX(Kintoneデータ抽出!F:F, _xlfn.AGGREGATE(15, 6, ROW(Kintoneデータ抽出!$K$2:$K$5000) / ((Kintoneデータ抽出!$K$2:$K$5000="院内")), ROW(A87)))&lt;&gt;"",
VLOOKUP(INDEX(Kintoneデータ抽出!F:F, _xlfn.AGGREGATE(15, 6, ROW(Kintoneデータ抽出!$K$2:$K$5000) / ((Kintoneデータ抽出!$K$2:$K$5000="院内")), ROW(A87))),基本開園日の表記!$A$2:$B$13,2,FALSE),""), "")</f>
        <v/>
      </c>
      <c r="L124" s="75" t="str">
        <f t="array" ref="L124">IFERROR(IF(INDEX(Kintoneデータ抽出!F:F, _xlfn.AGGREGATE(15, 6, ROW(Kintoneデータ抽出!$K$2:$K$5000) / ((Kintoneデータ抽出!$K$2:$K$5000="院内")), ROW(A87)))&lt;&gt;"",
IF(COUNTIF(INDEX(Kintoneデータ抽出!F:F, _xlfn.AGGREGATE(15, 6, ROW(Kintoneデータ抽出!$K$2:$K$5000) / ((Kintoneデータ抽出!$K$2:$K$5000="院内")), ROW(A87))),"*あり*"),"夜間",""),""), "")</f>
        <v/>
      </c>
      <c r="M124" s="75" t="str">
        <f t="array" ref="M124">IFERROR(IF(INDEX(Kintoneデータ抽出!I:I, _xlfn.AGGREGATE(15, 6, ROW(Kintoneデータ抽出!$K$2:$K$5000) / ((Kintoneデータ抽出!$K$2:$K$5000="院内")), ROW(A87)))&lt;&gt;"",
IF(COUNTIF(INDEX(Kintoneデータ抽出!I:I, _xlfn.AGGREGATE(15, 6, ROW(Kintoneデータ抽出!$K$2:$K$5000) / ((Kintoneデータ抽出!$K$2:$K$5000="院内")), ROW(A87))),"*あり*"),"学童",""),""), "")</f>
        <v/>
      </c>
      <c r="N124" s="75" t="str">
        <f t="array" ref="N124">IFERROR(IF(INDEX(Kintoneデータ抽出!H:H, _xlfn.AGGREGATE(15, 6, ROW(Kintoneデータ抽出!$K$2:$K$5000) / ((Kintoneデータ抽出!$K$2:$K$5000="院内")), ROW(A87)))&lt;&gt;"",
IF(COUNTIF(INDEX(Kintoneデータ抽出!H:H, _xlfn.AGGREGATE(15, 6, ROW(Kintoneデータ抽出!$K$2:$K$5000) / ((Kintoneデータ抽出!$K$2:$K$5000="院内")), ROW(A87))),"*あり*"),"病児",""),""), "")</f>
        <v/>
      </c>
      <c r="O124" s="94" t="str" cm="1">
        <f t="array" ref="O124">IFERROR(
IF(INDEX(Kintoneデータ抽出!M:M, _xlfn.AGGREGATE(15, 6, ROW(Kintoneデータ抽出!$K$2:$K$5000) / ((Kintoneデータ抽出!$K$2:$K$5000="院内")), ROW(A87)))&lt;&gt;0,INDEX(Kintoneデータ抽出!M:M, _xlfn.AGGREGATE(15, 6, ROW(Kintoneデータ抽出!$K$2:$K$5000) / ((Kintoneデータ抽出!$K$2:$K$5000="院内")), ROW(A87))),""), "")</f>
        <v/>
      </c>
      <c r="P124" s="78" t="str">
        <f t="array" ref="P124">IFERROR(IF(INDEX(Kintoneデータ抽出!L:L, _xlfn.AGGREGATE(15, 6, ROW(Kintoneデータ抽出!$K$2:$K$5000) / ((Kintoneデータ抽出!$K$2:$K$5000="院内")), ROW(A87)))&lt;&gt;"",
IF(COUNTIF(INDEX(Kintoneデータ抽出!L:L, _xlfn.AGGREGATE(15, 6, ROW(Kintoneデータ抽出!$K$2:$K$5000) / ((Kintoneデータ抽出!$K$2:$K$5000="院内")), ROW(A87))),"*企業主導型以外*"),"",
IF(COUNTIF(INDEX(Kintoneデータ抽出!L:L, _xlfn.AGGREGATE(15, 6, ROW(Kintoneデータ抽出!$K$2:$K$5000) / ((Kintoneデータ抽出!$K$2:$K$5000="院内")), ROW(A87))),"*その他*"),"",
IF(COUNTIF(INDEX(Kintoneデータ抽出!L:L, _xlfn.AGGREGATE(15, 6, ROW(Kintoneデータ抽出!$K$2:$K$5000) / ((Kintoneデータ抽出!$K$2:$K$5000="院内")), ROW(A87))),"*新制度*"),"新制度","企業主導型"))),""), "")</f>
        <v/>
      </c>
    </row>
    <row r="125" spans="2:16" ht="34.799999999999997" customHeight="1" x14ac:dyDescent="0.45">
      <c r="B125" s="45"/>
      <c r="C125" s="46"/>
      <c r="D125" s="98" t="str">
        <f t="shared" si="2"/>
        <v/>
      </c>
      <c r="E125" s="99"/>
      <c r="F125" s="75" t="str">
        <f t="array" ref="F125">IFERROR(INDEX(Kintoneデータ抽出!A:A, _xlfn.AGGREGATE(15, 6, ROW(Kintoneデータ抽出!$K$2:$K$5000) / ((Kintoneデータ抽出!$K$2:$K$5000="院内")), ROW(A88))), "")</f>
        <v/>
      </c>
      <c r="G125" s="77" t="str">
        <f t="array" ref="G125">IFERROR(INDEX(Kintoneデータ抽出!D:D, _xlfn.AGGREGATE(15, 6, ROW(Kintoneデータ抽出!$K$2:$K$5000) / ((Kintoneデータ抽出!$K$2:$K$5000="院内")), ROW(A88))), "")</f>
        <v/>
      </c>
      <c r="H125" s="77" t="str">
        <f t="array" ref="H125">IFERROR(INDEX(Kintoneデータ抽出!C:C, _xlfn.AGGREGATE(15, 6, ROW(Kintoneデータ抽出!$K$2:$K$5000) / ((Kintoneデータ抽出!$K$2:$K$5000="院内")), ROW(A88))), "")</f>
        <v/>
      </c>
      <c r="I125" s="75" t="str">
        <f t="array" ref="I125">IFERROR(IF(INDEX(Kintoneデータ抽出!G:G, _xlfn.AGGREGATE(15, 6, ROW(Kintoneデータ抽出!$K$2:$K$5000) / ((Kintoneデータ抽出!$K$2:$K$5000="院内")), ROW(A88)))&lt;&gt;"",INDEX(Kintoneデータ抽出!G:G, _xlfn.AGGREGATE(15, 6, ROW(Kintoneデータ抽出!$K$2:$K$5000) / ((Kintoneデータ抽出!$K$2:$K$5000="院内")), ROW(A88)))&amp;"名",""), "")</f>
        <v/>
      </c>
      <c r="J125" s="76" t="str">
        <f t="array" ref="J125">IFERROR(IF(INDEX(Kintoneデータ抽出!E:E, _xlfn.AGGREGATE(15, 6, ROW(Kintoneデータ抽出!$K$2:$K$5000) / ((Kintoneデータ抽出!$K$2:$K$5000="院内")), ROW(A88)))&lt;&gt;"",
YEAR(INDEX(Kintoneデータ抽出!E:E, _xlfn.AGGREGATE(15, 6, ROW(Kintoneデータ抽出!$K$2:$K$5000) / ((Kintoneデータ抽出!$K$2:$K$5000="院内")), ROW(A88))))&amp;"年"
&amp;MONTH(INDEX(Kintoneデータ抽出!E:E, _xlfn.AGGREGATE(15, 6, ROW(Kintoneデータ抽出!$K$2:$K$5000) / ((Kintoneデータ抽出!$K$2:$K$5000="院内")), ROW(A88))))&amp;"月"
&amp;DAY(INDEX(Kintoneデータ抽出!E:E, _xlfn.AGGREGATE(15, 6, ROW(Kintoneデータ抽出!$K$2:$K$5000) /((Kintoneデータ抽出!$K$2:$K$5000="院内")), ROW(A88))))&amp;"日",""), "")</f>
        <v/>
      </c>
      <c r="K125" s="77" t="str" cm="1">
        <f t="array" ref="K125">IFERROR(IF(INDEX(Kintoneデータ抽出!F:F, _xlfn.AGGREGATE(15, 6, ROW(Kintoneデータ抽出!$K$2:$K$5000) / ((Kintoneデータ抽出!$K$2:$K$5000="院内")), ROW(A88)))&lt;&gt;"",
VLOOKUP(INDEX(Kintoneデータ抽出!F:F, _xlfn.AGGREGATE(15, 6, ROW(Kintoneデータ抽出!$K$2:$K$5000) / ((Kintoneデータ抽出!$K$2:$K$5000="院内")), ROW(A88))),基本開園日の表記!$A$2:$B$13,2,FALSE),""), "")</f>
        <v/>
      </c>
      <c r="L125" s="75" t="str">
        <f t="array" ref="L125">IFERROR(IF(INDEX(Kintoneデータ抽出!F:F, _xlfn.AGGREGATE(15, 6, ROW(Kintoneデータ抽出!$K$2:$K$5000) / ((Kintoneデータ抽出!$K$2:$K$5000="院内")), ROW(A88)))&lt;&gt;"",
IF(COUNTIF(INDEX(Kintoneデータ抽出!F:F, _xlfn.AGGREGATE(15, 6, ROW(Kintoneデータ抽出!$K$2:$K$5000) / ((Kintoneデータ抽出!$K$2:$K$5000="院内")), ROW(A88))),"*あり*"),"夜間",""),""), "")</f>
        <v/>
      </c>
      <c r="M125" s="75" t="str">
        <f t="array" ref="M125">IFERROR(IF(INDEX(Kintoneデータ抽出!I:I, _xlfn.AGGREGATE(15, 6, ROW(Kintoneデータ抽出!$K$2:$K$5000) / ((Kintoneデータ抽出!$K$2:$K$5000="院内")), ROW(A88)))&lt;&gt;"",
IF(COUNTIF(INDEX(Kintoneデータ抽出!I:I, _xlfn.AGGREGATE(15, 6, ROW(Kintoneデータ抽出!$K$2:$K$5000) / ((Kintoneデータ抽出!$K$2:$K$5000="院内")), ROW(A88))),"*あり*"),"学童",""),""), "")</f>
        <v/>
      </c>
      <c r="N125" s="75" t="str">
        <f t="array" ref="N125">IFERROR(IF(INDEX(Kintoneデータ抽出!H:H, _xlfn.AGGREGATE(15, 6, ROW(Kintoneデータ抽出!$K$2:$K$5000) / ((Kintoneデータ抽出!$K$2:$K$5000="院内")), ROW(A88)))&lt;&gt;"",
IF(COUNTIF(INDEX(Kintoneデータ抽出!H:H, _xlfn.AGGREGATE(15, 6, ROW(Kintoneデータ抽出!$K$2:$K$5000) / ((Kintoneデータ抽出!$K$2:$K$5000="院内")), ROW(A88))),"*あり*"),"病児",""),""), "")</f>
        <v/>
      </c>
      <c r="O125" s="94" t="str" cm="1">
        <f t="array" ref="O125">IFERROR(
IF(INDEX(Kintoneデータ抽出!M:M, _xlfn.AGGREGATE(15, 6, ROW(Kintoneデータ抽出!$K$2:$K$5000) / ((Kintoneデータ抽出!$K$2:$K$5000="院内")), ROW(A88)))&lt;&gt;0,INDEX(Kintoneデータ抽出!M:M, _xlfn.AGGREGATE(15, 6, ROW(Kintoneデータ抽出!$K$2:$K$5000) / ((Kintoneデータ抽出!$K$2:$K$5000="院内")), ROW(A88))),""), "")</f>
        <v/>
      </c>
      <c r="P125" s="78" t="str">
        <f t="array" ref="P125">IFERROR(IF(INDEX(Kintoneデータ抽出!L:L, _xlfn.AGGREGATE(15, 6, ROW(Kintoneデータ抽出!$K$2:$K$5000) / ((Kintoneデータ抽出!$K$2:$K$5000="院内")), ROW(A88)))&lt;&gt;"",
IF(COUNTIF(INDEX(Kintoneデータ抽出!L:L, _xlfn.AGGREGATE(15, 6, ROW(Kintoneデータ抽出!$K$2:$K$5000) / ((Kintoneデータ抽出!$K$2:$K$5000="院内")), ROW(A88))),"*企業主導型以外*"),"",
IF(COUNTIF(INDEX(Kintoneデータ抽出!L:L, _xlfn.AGGREGATE(15, 6, ROW(Kintoneデータ抽出!$K$2:$K$5000) / ((Kintoneデータ抽出!$K$2:$K$5000="院内")), ROW(A88))),"*その他*"),"",
IF(COUNTIF(INDEX(Kintoneデータ抽出!L:L, _xlfn.AGGREGATE(15, 6, ROW(Kintoneデータ抽出!$K$2:$K$5000) / ((Kintoneデータ抽出!$K$2:$K$5000="院内")), ROW(A88))),"*新制度*"),"新制度","企業主導型"))),""), "")</f>
        <v/>
      </c>
    </row>
    <row r="126" spans="2:16" ht="34.799999999999997" customHeight="1" x14ac:dyDescent="0.45">
      <c r="B126" s="45"/>
      <c r="C126" s="46"/>
      <c r="D126" s="98" t="str">
        <f t="shared" si="2"/>
        <v/>
      </c>
      <c r="E126" s="99"/>
      <c r="F126" s="75" t="str">
        <f t="array" ref="F126">IFERROR(INDEX(Kintoneデータ抽出!A:A, _xlfn.AGGREGATE(15, 6, ROW(Kintoneデータ抽出!$K$2:$K$5000) / ((Kintoneデータ抽出!$K$2:$K$5000="院内")), ROW(A89))), "")</f>
        <v/>
      </c>
      <c r="G126" s="77" t="str">
        <f t="array" ref="G126">IFERROR(INDEX(Kintoneデータ抽出!D:D, _xlfn.AGGREGATE(15, 6, ROW(Kintoneデータ抽出!$K$2:$K$5000) / ((Kintoneデータ抽出!$K$2:$K$5000="院内")), ROW(A89))), "")</f>
        <v/>
      </c>
      <c r="H126" s="77" t="str">
        <f t="array" ref="H126">IFERROR(INDEX(Kintoneデータ抽出!C:C, _xlfn.AGGREGATE(15, 6, ROW(Kintoneデータ抽出!$K$2:$K$5000) / ((Kintoneデータ抽出!$K$2:$K$5000="院内")), ROW(A89))), "")</f>
        <v/>
      </c>
      <c r="I126" s="75" t="str">
        <f t="array" ref="I126">IFERROR(IF(INDEX(Kintoneデータ抽出!G:G, _xlfn.AGGREGATE(15, 6, ROW(Kintoneデータ抽出!$K$2:$K$5000) / ((Kintoneデータ抽出!$K$2:$K$5000="院内")), ROW(A89)))&lt;&gt;"",INDEX(Kintoneデータ抽出!G:G, _xlfn.AGGREGATE(15, 6, ROW(Kintoneデータ抽出!$K$2:$K$5000) / ((Kintoneデータ抽出!$K$2:$K$5000="院内")), ROW(A89)))&amp;"名",""), "")</f>
        <v/>
      </c>
      <c r="J126" s="76" t="str">
        <f t="array" ref="J126">IFERROR(IF(INDEX(Kintoneデータ抽出!E:E, _xlfn.AGGREGATE(15, 6, ROW(Kintoneデータ抽出!$K$2:$K$5000) / ((Kintoneデータ抽出!$K$2:$K$5000="院内")), ROW(A89)))&lt;&gt;"",
YEAR(INDEX(Kintoneデータ抽出!E:E, _xlfn.AGGREGATE(15, 6, ROW(Kintoneデータ抽出!$K$2:$K$5000) / ((Kintoneデータ抽出!$K$2:$K$5000="院内")), ROW(A89))))&amp;"年"
&amp;MONTH(INDEX(Kintoneデータ抽出!E:E, _xlfn.AGGREGATE(15, 6, ROW(Kintoneデータ抽出!$K$2:$K$5000) / ((Kintoneデータ抽出!$K$2:$K$5000="院内")), ROW(A89))))&amp;"月"
&amp;DAY(INDEX(Kintoneデータ抽出!E:E, _xlfn.AGGREGATE(15, 6, ROW(Kintoneデータ抽出!$K$2:$K$5000) /((Kintoneデータ抽出!$K$2:$K$5000="院内")), ROW(A89))))&amp;"日",""), "")</f>
        <v/>
      </c>
      <c r="K126" s="77" t="str" cm="1">
        <f t="array" ref="K126">IFERROR(IF(INDEX(Kintoneデータ抽出!F:F, _xlfn.AGGREGATE(15, 6, ROW(Kintoneデータ抽出!$K$2:$K$5000) / ((Kintoneデータ抽出!$K$2:$K$5000="院内")), ROW(A89)))&lt;&gt;"",
VLOOKUP(INDEX(Kintoneデータ抽出!F:F, _xlfn.AGGREGATE(15, 6, ROW(Kintoneデータ抽出!$K$2:$K$5000) / ((Kintoneデータ抽出!$K$2:$K$5000="院内")), ROW(A89))),基本開園日の表記!$A$2:$B$13,2,FALSE),""), "")</f>
        <v/>
      </c>
      <c r="L126" s="75" t="str">
        <f t="array" ref="L126">IFERROR(IF(INDEX(Kintoneデータ抽出!F:F, _xlfn.AGGREGATE(15, 6, ROW(Kintoneデータ抽出!$K$2:$K$5000) / ((Kintoneデータ抽出!$K$2:$K$5000="院内")), ROW(A89)))&lt;&gt;"",
IF(COUNTIF(INDEX(Kintoneデータ抽出!F:F, _xlfn.AGGREGATE(15, 6, ROW(Kintoneデータ抽出!$K$2:$K$5000) / ((Kintoneデータ抽出!$K$2:$K$5000="院内")), ROW(A89))),"*あり*"),"夜間",""),""), "")</f>
        <v/>
      </c>
      <c r="M126" s="75" t="str">
        <f t="array" ref="M126">IFERROR(IF(INDEX(Kintoneデータ抽出!I:I, _xlfn.AGGREGATE(15, 6, ROW(Kintoneデータ抽出!$K$2:$K$5000) / ((Kintoneデータ抽出!$K$2:$K$5000="院内")), ROW(A89)))&lt;&gt;"",
IF(COUNTIF(INDEX(Kintoneデータ抽出!I:I, _xlfn.AGGREGATE(15, 6, ROW(Kintoneデータ抽出!$K$2:$K$5000) / ((Kintoneデータ抽出!$K$2:$K$5000="院内")), ROW(A89))),"*あり*"),"学童",""),""), "")</f>
        <v/>
      </c>
      <c r="N126" s="75" t="str">
        <f t="array" ref="N126">IFERROR(IF(INDEX(Kintoneデータ抽出!H:H, _xlfn.AGGREGATE(15, 6, ROW(Kintoneデータ抽出!$K$2:$K$5000) / ((Kintoneデータ抽出!$K$2:$K$5000="院内")), ROW(A89)))&lt;&gt;"",
IF(COUNTIF(INDEX(Kintoneデータ抽出!H:H, _xlfn.AGGREGATE(15, 6, ROW(Kintoneデータ抽出!$K$2:$K$5000) / ((Kintoneデータ抽出!$K$2:$K$5000="院内")), ROW(A89))),"*あり*"),"病児",""),""), "")</f>
        <v/>
      </c>
      <c r="O126" s="94" t="str" cm="1">
        <f t="array" ref="O126">IFERROR(
IF(INDEX(Kintoneデータ抽出!M:M, _xlfn.AGGREGATE(15, 6, ROW(Kintoneデータ抽出!$K$2:$K$5000) / ((Kintoneデータ抽出!$K$2:$K$5000="院内")), ROW(A89)))&lt;&gt;0,INDEX(Kintoneデータ抽出!M:M, _xlfn.AGGREGATE(15, 6, ROW(Kintoneデータ抽出!$K$2:$K$5000) / ((Kintoneデータ抽出!$K$2:$K$5000="院内")), ROW(A89))),""), "")</f>
        <v/>
      </c>
      <c r="P126" s="78" t="str">
        <f t="array" ref="P126">IFERROR(IF(INDEX(Kintoneデータ抽出!L:L, _xlfn.AGGREGATE(15, 6, ROW(Kintoneデータ抽出!$K$2:$K$5000) / ((Kintoneデータ抽出!$K$2:$K$5000="院内")), ROW(A89)))&lt;&gt;"",
IF(COUNTIF(INDEX(Kintoneデータ抽出!L:L, _xlfn.AGGREGATE(15, 6, ROW(Kintoneデータ抽出!$K$2:$K$5000) / ((Kintoneデータ抽出!$K$2:$K$5000="院内")), ROW(A89))),"*企業主導型以外*"),"",
IF(COUNTIF(INDEX(Kintoneデータ抽出!L:L, _xlfn.AGGREGATE(15, 6, ROW(Kintoneデータ抽出!$K$2:$K$5000) / ((Kintoneデータ抽出!$K$2:$K$5000="院内")), ROW(A89))),"*その他*"),"",
IF(COUNTIF(INDEX(Kintoneデータ抽出!L:L, _xlfn.AGGREGATE(15, 6, ROW(Kintoneデータ抽出!$K$2:$K$5000) / ((Kintoneデータ抽出!$K$2:$K$5000="院内")), ROW(A89))),"*新制度*"),"新制度","企業主導型"))),""), "")</f>
        <v/>
      </c>
    </row>
    <row r="127" spans="2:16" ht="34.799999999999997" customHeight="1" x14ac:dyDescent="0.45">
      <c r="B127" s="45"/>
      <c r="C127" s="46"/>
      <c r="D127" s="98" t="str">
        <f t="shared" si="2"/>
        <v/>
      </c>
      <c r="E127" s="99"/>
      <c r="F127" s="75" t="str">
        <f t="array" ref="F127">IFERROR(INDEX(Kintoneデータ抽出!A:A, _xlfn.AGGREGATE(15, 6, ROW(Kintoneデータ抽出!$K$2:$K$5000) / ((Kintoneデータ抽出!$K$2:$K$5000="院内")), ROW(A90))), "")</f>
        <v/>
      </c>
      <c r="G127" s="77" t="str">
        <f t="array" ref="G127">IFERROR(INDEX(Kintoneデータ抽出!D:D, _xlfn.AGGREGATE(15, 6, ROW(Kintoneデータ抽出!$K$2:$K$5000) / ((Kintoneデータ抽出!$K$2:$K$5000="院内")), ROW(A90))), "")</f>
        <v/>
      </c>
      <c r="H127" s="77" t="str">
        <f t="array" ref="H127">IFERROR(INDEX(Kintoneデータ抽出!C:C, _xlfn.AGGREGATE(15, 6, ROW(Kintoneデータ抽出!$K$2:$K$5000) / ((Kintoneデータ抽出!$K$2:$K$5000="院内")), ROW(A90))), "")</f>
        <v/>
      </c>
      <c r="I127" s="75" t="str">
        <f t="array" ref="I127">IFERROR(IF(INDEX(Kintoneデータ抽出!G:G, _xlfn.AGGREGATE(15, 6, ROW(Kintoneデータ抽出!$K$2:$K$5000) / ((Kintoneデータ抽出!$K$2:$K$5000="院内")), ROW(A90)))&lt;&gt;"",INDEX(Kintoneデータ抽出!G:G, _xlfn.AGGREGATE(15, 6, ROW(Kintoneデータ抽出!$K$2:$K$5000) / ((Kintoneデータ抽出!$K$2:$K$5000="院内")), ROW(A90)))&amp;"名",""), "")</f>
        <v/>
      </c>
      <c r="J127" s="76" t="str">
        <f t="array" ref="J127">IFERROR(IF(INDEX(Kintoneデータ抽出!E:E, _xlfn.AGGREGATE(15, 6, ROW(Kintoneデータ抽出!$K$2:$K$5000) / ((Kintoneデータ抽出!$K$2:$K$5000="院内")), ROW(A90)))&lt;&gt;"",
YEAR(INDEX(Kintoneデータ抽出!E:E, _xlfn.AGGREGATE(15, 6, ROW(Kintoneデータ抽出!$K$2:$K$5000) / ((Kintoneデータ抽出!$K$2:$K$5000="院内")), ROW(A90))))&amp;"年"
&amp;MONTH(INDEX(Kintoneデータ抽出!E:E, _xlfn.AGGREGATE(15, 6, ROW(Kintoneデータ抽出!$K$2:$K$5000) / ((Kintoneデータ抽出!$K$2:$K$5000="院内")), ROW(A90))))&amp;"月"
&amp;DAY(INDEX(Kintoneデータ抽出!E:E, _xlfn.AGGREGATE(15, 6, ROW(Kintoneデータ抽出!$K$2:$K$5000) /((Kintoneデータ抽出!$K$2:$K$5000="院内")), ROW(A90))))&amp;"日",""), "")</f>
        <v/>
      </c>
      <c r="K127" s="77" t="str" cm="1">
        <f t="array" ref="K127">IFERROR(IF(INDEX(Kintoneデータ抽出!F:F, _xlfn.AGGREGATE(15, 6, ROW(Kintoneデータ抽出!$K$2:$K$5000) / ((Kintoneデータ抽出!$K$2:$K$5000="院内")), ROW(A90)))&lt;&gt;"",
VLOOKUP(INDEX(Kintoneデータ抽出!F:F, _xlfn.AGGREGATE(15, 6, ROW(Kintoneデータ抽出!$K$2:$K$5000) / ((Kintoneデータ抽出!$K$2:$K$5000="院内")), ROW(A90))),基本開園日の表記!$A$2:$B$13,2,FALSE),""), "")</f>
        <v/>
      </c>
      <c r="L127" s="75" t="str">
        <f t="array" ref="L127">IFERROR(IF(INDEX(Kintoneデータ抽出!F:F, _xlfn.AGGREGATE(15, 6, ROW(Kintoneデータ抽出!$K$2:$K$5000) / ((Kintoneデータ抽出!$K$2:$K$5000="院内")), ROW(A90)))&lt;&gt;"",
IF(COUNTIF(INDEX(Kintoneデータ抽出!F:F, _xlfn.AGGREGATE(15, 6, ROW(Kintoneデータ抽出!$K$2:$K$5000) / ((Kintoneデータ抽出!$K$2:$K$5000="院内")), ROW(A90))),"*あり*"),"夜間",""),""), "")</f>
        <v/>
      </c>
      <c r="M127" s="75" t="str">
        <f t="array" ref="M127">IFERROR(IF(INDEX(Kintoneデータ抽出!I:I, _xlfn.AGGREGATE(15, 6, ROW(Kintoneデータ抽出!$K$2:$K$5000) / ((Kintoneデータ抽出!$K$2:$K$5000="院内")), ROW(A90)))&lt;&gt;"",
IF(COUNTIF(INDEX(Kintoneデータ抽出!I:I, _xlfn.AGGREGATE(15, 6, ROW(Kintoneデータ抽出!$K$2:$K$5000) / ((Kintoneデータ抽出!$K$2:$K$5000="院内")), ROW(A90))),"*あり*"),"学童",""),""), "")</f>
        <v/>
      </c>
      <c r="N127" s="75" t="str">
        <f t="array" ref="N127">IFERROR(IF(INDEX(Kintoneデータ抽出!H:H, _xlfn.AGGREGATE(15, 6, ROW(Kintoneデータ抽出!$K$2:$K$5000) / ((Kintoneデータ抽出!$K$2:$K$5000="院内")), ROW(A90)))&lt;&gt;"",
IF(COUNTIF(INDEX(Kintoneデータ抽出!H:H, _xlfn.AGGREGATE(15, 6, ROW(Kintoneデータ抽出!$K$2:$K$5000) / ((Kintoneデータ抽出!$K$2:$K$5000="院内")), ROW(A90))),"*あり*"),"病児",""),""), "")</f>
        <v/>
      </c>
      <c r="O127" s="94" t="str" cm="1">
        <f t="array" ref="O127">IFERROR(
IF(INDEX(Kintoneデータ抽出!M:M, _xlfn.AGGREGATE(15, 6, ROW(Kintoneデータ抽出!$K$2:$K$5000) / ((Kintoneデータ抽出!$K$2:$K$5000="院内")), ROW(A90)))&lt;&gt;0,INDEX(Kintoneデータ抽出!M:M, _xlfn.AGGREGATE(15, 6, ROW(Kintoneデータ抽出!$K$2:$K$5000) / ((Kintoneデータ抽出!$K$2:$K$5000="院内")), ROW(A90))),""), "")</f>
        <v/>
      </c>
      <c r="P127" s="78" t="str">
        <f t="array" ref="P127">IFERROR(IF(INDEX(Kintoneデータ抽出!L:L, _xlfn.AGGREGATE(15, 6, ROW(Kintoneデータ抽出!$K$2:$K$5000) / ((Kintoneデータ抽出!$K$2:$K$5000="院内")), ROW(A90)))&lt;&gt;"",
IF(COUNTIF(INDEX(Kintoneデータ抽出!L:L, _xlfn.AGGREGATE(15, 6, ROW(Kintoneデータ抽出!$K$2:$K$5000) / ((Kintoneデータ抽出!$K$2:$K$5000="院内")), ROW(A90))),"*企業主導型以外*"),"",
IF(COUNTIF(INDEX(Kintoneデータ抽出!L:L, _xlfn.AGGREGATE(15, 6, ROW(Kintoneデータ抽出!$K$2:$K$5000) / ((Kintoneデータ抽出!$K$2:$K$5000="院内")), ROW(A90))),"*その他*"),"",
IF(COUNTIF(INDEX(Kintoneデータ抽出!L:L, _xlfn.AGGREGATE(15, 6, ROW(Kintoneデータ抽出!$K$2:$K$5000) / ((Kintoneデータ抽出!$K$2:$K$5000="院内")), ROW(A90))),"*新制度*"),"新制度","企業主導型"))),""), "")</f>
        <v/>
      </c>
    </row>
    <row r="128" spans="2:16" ht="34.799999999999997" customHeight="1" x14ac:dyDescent="0.45">
      <c r="B128" s="45"/>
      <c r="C128" s="46"/>
      <c r="D128" s="98" t="str">
        <f t="shared" si="2"/>
        <v/>
      </c>
      <c r="E128" s="99"/>
      <c r="F128" s="75" t="str">
        <f t="array" ref="F128">IFERROR(INDEX(Kintoneデータ抽出!A:A, _xlfn.AGGREGATE(15, 6, ROW(Kintoneデータ抽出!$K$2:$K$5000) / ((Kintoneデータ抽出!$K$2:$K$5000="院内")), ROW(A91))), "")</f>
        <v/>
      </c>
      <c r="G128" s="77" t="str">
        <f t="array" ref="G128">IFERROR(INDEX(Kintoneデータ抽出!D:D, _xlfn.AGGREGATE(15, 6, ROW(Kintoneデータ抽出!$K$2:$K$5000) / ((Kintoneデータ抽出!$K$2:$K$5000="院内")), ROW(A91))), "")</f>
        <v/>
      </c>
      <c r="H128" s="77" t="str">
        <f t="array" ref="H128">IFERROR(INDEX(Kintoneデータ抽出!C:C, _xlfn.AGGREGATE(15, 6, ROW(Kintoneデータ抽出!$K$2:$K$5000) / ((Kintoneデータ抽出!$K$2:$K$5000="院内")), ROW(A91))), "")</f>
        <v/>
      </c>
      <c r="I128" s="75" t="str">
        <f t="array" ref="I128">IFERROR(IF(INDEX(Kintoneデータ抽出!G:G, _xlfn.AGGREGATE(15, 6, ROW(Kintoneデータ抽出!$K$2:$K$5000) / ((Kintoneデータ抽出!$K$2:$K$5000="院内")), ROW(A91)))&lt;&gt;"",INDEX(Kintoneデータ抽出!G:G, _xlfn.AGGREGATE(15, 6, ROW(Kintoneデータ抽出!$K$2:$K$5000) / ((Kintoneデータ抽出!$K$2:$K$5000="院内")), ROW(A91)))&amp;"名",""), "")</f>
        <v/>
      </c>
      <c r="J128" s="76" t="str">
        <f t="array" ref="J128">IFERROR(IF(INDEX(Kintoneデータ抽出!E:E, _xlfn.AGGREGATE(15, 6, ROW(Kintoneデータ抽出!$K$2:$K$5000) / ((Kintoneデータ抽出!$K$2:$K$5000="院内")), ROW(A91)))&lt;&gt;"",
YEAR(INDEX(Kintoneデータ抽出!E:E, _xlfn.AGGREGATE(15, 6, ROW(Kintoneデータ抽出!$K$2:$K$5000) / ((Kintoneデータ抽出!$K$2:$K$5000="院内")), ROW(A91))))&amp;"年"
&amp;MONTH(INDEX(Kintoneデータ抽出!E:E, _xlfn.AGGREGATE(15, 6, ROW(Kintoneデータ抽出!$K$2:$K$5000) / ((Kintoneデータ抽出!$K$2:$K$5000="院内")), ROW(A91))))&amp;"月"
&amp;DAY(INDEX(Kintoneデータ抽出!E:E, _xlfn.AGGREGATE(15, 6, ROW(Kintoneデータ抽出!$K$2:$K$5000) /((Kintoneデータ抽出!$K$2:$K$5000="院内")), ROW(A91))))&amp;"日",""), "")</f>
        <v/>
      </c>
      <c r="K128" s="77" t="str" cm="1">
        <f t="array" ref="K128">IFERROR(IF(INDEX(Kintoneデータ抽出!F:F, _xlfn.AGGREGATE(15, 6, ROW(Kintoneデータ抽出!$K$2:$K$5000) / ((Kintoneデータ抽出!$K$2:$K$5000="院内")), ROW(A91)))&lt;&gt;"",
VLOOKUP(INDEX(Kintoneデータ抽出!F:F, _xlfn.AGGREGATE(15, 6, ROW(Kintoneデータ抽出!$K$2:$K$5000) / ((Kintoneデータ抽出!$K$2:$K$5000="院内")), ROW(A91))),基本開園日の表記!$A$2:$B$13,2,FALSE),""), "")</f>
        <v/>
      </c>
      <c r="L128" s="75" t="str">
        <f t="array" ref="L128">IFERROR(IF(INDEX(Kintoneデータ抽出!F:F, _xlfn.AGGREGATE(15, 6, ROW(Kintoneデータ抽出!$K$2:$K$5000) / ((Kintoneデータ抽出!$K$2:$K$5000="院内")), ROW(A91)))&lt;&gt;"",
IF(COUNTIF(INDEX(Kintoneデータ抽出!F:F, _xlfn.AGGREGATE(15, 6, ROW(Kintoneデータ抽出!$K$2:$K$5000) / ((Kintoneデータ抽出!$K$2:$K$5000="院内")), ROW(A91))),"*あり*"),"夜間",""),""), "")</f>
        <v/>
      </c>
      <c r="M128" s="75" t="str">
        <f t="array" ref="M128">IFERROR(IF(INDEX(Kintoneデータ抽出!I:I, _xlfn.AGGREGATE(15, 6, ROW(Kintoneデータ抽出!$K$2:$K$5000) / ((Kintoneデータ抽出!$K$2:$K$5000="院内")), ROW(A91)))&lt;&gt;"",
IF(COUNTIF(INDEX(Kintoneデータ抽出!I:I, _xlfn.AGGREGATE(15, 6, ROW(Kintoneデータ抽出!$K$2:$K$5000) / ((Kintoneデータ抽出!$K$2:$K$5000="院内")), ROW(A91))),"*あり*"),"学童",""),""), "")</f>
        <v/>
      </c>
      <c r="N128" s="75" t="str">
        <f t="array" ref="N128">IFERROR(IF(INDEX(Kintoneデータ抽出!H:H, _xlfn.AGGREGATE(15, 6, ROW(Kintoneデータ抽出!$K$2:$K$5000) / ((Kintoneデータ抽出!$K$2:$K$5000="院内")), ROW(A91)))&lt;&gt;"",
IF(COUNTIF(INDEX(Kintoneデータ抽出!H:H, _xlfn.AGGREGATE(15, 6, ROW(Kintoneデータ抽出!$K$2:$K$5000) / ((Kintoneデータ抽出!$K$2:$K$5000="院内")), ROW(A91))),"*あり*"),"病児",""),""), "")</f>
        <v/>
      </c>
      <c r="O128" s="94" t="str" cm="1">
        <f t="array" ref="O128">IFERROR(
IF(INDEX(Kintoneデータ抽出!M:M, _xlfn.AGGREGATE(15, 6, ROW(Kintoneデータ抽出!$K$2:$K$5000) / ((Kintoneデータ抽出!$K$2:$K$5000="院内")), ROW(A91)))&lt;&gt;0,INDEX(Kintoneデータ抽出!M:M, _xlfn.AGGREGATE(15, 6, ROW(Kintoneデータ抽出!$K$2:$K$5000) / ((Kintoneデータ抽出!$K$2:$K$5000="院内")), ROW(A91))),""), "")</f>
        <v/>
      </c>
      <c r="P128" s="78" t="str">
        <f t="array" ref="P128">IFERROR(IF(INDEX(Kintoneデータ抽出!L:L, _xlfn.AGGREGATE(15, 6, ROW(Kintoneデータ抽出!$K$2:$K$5000) / ((Kintoneデータ抽出!$K$2:$K$5000="院内")), ROW(A91)))&lt;&gt;"",
IF(COUNTIF(INDEX(Kintoneデータ抽出!L:L, _xlfn.AGGREGATE(15, 6, ROW(Kintoneデータ抽出!$K$2:$K$5000) / ((Kintoneデータ抽出!$K$2:$K$5000="院内")), ROW(A91))),"*企業主導型以外*"),"",
IF(COUNTIF(INDEX(Kintoneデータ抽出!L:L, _xlfn.AGGREGATE(15, 6, ROW(Kintoneデータ抽出!$K$2:$K$5000) / ((Kintoneデータ抽出!$K$2:$K$5000="院内")), ROW(A91))),"*その他*"),"",
IF(COUNTIF(INDEX(Kintoneデータ抽出!L:L, _xlfn.AGGREGATE(15, 6, ROW(Kintoneデータ抽出!$K$2:$K$5000) / ((Kintoneデータ抽出!$K$2:$K$5000="院内")), ROW(A91))),"*新制度*"),"新制度","企業主導型"))),""), "")</f>
        <v/>
      </c>
    </row>
    <row r="129" spans="2:16" ht="34.799999999999997" customHeight="1" x14ac:dyDescent="0.45">
      <c r="B129" s="45"/>
      <c r="C129" s="46"/>
      <c r="D129" s="98" t="str">
        <f t="shared" si="2"/>
        <v/>
      </c>
      <c r="E129" s="99"/>
      <c r="F129" s="75" t="str">
        <f t="array" ref="F129">IFERROR(INDEX(Kintoneデータ抽出!A:A, _xlfn.AGGREGATE(15, 6, ROW(Kintoneデータ抽出!$K$2:$K$5000) / ((Kintoneデータ抽出!$K$2:$K$5000="院内")), ROW(A92))), "")</f>
        <v/>
      </c>
      <c r="G129" s="77" t="str">
        <f t="array" ref="G129">IFERROR(INDEX(Kintoneデータ抽出!D:D, _xlfn.AGGREGATE(15, 6, ROW(Kintoneデータ抽出!$K$2:$K$5000) / ((Kintoneデータ抽出!$K$2:$K$5000="院内")), ROW(A92))), "")</f>
        <v/>
      </c>
      <c r="H129" s="77" t="str">
        <f t="array" ref="H129">IFERROR(INDEX(Kintoneデータ抽出!C:C, _xlfn.AGGREGATE(15, 6, ROW(Kintoneデータ抽出!$K$2:$K$5000) / ((Kintoneデータ抽出!$K$2:$K$5000="院内")), ROW(A92))), "")</f>
        <v/>
      </c>
      <c r="I129" s="75" t="str">
        <f t="array" ref="I129">IFERROR(IF(INDEX(Kintoneデータ抽出!G:G, _xlfn.AGGREGATE(15, 6, ROW(Kintoneデータ抽出!$K$2:$K$5000) / ((Kintoneデータ抽出!$K$2:$K$5000="院内")), ROW(A92)))&lt;&gt;"",INDEX(Kintoneデータ抽出!G:G, _xlfn.AGGREGATE(15, 6, ROW(Kintoneデータ抽出!$K$2:$K$5000) / ((Kintoneデータ抽出!$K$2:$K$5000="院内")), ROW(A92)))&amp;"名",""), "")</f>
        <v/>
      </c>
      <c r="J129" s="76" t="str">
        <f t="array" ref="J129">IFERROR(IF(INDEX(Kintoneデータ抽出!E:E, _xlfn.AGGREGATE(15, 6, ROW(Kintoneデータ抽出!$K$2:$K$5000) / ((Kintoneデータ抽出!$K$2:$K$5000="院内")), ROW(A92)))&lt;&gt;"",
YEAR(INDEX(Kintoneデータ抽出!E:E, _xlfn.AGGREGATE(15, 6, ROW(Kintoneデータ抽出!$K$2:$K$5000) / ((Kintoneデータ抽出!$K$2:$K$5000="院内")), ROW(A92))))&amp;"年"
&amp;MONTH(INDEX(Kintoneデータ抽出!E:E, _xlfn.AGGREGATE(15, 6, ROW(Kintoneデータ抽出!$K$2:$K$5000) / ((Kintoneデータ抽出!$K$2:$K$5000="院内")), ROW(A92))))&amp;"月"
&amp;DAY(INDEX(Kintoneデータ抽出!E:E, _xlfn.AGGREGATE(15, 6, ROW(Kintoneデータ抽出!$K$2:$K$5000) /((Kintoneデータ抽出!$K$2:$K$5000="院内")), ROW(A92))))&amp;"日",""), "")</f>
        <v/>
      </c>
      <c r="K129" s="77" t="str" cm="1">
        <f t="array" ref="K129">IFERROR(IF(INDEX(Kintoneデータ抽出!F:F, _xlfn.AGGREGATE(15, 6, ROW(Kintoneデータ抽出!$K$2:$K$5000) / ((Kintoneデータ抽出!$K$2:$K$5000="院内")), ROW(A92)))&lt;&gt;"",
VLOOKUP(INDEX(Kintoneデータ抽出!F:F, _xlfn.AGGREGATE(15, 6, ROW(Kintoneデータ抽出!$K$2:$K$5000) / ((Kintoneデータ抽出!$K$2:$K$5000="院内")), ROW(A92))),基本開園日の表記!$A$2:$B$13,2,FALSE),""), "")</f>
        <v/>
      </c>
      <c r="L129" s="75" t="str">
        <f t="array" ref="L129">IFERROR(IF(INDEX(Kintoneデータ抽出!F:F, _xlfn.AGGREGATE(15, 6, ROW(Kintoneデータ抽出!$K$2:$K$5000) / ((Kintoneデータ抽出!$K$2:$K$5000="院内")), ROW(A92)))&lt;&gt;"",
IF(COUNTIF(INDEX(Kintoneデータ抽出!F:F, _xlfn.AGGREGATE(15, 6, ROW(Kintoneデータ抽出!$K$2:$K$5000) / ((Kintoneデータ抽出!$K$2:$K$5000="院内")), ROW(A92))),"*あり*"),"夜間",""),""), "")</f>
        <v/>
      </c>
      <c r="M129" s="75" t="str">
        <f t="array" ref="M129">IFERROR(IF(INDEX(Kintoneデータ抽出!I:I, _xlfn.AGGREGATE(15, 6, ROW(Kintoneデータ抽出!$K$2:$K$5000) / ((Kintoneデータ抽出!$K$2:$K$5000="院内")), ROW(A92)))&lt;&gt;"",
IF(COUNTIF(INDEX(Kintoneデータ抽出!I:I, _xlfn.AGGREGATE(15, 6, ROW(Kintoneデータ抽出!$K$2:$K$5000) / ((Kintoneデータ抽出!$K$2:$K$5000="院内")), ROW(A92))),"*あり*"),"学童",""),""), "")</f>
        <v/>
      </c>
      <c r="N129" s="75" t="str">
        <f t="array" ref="N129">IFERROR(IF(INDEX(Kintoneデータ抽出!H:H, _xlfn.AGGREGATE(15, 6, ROW(Kintoneデータ抽出!$K$2:$K$5000) / ((Kintoneデータ抽出!$K$2:$K$5000="院内")), ROW(A92)))&lt;&gt;"",
IF(COUNTIF(INDEX(Kintoneデータ抽出!H:H, _xlfn.AGGREGATE(15, 6, ROW(Kintoneデータ抽出!$K$2:$K$5000) / ((Kintoneデータ抽出!$K$2:$K$5000="院内")), ROW(A92))),"*あり*"),"病児",""),""), "")</f>
        <v/>
      </c>
      <c r="O129" s="94" t="str" cm="1">
        <f t="array" ref="O129">IFERROR(
IF(INDEX(Kintoneデータ抽出!M:M, _xlfn.AGGREGATE(15, 6, ROW(Kintoneデータ抽出!$K$2:$K$5000) / ((Kintoneデータ抽出!$K$2:$K$5000="院内")), ROW(A92)))&lt;&gt;0,INDEX(Kintoneデータ抽出!M:M, _xlfn.AGGREGATE(15, 6, ROW(Kintoneデータ抽出!$K$2:$K$5000) / ((Kintoneデータ抽出!$K$2:$K$5000="院内")), ROW(A92))),""), "")</f>
        <v/>
      </c>
      <c r="P129" s="78" t="str">
        <f t="array" ref="P129">IFERROR(IF(INDEX(Kintoneデータ抽出!L:L, _xlfn.AGGREGATE(15, 6, ROW(Kintoneデータ抽出!$K$2:$K$5000) / ((Kintoneデータ抽出!$K$2:$K$5000="院内")), ROW(A92)))&lt;&gt;"",
IF(COUNTIF(INDEX(Kintoneデータ抽出!L:L, _xlfn.AGGREGATE(15, 6, ROW(Kintoneデータ抽出!$K$2:$K$5000) / ((Kintoneデータ抽出!$K$2:$K$5000="院内")), ROW(A92))),"*企業主導型以外*"),"",
IF(COUNTIF(INDEX(Kintoneデータ抽出!L:L, _xlfn.AGGREGATE(15, 6, ROW(Kintoneデータ抽出!$K$2:$K$5000) / ((Kintoneデータ抽出!$K$2:$K$5000="院内")), ROW(A92))),"*その他*"),"",
IF(COUNTIF(INDEX(Kintoneデータ抽出!L:L, _xlfn.AGGREGATE(15, 6, ROW(Kintoneデータ抽出!$K$2:$K$5000) / ((Kintoneデータ抽出!$K$2:$K$5000="院内")), ROW(A92))),"*新制度*"),"新制度","企業主導型"))),""), "")</f>
        <v/>
      </c>
    </row>
    <row r="130" spans="2:16" ht="34.799999999999997" customHeight="1" x14ac:dyDescent="0.45">
      <c r="B130" s="45"/>
      <c r="C130" s="46"/>
      <c r="D130" s="98" t="str">
        <f t="shared" si="2"/>
        <v/>
      </c>
      <c r="E130" s="99"/>
      <c r="F130" s="75" t="str">
        <f t="array" ref="F130">IFERROR(INDEX(Kintoneデータ抽出!A:A, _xlfn.AGGREGATE(15, 6, ROW(Kintoneデータ抽出!$K$2:$K$5000) / ((Kintoneデータ抽出!$K$2:$K$5000="院内")), ROW(A93))), "")</f>
        <v/>
      </c>
      <c r="G130" s="77" t="str">
        <f t="array" ref="G130">IFERROR(INDEX(Kintoneデータ抽出!D:D, _xlfn.AGGREGATE(15, 6, ROW(Kintoneデータ抽出!$K$2:$K$5000) / ((Kintoneデータ抽出!$K$2:$K$5000="院内")), ROW(A93))), "")</f>
        <v/>
      </c>
      <c r="H130" s="77" t="str">
        <f t="array" ref="H130">IFERROR(INDEX(Kintoneデータ抽出!C:C, _xlfn.AGGREGATE(15, 6, ROW(Kintoneデータ抽出!$K$2:$K$5000) / ((Kintoneデータ抽出!$K$2:$K$5000="院内")), ROW(A93))), "")</f>
        <v/>
      </c>
      <c r="I130" s="75" t="str">
        <f t="array" ref="I130">IFERROR(IF(INDEX(Kintoneデータ抽出!G:G, _xlfn.AGGREGATE(15, 6, ROW(Kintoneデータ抽出!$K$2:$K$5000) / ((Kintoneデータ抽出!$K$2:$K$5000="院内")), ROW(A93)))&lt;&gt;"",INDEX(Kintoneデータ抽出!G:G, _xlfn.AGGREGATE(15, 6, ROW(Kintoneデータ抽出!$K$2:$K$5000) / ((Kintoneデータ抽出!$K$2:$K$5000="院内")), ROW(A93)))&amp;"名",""), "")</f>
        <v/>
      </c>
      <c r="J130" s="76" t="str">
        <f t="array" ref="J130">IFERROR(IF(INDEX(Kintoneデータ抽出!E:E, _xlfn.AGGREGATE(15, 6, ROW(Kintoneデータ抽出!$K$2:$K$5000) / ((Kintoneデータ抽出!$K$2:$K$5000="院内")), ROW(A93)))&lt;&gt;"",
YEAR(INDEX(Kintoneデータ抽出!E:E, _xlfn.AGGREGATE(15, 6, ROW(Kintoneデータ抽出!$K$2:$K$5000) / ((Kintoneデータ抽出!$K$2:$K$5000="院内")), ROW(A93))))&amp;"年"
&amp;MONTH(INDEX(Kintoneデータ抽出!E:E, _xlfn.AGGREGATE(15, 6, ROW(Kintoneデータ抽出!$K$2:$K$5000) / ((Kintoneデータ抽出!$K$2:$K$5000="院内")), ROW(A93))))&amp;"月"
&amp;DAY(INDEX(Kintoneデータ抽出!E:E, _xlfn.AGGREGATE(15, 6, ROW(Kintoneデータ抽出!$K$2:$K$5000) /((Kintoneデータ抽出!$K$2:$K$5000="院内")), ROW(A93))))&amp;"日",""), "")</f>
        <v/>
      </c>
      <c r="K130" s="77" t="str" cm="1">
        <f t="array" ref="K130">IFERROR(IF(INDEX(Kintoneデータ抽出!F:F, _xlfn.AGGREGATE(15, 6, ROW(Kintoneデータ抽出!$K$2:$K$5000) / ((Kintoneデータ抽出!$K$2:$K$5000="院内")), ROW(A93)))&lt;&gt;"",
VLOOKUP(INDEX(Kintoneデータ抽出!F:F, _xlfn.AGGREGATE(15, 6, ROW(Kintoneデータ抽出!$K$2:$K$5000) / ((Kintoneデータ抽出!$K$2:$K$5000="院内")), ROW(A93))),基本開園日の表記!$A$2:$B$13,2,FALSE),""), "")</f>
        <v/>
      </c>
      <c r="L130" s="75" t="str">
        <f t="array" ref="L130">IFERROR(IF(INDEX(Kintoneデータ抽出!F:F, _xlfn.AGGREGATE(15, 6, ROW(Kintoneデータ抽出!$K$2:$K$5000) / ((Kintoneデータ抽出!$K$2:$K$5000="院内")), ROW(A93)))&lt;&gt;"",
IF(COUNTIF(INDEX(Kintoneデータ抽出!F:F, _xlfn.AGGREGATE(15, 6, ROW(Kintoneデータ抽出!$K$2:$K$5000) / ((Kintoneデータ抽出!$K$2:$K$5000="院内")), ROW(A93))),"*あり*"),"夜間",""),""), "")</f>
        <v/>
      </c>
      <c r="M130" s="75" t="str">
        <f t="array" ref="M130">IFERROR(IF(INDEX(Kintoneデータ抽出!I:I, _xlfn.AGGREGATE(15, 6, ROW(Kintoneデータ抽出!$K$2:$K$5000) / ((Kintoneデータ抽出!$K$2:$K$5000="院内")), ROW(A93)))&lt;&gt;"",
IF(COUNTIF(INDEX(Kintoneデータ抽出!I:I, _xlfn.AGGREGATE(15, 6, ROW(Kintoneデータ抽出!$K$2:$K$5000) / ((Kintoneデータ抽出!$K$2:$K$5000="院内")), ROW(A93))),"*あり*"),"学童",""),""), "")</f>
        <v/>
      </c>
      <c r="N130" s="75" t="str">
        <f t="array" ref="N130">IFERROR(IF(INDEX(Kintoneデータ抽出!H:H, _xlfn.AGGREGATE(15, 6, ROW(Kintoneデータ抽出!$K$2:$K$5000) / ((Kintoneデータ抽出!$K$2:$K$5000="院内")), ROW(A93)))&lt;&gt;"",
IF(COUNTIF(INDEX(Kintoneデータ抽出!H:H, _xlfn.AGGREGATE(15, 6, ROW(Kintoneデータ抽出!$K$2:$K$5000) / ((Kintoneデータ抽出!$K$2:$K$5000="院内")), ROW(A93))),"*あり*"),"病児",""),""), "")</f>
        <v/>
      </c>
      <c r="O130" s="94" t="str" cm="1">
        <f t="array" ref="O130">IFERROR(
IF(INDEX(Kintoneデータ抽出!M:M, _xlfn.AGGREGATE(15, 6, ROW(Kintoneデータ抽出!$K$2:$K$5000) / ((Kintoneデータ抽出!$K$2:$K$5000="院内")), ROW(A93)))&lt;&gt;0,INDEX(Kintoneデータ抽出!M:M, _xlfn.AGGREGATE(15, 6, ROW(Kintoneデータ抽出!$K$2:$K$5000) / ((Kintoneデータ抽出!$K$2:$K$5000="院内")), ROW(A93))),""), "")</f>
        <v/>
      </c>
      <c r="P130" s="78" t="str">
        <f t="array" ref="P130">IFERROR(IF(INDEX(Kintoneデータ抽出!L:L, _xlfn.AGGREGATE(15, 6, ROW(Kintoneデータ抽出!$K$2:$K$5000) / ((Kintoneデータ抽出!$K$2:$K$5000="院内")), ROW(A93)))&lt;&gt;"",
IF(COUNTIF(INDEX(Kintoneデータ抽出!L:L, _xlfn.AGGREGATE(15, 6, ROW(Kintoneデータ抽出!$K$2:$K$5000) / ((Kintoneデータ抽出!$K$2:$K$5000="院内")), ROW(A93))),"*企業主導型以外*"),"",
IF(COUNTIF(INDEX(Kintoneデータ抽出!L:L, _xlfn.AGGREGATE(15, 6, ROW(Kintoneデータ抽出!$K$2:$K$5000) / ((Kintoneデータ抽出!$K$2:$K$5000="院内")), ROW(A93))),"*その他*"),"",
IF(COUNTIF(INDEX(Kintoneデータ抽出!L:L, _xlfn.AGGREGATE(15, 6, ROW(Kintoneデータ抽出!$K$2:$K$5000) / ((Kintoneデータ抽出!$K$2:$K$5000="院内")), ROW(A93))),"*新制度*"),"新制度","企業主導型"))),""), "")</f>
        <v/>
      </c>
    </row>
    <row r="131" spans="2:16" ht="34.799999999999997" customHeight="1" x14ac:dyDescent="0.45">
      <c r="B131" s="45"/>
      <c r="C131" s="46"/>
      <c r="D131" s="98" t="str">
        <f t="shared" si="2"/>
        <v/>
      </c>
      <c r="E131" s="99"/>
      <c r="F131" s="75" t="str">
        <f t="array" ref="F131">IFERROR(INDEX(Kintoneデータ抽出!A:A, _xlfn.AGGREGATE(15, 6, ROW(Kintoneデータ抽出!$K$2:$K$5000) / ((Kintoneデータ抽出!$K$2:$K$5000="院内")), ROW(A94))), "")</f>
        <v/>
      </c>
      <c r="G131" s="77" t="str">
        <f t="array" ref="G131">IFERROR(INDEX(Kintoneデータ抽出!D:D, _xlfn.AGGREGATE(15, 6, ROW(Kintoneデータ抽出!$K$2:$K$5000) / ((Kintoneデータ抽出!$K$2:$K$5000="院内")), ROW(A94))), "")</f>
        <v/>
      </c>
      <c r="H131" s="77" t="str">
        <f t="array" ref="H131">IFERROR(INDEX(Kintoneデータ抽出!C:C, _xlfn.AGGREGATE(15, 6, ROW(Kintoneデータ抽出!$K$2:$K$5000) / ((Kintoneデータ抽出!$K$2:$K$5000="院内")), ROW(A94))), "")</f>
        <v/>
      </c>
      <c r="I131" s="75" t="str">
        <f t="array" ref="I131">IFERROR(IF(INDEX(Kintoneデータ抽出!G:G, _xlfn.AGGREGATE(15, 6, ROW(Kintoneデータ抽出!$K$2:$K$5000) / ((Kintoneデータ抽出!$K$2:$K$5000="院内")), ROW(A94)))&lt;&gt;"",INDEX(Kintoneデータ抽出!G:G, _xlfn.AGGREGATE(15, 6, ROW(Kintoneデータ抽出!$K$2:$K$5000) / ((Kintoneデータ抽出!$K$2:$K$5000="院内")), ROW(A94)))&amp;"名",""), "")</f>
        <v/>
      </c>
      <c r="J131" s="76" t="str">
        <f t="array" ref="J131">IFERROR(IF(INDEX(Kintoneデータ抽出!E:E, _xlfn.AGGREGATE(15, 6, ROW(Kintoneデータ抽出!$K$2:$K$5000) / ((Kintoneデータ抽出!$K$2:$K$5000="院内")), ROW(A94)))&lt;&gt;"",
YEAR(INDEX(Kintoneデータ抽出!E:E, _xlfn.AGGREGATE(15, 6, ROW(Kintoneデータ抽出!$K$2:$K$5000) / ((Kintoneデータ抽出!$K$2:$K$5000="院内")), ROW(A94))))&amp;"年"
&amp;MONTH(INDEX(Kintoneデータ抽出!E:E, _xlfn.AGGREGATE(15, 6, ROW(Kintoneデータ抽出!$K$2:$K$5000) / ((Kintoneデータ抽出!$K$2:$K$5000="院内")), ROW(A94))))&amp;"月"
&amp;DAY(INDEX(Kintoneデータ抽出!E:E, _xlfn.AGGREGATE(15, 6, ROW(Kintoneデータ抽出!$K$2:$K$5000) /((Kintoneデータ抽出!$K$2:$K$5000="院内")), ROW(A94))))&amp;"日",""), "")</f>
        <v/>
      </c>
      <c r="K131" s="77" t="str" cm="1">
        <f t="array" ref="K131">IFERROR(IF(INDEX(Kintoneデータ抽出!F:F, _xlfn.AGGREGATE(15, 6, ROW(Kintoneデータ抽出!$K$2:$K$5000) / ((Kintoneデータ抽出!$K$2:$K$5000="院内")), ROW(A94)))&lt;&gt;"",
VLOOKUP(INDEX(Kintoneデータ抽出!F:F, _xlfn.AGGREGATE(15, 6, ROW(Kintoneデータ抽出!$K$2:$K$5000) / ((Kintoneデータ抽出!$K$2:$K$5000="院内")), ROW(A94))),基本開園日の表記!$A$2:$B$13,2,FALSE),""), "")</f>
        <v/>
      </c>
      <c r="L131" s="75" t="str">
        <f t="array" ref="L131">IFERROR(IF(INDEX(Kintoneデータ抽出!F:F, _xlfn.AGGREGATE(15, 6, ROW(Kintoneデータ抽出!$K$2:$K$5000) / ((Kintoneデータ抽出!$K$2:$K$5000="院内")), ROW(A94)))&lt;&gt;"",
IF(COUNTIF(INDEX(Kintoneデータ抽出!F:F, _xlfn.AGGREGATE(15, 6, ROW(Kintoneデータ抽出!$K$2:$K$5000) / ((Kintoneデータ抽出!$K$2:$K$5000="院内")), ROW(A94))),"*あり*"),"夜間",""),""), "")</f>
        <v/>
      </c>
      <c r="M131" s="75" t="str">
        <f t="array" ref="M131">IFERROR(IF(INDEX(Kintoneデータ抽出!I:I, _xlfn.AGGREGATE(15, 6, ROW(Kintoneデータ抽出!$K$2:$K$5000) / ((Kintoneデータ抽出!$K$2:$K$5000="院内")), ROW(A94)))&lt;&gt;"",
IF(COUNTIF(INDEX(Kintoneデータ抽出!I:I, _xlfn.AGGREGATE(15, 6, ROW(Kintoneデータ抽出!$K$2:$K$5000) / ((Kintoneデータ抽出!$K$2:$K$5000="院内")), ROW(A94))),"*あり*"),"学童",""),""), "")</f>
        <v/>
      </c>
      <c r="N131" s="75" t="str">
        <f t="array" ref="N131">IFERROR(IF(INDEX(Kintoneデータ抽出!H:H, _xlfn.AGGREGATE(15, 6, ROW(Kintoneデータ抽出!$K$2:$K$5000) / ((Kintoneデータ抽出!$K$2:$K$5000="院内")), ROW(A94)))&lt;&gt;"",
IF(COUNTIF(INDEX(Kintoneデータ抽出!H:H, _xlfn.AGGREGATE(15, 6, ROW(Kintoneデータ抽出!$K$2:$K$5000) / ((Kintoneデータ抽出!$K$2:$K$5000="院内")), ROW(A94))),"*あり*"),"病児",""),""), "")</f>
        <v/>
      </c>
      <c r="O131" s="94" t="str" cm="1">
        <f t="array" ref="O131">IFERROR(
IF(INDEX(Kintoneデータ抽出!M:M, _xlfn.AGGREGATE(15, 6, ROW(Kintoneデータ抽出!$K$2:$K$5000) / ((Kintoneデータ抽出!$K$2:$K$5000="院内")), ROW(A94)))&lt;&gt;0,INDEX(Kintoneデータ抽出!M:M, _xlfn.AGGREGATE(15, 6, ROW(Kintoneデータ抽出!$K$2:$K$5000) / ((Kintoneデータ抽出!$K$2:$K$5000="院内")), ROW(A94))),""), "")</f>
        <v/>
      </c>
      <c r="P131" s="78" t="str">
        <f t="array" ref="P131">IFERROR(IF(INDEX(Kintoneデータ抽出!L:L, _xlfn.AGGREGATE(15, 6, ROW(Kintoneデータ抽出!$K$2:$K$5000) / ((Kintoneデータ抽出!$K$2:$K$5000="院内")), ROW(A94)))&lt;&gt;"",
IF(COUNTIF(INDEX(Kintoneデータ抽出!L:L, _xlfn.AGGREGATE(15, 6, ROW(Kintoneデータ抽出!$K$2:$K$5000) / ((Kintoneデータ抽出!$K$2:$K$5000="院内")), ROW(A94))),"*企業主導型以外*"),"",
IF(COUNTIF(INDEX(Kintoneデータ抽出!L:L, _xlfn.AGGREGATE(15, 6, ROW(Kintoneデータ抽出!$K$2:$K$5000) / ((Kintoneデータ抽出!$K$2:$K$5000="院内")), ROW(A94))),"*その他*"),"",
IF(COUNTIF(INDEX(Kintoneデータ抽出!L:L, _xlfn.AGGREGATE(15, 6, ROW(Kintoneデータ抽出!$K$2:$K$5000) / ((Kintoneデータ抽出!$K$2:$K$5000="院内")), ROW(A94))),"*新制度*"),"新制度","企業主導型"))),""), "")</f>
        <v/>
      </c>
    </row>
    <row r="132" spans="2:16" ht="34.799999999999997" customHeight="1" x14ac:dyDescent="0.45">
      <c r="B132" s="45"/>
      <c r="C132" s="46"/>
      <c r="D132" s="98" t="str">
        <f t="shared" si="2"/>
        <v/>
      </c>
      <c r="E132" s="99"/>
      <c r="F132" s="75" t="str">
        <f t="array" ref="F132">IFERROR(INDEX(Kintoneデータ抽出!A:A, _xlfn.AGGREGATE(15, 6, ROW(Kintoneデータ抽出!$K$2:$K$5000) / ((Kintoneデータ抽出!$K$2:$K$5000="院内")), ROW(A95))), "")</f>
        <v/>
      </c>
      <c r="G132" s="77" t="str">
        <f t="array" ref="G132">IFERROR(INDEX(Kintoneデータ抽出!D:D, _xlfn.AGGREGATE(15, 6, ROW(Kintoneデータ抽出!$K$2:$K$5000) / ((Kintoneデータ抽出!$K$2:$K$5000="院内")), ROW(A95))), "")</f>
        <v/>
      </c>
      <c r="H132" s="77" t="str">
        <f t="array" ref="H132">IFERROR(INDEX(Kintoneデータ抽出!C:C, _xlfn.AGGREGATE(15, 6, ROW(Kintoneデータ抽出!$K$2:$K$5000) / ((Kintoneデータ抽出!$K$2:$K$5000="院内")), ROW(A95))), "")</f>
        <v/>
      </c>
      <c r="I132" s="75" t="str">
        <f t="array" ref="I132">IFERROR(IF(INDEX(Kintoneデータ抽出!G:G, _xlfn.AGGREGATE(15, 6, ROW(Kintoneデータ抽出!$K$2:$K$5000) / ((Kintoneデータ抽出!$K$2:$K$5000="院内")), ROW(A95)))&lt;&gt;"",INDEX(Kintoneデータ抽出!G:G, _xlfn.AGGREGATE(15, 6, ROW(Kintoneデータ抽出!$K$2:$K$5000) / ((Kintoneデータ抽出!$K$2:$K$5000="院内")), ROW(A95)))&amp;"名",""), "")</f>
        <v/>
      </c>
      <c r="J132" s="76" t="str">
        <f t="array" ref="J132">IFERROR(IF(INDEX(Kintoneデータ抽出!E:E, _xlfn.AGGREGATE(15, 6, ROW(Kintoneデータ抽出!$K$2:$K$5000) / ((Kintoneデータ抽出!$K$2:$K$5000="院内")), ROW(A95)))&lt;&gt;"",
YEAR(INDEX(Kintoneデータ抽出!E:E, _xlfn.AGGREGATE(15, 6, ROW(Kintoneデータ抽出!$K$2:$K$5000) / ((Kintoneデータ抽出!$K$2:$K$5000="院内")), ROW(A95))))&amp;"年"
&amp;MONTH(INDEX(Kintoneデータ抽出!E:E, _xlfn.AGGREGATE(15, 6, ROW(Kintoneデータ抽出!$K$2:$K$5000) / ((Kintoneデータ抽出!$K$2:$K$5000="院内")), ROW(A95))))&amp;"月"
&amp;DAY(INDEX(Kintoneデータ抽出!E:E, _xlfn.AGGREGATE(15, 6, ROW(Kintoneデータ抽出!$K$2:$K$5000) /((Kintoneデータ抽出!$K$2:$K$5000="院内")), ROW(A95))))&amp;"日",""), "")</f>
        <v/>
      </c>
      <c r="K132" s="77" t="str" cm="1">
        <f t="array" ref="K132">IFERROR(IF(INDEX(Kintoneデータ抽出!F:F, _xlfn.AGGREGATE(15, 6, ROW(Kintoneデータ抽出!$K$2:$K$5000) / ((Kintoneデータ抽出!$K$2:$K$5000="院内")), ROW(A95)))&lt;&gt;"",
VLOOKUP(INDEX(Kintoneデータ抽出!F:F, _xlfn.AGGREGATE(15, 6, ROW(Kintoneデータ抽出!$K$2:$K$5000) / ((Kintoneデータ抽出!$K$2:$K$5000="院内")), ROW(A95))),基本開園日の表記!$A$2:$B$13,2,FALSE),""), "")</f>
        <v/>
      </c>
      <c r="L132" s="75" t="str">
        <f t="array" ref="L132">IFERROR(IF(INDEX(Kintoneデータ抽出!F:F, _xlfn.AGGREGATE(15, 6, ROW(Kintoneデータ抽出!$K$2:$K$5000) / ((Kintoneデータ抽出!$K$2:$K$5000="院内")), ROW(A95)))&lt;&gt;"",
IF(COUNTIF(INDEX(Kintoneデータ抽出!F:F, _xlfn.AGGREGATE(15, 6, ROW(Kintoneデータ抽出!$K$2:$K$5000) / ((Kintoneデータ抽出!$K$2:$K$5000="院内")), ROW(A95))),"*あり*"),"夜間",""),""), "")</f>
        <v/>
      </c>
      <c r="M132" s="75" t="str">
        <f t="array" ref="M132">IFERROR(IF(INDEX(Kintoneデータ抽出!I:I, _xlfn.AGGREGATE(15, 6, ROW(Kintoneデータ抽出!$K$2:$K$5000) / ((Kintoneデータ抽出!$K$2:$K$5000="院内")), ROW(A95)))&lt;&gt;"",
IF(COUNTIF(INDEX(Kintoneデータ抽出!I:I, _xlfn.AGGREGATE(15, 6, ROW(Kintoneデータ抽出!$K$2:$K$5000) / ((Kintoneデータ抽出!$K$2:$K$5000="院内")), ROW(A95))),"*あり*"),"学童",""),""), "")</f>
        <v/>
      </c>
      <c r="N132" s="75" t="str">
        <f t="array" ref="N132">IFERROR(IF(INDEX(Kintoneデータ抽出!H:H, _xlfn.AGGREGATE(15, 6, ROW(Kintoneデータ抽出!$K$2:$K$5000) / ((Kintoneデータ抽出!$K$2:$K$5000="院内")), ROW(A95)))&lt;&gt;"",
IF(COUNTIF(INDEX(Kintoneデータ抽出!H:H, _xlfn.AGGREGATE(15, 6, ROW(Kintoneデータ抽出!$K$2:$K$5000) / ((Kintoneデータ抽出!$K$2:$K$5000="院内")), ROW(A95))),"*あり*"),"病児",""),""), "")</f>
        <v/>
      </c>
      <c r="O132" s="94" t="str" cm="1">
        <f t="array" ref="O132">IFERROR(
IF(INDEX(Kintoneデータ抽出!M:M, _xlfn.AGGREGATE(15, 6, ROW(Kintoneデータ抽出!$K$2:$K$5000) / ((Kintoneデータ抽出!$K$2:$K$5000="院内")), ROW(A95)))&lt;&gt;0,INDEX(Kintoneデータ抽出!M:M, _xlfn.AGGREGATE(15, 6, ROW(Kintoneデータ抽出!$K$2:$K$5000) / ((Kintoneデータ抽出!$K$2:$K$5000="院内")), ROW(A95))),""), "")</f>
        <v/>
      </c>
      <c r="P132" s="78" t="str">
        <f t="array" ref="P132">IFERROR(IF(INDEX(Kintoneデータ抽出!L:L, _xlfn.AGGREGATE(15, 6, ROW(Kintoneデータ抽出!$K$2:$K$5000) / ((Kintoneデータ抽出!$K$2:$K$5000="院内")), ROW(A95)))&lt;&gt;"",
IF(COUNTIF(INDEX(Kintoneデータ抽出!L:L, _xlfn.AGGREGATE(15, 6, ROW(Kintoneデータ抽出!$K$2:$K$5000) / ((Kintoneデータ抽出!$K$2:$K$5000="院内")), ROW(A95))),"*企業主導型以外*"),"",
IF(COUNTIF(INDEX(Kintoneデータ抽出!L:L, _xlfn.AGGREGATE(15, 6, ROW(Kintoneデータ抽出!$K$2:$K$5000) / ((Kintoneデータ抽出!$K$2:$K$5000="院内")), ROW(A95))),"*その他*"),"",
IF(COUNTIF(INDEX(Kintoneデータ抽出!L:L, _xlfn.AGGREGATE(15, 6, ROW(Kintoneデータ抽出!$K$2:$K$5000) / ((Kintoneデータ抽出!$K$2:$K$5000="院内")), ROW(A95))),"*新制度*"),"新制度","企業主導型"))),""), "")</f>
        <v/>
      </c>
    </row>
    <row r="133" spans="2:16" ht="34.799999999999997" customHeight="1" x14ac:dyDescent="0.45">
      <c r="B133" s="45"/>
      <c r="C133" s="46"/>
      <c r="D133" s="98" t="str">
        <f t="shared" si="2"/>
        <v/>
      </c>
      <c r="E133" s="99"/>
      <c r="F133" s="75" t="str">
        <f t="array" ref="F133">IFERROR(INDEX(Kintoneデータ抽出!A:A, _xlfn.AGGREGATE(15, 6, ROW(Kintoneデータ抽出!$K$2:$K$5000) / ((Kintoneデータ抽出!$K$2:$K$5000="院内")), ROW(A96))), "")</f>
        <v/>
      </c>
      <c r="G133" s="77" t="str">
        <f t="array" ref="G133">IFERROR(INDEX(Kintoneデータ抽出!D:D, _xlfn.AGGREGATE(15, 6, ROW(Kintoneデータ抽出!$K$2:$K$5000) / ((Kintoneデータ抽出!$K$2:$K$5000="院内")), ROW(A96))), "")</f>
        <v/>
      </c>
      <c r="H133" s="77" t="str">
        <f t="array" ref="H133">IFERROR(INDEX(Kintoneデータ抽出!C:C, _xlfn.AGGREGATE(15, 6, ROW(Kintoneデータ抽出!$K$2:$K$5000) / ((Kintoneデータ抽出!$K$2:$K$5000="院内")), ROW(A96))), "")</f>
        <v/>
      </c>
      <c r="I133" s="75" t="str">
        <f t="array" ref="I133">IFERROR(IF(INDEX(Kintoneデータ抽出!G:G, _xlfn.AGGREGATE(15, 6, ROW(Kintoneデータ抽出!$K$2:$K$5000) / ((Kintoneデータ抽出!$K$2:$K$5000="院内")), ROW(A96)))&lt;&gt;"",INDEX(Kintoneデータ抽出!G:G, _xlfn.AGGREGATE(15, 6, ROW(Kintoneデータ抽出!$K$2:$K$5000) / ((Kintoneデータ抽出!$K$2:$K$5000="院内")), ROW(A96)))&amp;"名",""), "")</f>
        <v/>
      </c>
      <c r="J133" s="76" t="str">
        <f t="array" ref="J133">IFERROR(IF(INDEX(Kintoneデータ抽出!E:E, _xlfn.AGGREGATE(15, 6, ROW(Kintoneデータ抽出!$K$2:$K$5000) / ((Kintoneデータ抽出!$K$2:$K$5000="院内")), ROW(A96)))&lt;&gt;"",
YEAR(INDEX(Kintoneデータ抽出!E:E, _xlfn.AGGREGATE(15, 6, ROW(Kintoneデータ抽出!$K$2:$K$5000) / ((Kintoneデータ抽出!$K$2:$K$5000="院内")), ROW(A96))))&amp;"年"
&amp;MONTH(INDEX(Kintoneデータ抽出!E:E, _xlfn.AGGREGATE(15, 6, ROW(Kintoneデータ抽出!$K$2:$K$5000) / ((Kintoneデータ抽出!$K$2:$K$5000="院内")), ROW(A96))))&amp;"月"
&amp;DAY(INDEX(Kintoneデータ抽出!E:E, _xlfn.AGGREGATE(15, 6, ROW(Kintoneデータ抽出!$K$2:$K$5000) /((Kintoneデータ抽出!$K$2:$K$5000="院内")), ROW(A96))))&amp;"日",""), "")</f>
        <v/>
      </c>
      <c r="K133" s="77" t="str" cm="1">
        <f t="array" ref="K133">IFERROR(IF(INDEX(Kintoneデータ抽出!F:F, _xlfn.AGGREGATE(15, 6, ROW(Kintoneデータ抽出!$K$2:$K$5000) / ((Kintoneデータ抽出!$K$2:$K$5000="院内")), ROW(A96)))&lt;&gt;"",
VLOOKUP(INDEX(Kintoneデータ抽出!F:F, _xlfn.AGGREGATE(15, 6, ROW(Kintoneデータ抽出!$K$2:$K$5000) / ((Kintoneデータ抽出!$K$2:$K$5000="院内")), ROW(A96))),基本開園日の表記!$A$2:$B$13,2,FALSE),""), "")</f>
        <v/>
      </c>
      <c r="L133" s="75" t="str">
        <f t="array" ref="L133">IFERROR(IF(INDEX(Kintoneデータ抽出!F:F, _xlfn.AGGREGATE(15, 6, ROW(Kintoneデータ抽出!$K$2:$K$5000) / ((Kintoneデータ抽出!$K$2:$K$5000="院内")), ROW(A96)))&lt;&gt;"",
IF(COUNTIF(INDEX(Kintoneデータ抽出!F:F, _xlfn.AGGREGATE(15, 6, ROW(Kintoneデータ抽出!$K$2:$K$5000) / ((Kintoneデータ抽出!$K$2:$K$5000="院内")), ROW(A96))),"*あり*"),"夜間",""),""), "")</f>
        <v/>
      </c>
      <c r="M133" s="75" t="str">
        <f t="array" ref="M133">IFERROR(IF(INDEX(Kintoneデータ抽出!I:I, _xlfn.AGGREGATE(15, 6, ROW(Kintoneデータ抽出!$K$2:$K$5000) / ((Kintoneデータ抽出!$K$2:$K$5000="院内")), ROW(A96)))&lt;&gt;"",
IF(COUNTIF(INDEX(Kintoneデータ抽出!I:I, _xlfn.AGGREGATE(15, 6, ROW(Kintoneデータ抽出!$K$2:$K$5000) / ((Kintoneデータ抽出!$K$2:$K$5000="院内")), ROW(A96))),"*あり*"),"学童",""),""), "")</f>
        <v/>
      </c>
      <c r="N133" s="75" t="str">
        <f t="array" ref="N133">IFERROR(IF(INDEX(Kintoneデータ抽出!H:H, _xlfn.AGGREGATE(15, 6, ROW(Kintoneデータ抽出!$K$2:$K$5000) / ((Kintoneデータ抽出!$K$2:$K$5000="院内")), ROW(A96)))&lt;&gt;"",
IF(COUNTIF(INDEX(Kintoneデータ抽出!H:H, _xlfn.AGGREGATE(15, 6, ROW(Kintoneデータ抽出!$K$2:$K$5000) / ((Kintoneデータ抽出!$K$2:$K$5000="院内")), ROW(A96))),"*あり*"),"病児",""),""), "")</f>
        <v/>
      </c>
      <c r="O133" s="94" t="str" cm="1">
        <f t="array" ref="O133">IFERROR(
IF(INDEX(Kintoneデータ抽出!M:M, _xlfn.AGGREGATE(15, 6, ROW(Kintoneデータ抽出!$K$2:$K$5000) / ((Kintoneデータ抽出!$K$2:$K$5000="院内")), ROW(A96)))&lt;&gt;0,INDEX(Kintoneデータ抽出!M:M, _xlfn.AGGREGATE(15, 6, ROW(Kintoneデータ抽出!$K$2:$K$5000) / ((Kintoneデータ抽出!$K$2:$K$5000="院内")), ROW(A96))),""), "")</f>
        <v/>
      </c>
      <c r="P133" s="78" t="str">
        <f t="array" ref="P133">IFERROR(IF(INDEX(Kintoneデータ抽出!L:L, _xlfn.AGGREGATE(15, 6, ROW(Kintoneデータ抽出!$K$2:$K$5000) / ((Kintoneデータ抽出!$K$2:$K$5000="院内")), ROW(A96)))&lt;&gt;"",
IF(COUNTIF(INDEX(Kintoneデータ抽出!L:L, _xlfn.AGGREGATE(15, 6, ROW(Kintoneデータ抽出!$K$2:$K$5000) / ((Kintoneデータ抽出!$K$2:$K$5000="院内")), ROW(A96))),"*企業主導型以外*"),"",
IF(COUNTIF(INDEX(Kintoneデータ抽出!L:L, _xlfn.AGGREGATE(15, 6, ROW(Kintoneデータ抽出!$K$2:$K$5000) / ((Kintoneデータ抽出!$K$2:$K$5000="院内")), ROW(A96))),"*その他*"),"",
IF(COUNTIF(INDEX(Kintoneデータ抽出!L:L, _xlfn.AGGREGATE(15, 6, ROW(Kintoneデータ抽出!$K$2:$K$5000) / ((Kintoneデータ抽出!$K$2:$K$5000="院内")), ROW(A96))),"*新制度*"),"新制度","企業主導型"))),""), "")</f>
        <v/>
      </c>
    </row>
    <row r="134" spans="2:16" ht="34.799999999999997" customHeight="1" x14ac:dyDescent="0.45">
      <c r="B134" s="45"/>
      <c r="C134" s="46"/>
      <c r="D134" s="98" t="str">
        <f t="shared" si="2"/>
        <v/>
      </c>
      <c r="E134" s="99"/>
      <c r="F134" s="75" t="str">
        <f t="array" ref="F134">IFERROR(INDEX(Kintoneデータ抽出!A:A, _xlfn.AGGREGATE(15, 6, ROW(Kintoneデータ抽出!$K$2:$K$5000) / ((Kintoneデータ抽出!$K$2:$K$5000="院内")), ROW(A97))), "")</f>
        <v/>
      </c>
      <c r="G134" s="77" t="str">
        <f t="array" ref="G134">IFERROR(INDEX(Kintoneデータ抽出!D:D, _xlfn.AGGREGATE(15, 6, ROW(Kintoneデータ抽出!$K$2:$K$5000) / ((Kintoneデータ抽出!$K$2:$K$5000="院内")), ROW(A97))), "")</f>
        <v/>
      </c>
      <c r="H134" s="77" t="str">
        <f t="array" ref="H134">IFERROR(INDEX(Kintoneデータ抽出!C:C, _xlfn.AGGREGATE(15, 6, ROW(Kintoneデータ抽出!$K$2:$K$5000) / ((Kintoneデータ抽出!$K$2:$K$5000="院内")), ROW(A97))), "")</f>
        <v/>
      </c>
      <c r="I134" s="75" t="str">
        <f t="array" ref="I134">IFERROR(IF(INDEX(Kintoneデータ抽出!G:G, _xlfn.AGGREGATE(15, 6, ROW(Kintoneデータ抽出!$K$2:$K$5000) / ((Kintoneデータ抽出!$K$2:$K$5000="院内")), ROW(A97)))&lt;&gt;"",INDEX(Kintoneデータ抽出!G:G, _xlfn.AGGREGATE(15, 6, ROW(Kintoneデータ抽出!$K$2:$K$5000) / ((Kintoneデータ抽出!$K$2:$K$5000="院内")), ROW(A97)))&amp;"名",""), "")</f>
        <v/>
      </c>
      <c r="J134" s="76" t="str">
        <f t="array" ref="J134">IFERROR(IF(INDEX(Kintoneデータ抽出!E:E, _xlfn.AGGREGATE(15, 6, ROW(Kintoneデータ抽出!$K$2:$K$5000) / ((Kintoneデータ抽出!$K$2:$K$5000="院内")), ROW(A97)))&lt;&gt;"",
YEAR(INDEX(Kintoneデータ抽出!E:E, _xlfn.AGGREGATE(15, 6, ROW(Kintoneデータ抽出!$K$2:$K$5000) / ((Kintoneデータ抽出!$K$2:$K$5000="院内")), ROW(A97))))&amp;"年"
&amp;MONTH(INDEX(Kintoneデータ抽出!E:E, _xlfn.AGGREGATE(15, 6, ROW(Kintoneデータ抽出!$K$2:$K$5000) / ((Kintoneデータ抽出!$K$2:$K$5000="院内")), ROW(A97))))&amp;"月"
&amp;DAY(INDEX(Kintoneデータ抽出!E:E, _xlfn.AGGREGATE(15, 6, ROW(Kintoneデータ抽出!$K$2:$K$5000) /((Kintoneデータ抽出!$K$2:$K$5000="院内")), ROW(A97))))&amp;"日",""), "")</f>
        <v/>
      </c>
      <c r="K134" s="77" t="str" cm="1">
        <f t="array" ref="K134">IFERROR(IF(INDEX(Kintoneデータ抽出!F:F, _xlfn.AGGREGATE(15, 6, ROW(Kintoneデータ抽出!$K$2:$K$5000) / ((Kintoneデータ抽出!$K$2:$K$5000="院内")), ROW(A97)))&lt;&gt;"",
VLOOKUP(INDEX(Kintoneデータ抽出!F:F, _xlfn.AGGREGATE(15, 6, ROW(Kintoneデータ抽出!$K$2:$K$5000) / ((Kintoneデータ抽出!$K$2:$K$5000="院内")), ROW(A97))),基本開園日の表記!$A$2:$B$13,2,FALSE),""), "")</f>
        <v/>
      </c>
      <c r="L134" s="75" t="str">
        <f t="array" ref="L134">IFERROR(IF(INDEX(Kintoneデータ抽出!F:F, _xlfn.AGGREGATE(15, 6, ROW(Kintoneデータ抽出!$K$2:$K$5000) / ((Kintoneデータ抽出!$K$2:$K$5000="院内")), ROW(A97)))&lt;&gt;"",
IF(COUNTIF(INDEX(Kintoneデータ抽出!F:F, _xlfn.AGGREGATE(15, 6, ROW(Kintoneデータ抽出!$K$2:$K$5000) / ((Kintoneデータ抽出!$K$2:$K$5000="院内")), ROW(A97))),"*あり*"),"夜間",""),""), "")</f>
        <v/>
      </c>
      <c r="M134" s="75" t="str">
        <f t="array" ref="M134">IFERROR(IF(INDEX(Kintoneデータ抽出!I:I, _xlfn.AGGREGATE(15, 6, ROW(Kintoneデータ抽出!$K$2:$K$5000) / ((Kintoneデータ抽出!$K$2:$K$5000="院内")), ROW(A97)))&lt;&gt;"",
IF(COUNTIF(INDEX(Kintoneデータ抽出!I:I, _xlfn.AGGREGATE(15, 6, ROW(Kintoneデータ抽出!$K$2:$K$5000) / ((Kintoneデータ抽出!$K$2:$K$5000="院内")), ROW(A97))),"*あり*"),"学童",""),""), "")</f>
        <v/>
      </c>
      <c r="N134" s="75" t="str">
        <f t="array" ref="N134">IFERROR(IF(INDEX(Kintoneデータ抽出!H:H, _xlfn.AGGREGATE(15, 6, ROW(Kintoneデータ抽出!$K$2:$K$5000) / ((Kintoneデータ抽出!$K$2:$K$5000="院内")), ROW(A97)))&lt;&gt;"",
IF(COUNTIF(INDEX(Kintoneデータ抽出!H:H, _xlfn.AGGREGATE(15, 6, ROW(Kintoneデータ抽出!$K$2:$K$5000) / ((Kintoneデータ抽出!$K$2:$K$5000="院内")), ROW(A97))),"*あり*"),"病児",""),""), "")</f>
        <v/>
      </c>
      <c r="O134" s="94" t="str" cm="1">
        <f t="array" ref="O134">IFERROR(
IF(INDEX(Kintoneデータ抽出!M:M, _xlfn.AGGREGATE(15, 6, ROW(Kintoneデータ抽出!$K$2:$K$5000) / ((Kintoneデータ抽出!$K$2:$K$5000="院内")), ROW(A97)))&lt;&gt;0,INDEX(Kintoneデータ抽出!M:M, _xlfn.AGGREGATE(15, 6, ROW(Kintoneデータ抽出!$K$2:$K$5000) / ((Kintoneデータ抽出!$K$2:$K$5000="院内")), ROW(A97))),""), "")</f>
        <v/>
      </c>
      <c r="P134" s="78" t="str">
        <f t="array" ref="P134">IFERROR(IF(INDEX(Kintoneデータ抽出!L:L, _xlfn.AGGREGATE(15, 6, ROW(Kintoneデータ抽出!$K$2:$K$5000) / ((Kintoneデータ抽出!$K$2:$K$5000="院内")), ROW(A97)))&lt;&gt;"",
IF(COUNTIF(INDEX(Kintoneデータ抽出!L:L, _xlfn.AGGREGATE(15, 6, ROW(Kintoneデータ抽出!$K$2:$K$5000) / ((Kintoneデータ抽出!$K$2:$K$5000="院内")), ROW(A97))),"*企業主導型以外*"),"",
IF(COUNTIF(INDEX(Kintoneデータ抽出!L:L, _xlfn.AGGREGATE(15, 6, ROW(Kintoneデータ抽出!$K$2:$K$5000) / ((Kintoneデータ抽出!$K$2:$K$5000="院内")), ROW(A97))),"*その他*"),"",
IF(COUNTIF(INDEX(Kintoneデータ抽出!L:L, _xlfn.AGGREGATE(15, 6, ROW(Kintoneデータ抽出!$K$2:$K$5000) / ((Kintoneデータ抽出!$K$2:$K$5000="院内")), ROW(A97))),"*新制度*"),"新制度","企業主導型"))),""), "")</f>
        <v/>
      </c>
    </row>
    <row r="135" spans="2:16" ht="34.799999999999997" customHeight="1" x14ac:dyDescent="0.45">
      <c r="B135" s="45"/>
      <c r="C135" s="46"/>
      <c r="D135" s="98" t="str">
        <f t="shared" si="2"/>
        <v/>
      </c>
      <c r="E135" s="99"/>
      <c r="F135" s="75" t="str">
        <f t="array" ref="F135">IFERROR(INDEX(Kintoneデータ抽出!A:A, _xlfn.AGGREGATE(15, 6, ROW(Kintoneデータ抽出!$K$2:$K$5000) / ((Kintoneデータ抽出!$K$2:$K$5000="院内")), ROW(A98))), "")</f>
        <v/>
      </c>
      <c r="G135" s="77" t="str">
        <f t="array" ref="G135">IFERROR(INDEX(Kintoneデータ抽出!D:D, _xlfn.AGGREGATE(15, 6, ROW(Kintoneデータ抽出!$K$2:$K$5000) / ((Kintoneデータ抽出!$K$2:$K$5000="院内")), ROW(A98))), "")</f>
        <v/>
      </c>
      <c r="H135" s="77" t="str">
        <f t="array" ref="H135">IFERROR(INDEX(Kintoneデータ抽出!C:C, _xlfn.AGGREGATE(15, 6, ROW(Kintoneデータ抽出!$K$2:$K$5000) / ((Kintoneデータ抽出!$K$2:$K$5000="院内")), ROW(A98))), "")</f>
        <v/>
      </c>
      <c r="I135" s="75" t="str">
        <f t="array" ref="I135">IFERROR(IF(INDEX(Kintoneデータ抽出!G:G, _xlfn.AGGREGATE(15, 6, ROW(Kintoneデータ抽出!$K$2:$K$5000) / ((Kintoneデータ抽出!$K$2:$K$5000="院内")), ROW(A98)))&lt;&gt;"",INDEX(Kintoneデータ抽出!G:G, _xlfn.AGGREGATE(15, 6, ROW(Kintoneデータ抽出!$K$2:$K$5000) / ((Kintoneデータ抽出!$K$2:$K$5000="院内")), ROW(A98)))&amp;"名",""), "")</f>
        <v/>
      </c>
      <c r="J135" s="76" t="str">
        <f t="array" ref="J135">IFERROR(IF(INDEX(Kintoneデータ抽出!E:E, _xlfn.AGGREGATE(15, 6, ROW(Kintoneデータ抽出!$K$2:$K$5000) / ((Kintoneデータ抽出!$K$2:$K$5000="院内")), ROW(A98)))&lt;&gt;"",
YEAR(INDEX(Kintoneデータ抽出!E:E, _xlfn.AGGREGATE(15, 6, ROW(Kintoneデータ抽出!$K$2:$K$5000) / ((Kintoneデータ抽出!$K$2:$K$5000="院内")), ROW(A98))))&amp;"年"
&amp;MONTH(INDEX(Kintoneデータ抽出!E:E, _xlfn.AGGREGATE(15, 6, ROW(Kintoneデータ抽出!$K$2:$K$5000) / ((Kintoneデータ抽出!$K$2:$K$5000="院内")), ROW(A98))))&amp;"月"
&amp;DAY(INDEX(Kintoneデータ抽出!E:E, _xlfn.AGGREGATE(15, 6, ROW(Kintoneデータ抽出!$K$2:$K$5000) /((Kintoneデータ抽出!$K$2:$K$5000="院内")), ROW(A98))))&amp;"日",""), "")</f>
        <v/>
      </c>
      <c r="K135" s="77" t="str" cm="1">
        <f t="array" ref="K135">IFERROR(IF(INDEX(Kintoneデータ抽出!F:F, _xlfn.AGGREGATE(15, 6, ROW(Kintoneデータ抽出!$K$2:$K$5000) / ((Kintoneデータ抽出!$K$2:$K$5000="院内")), ROW(A98)))&lt;&gt;"",
VLOOKUP(INDEX(Kintoneデータ抽出!F:F, _xlfn.AGGREGATE(15, 6, ROW(Kintoneデータ抽出!$K$2:$K$5000) / ((Kintoneデータ抽出!$K$2:$K$5000="院内")), ROW(A98))),基本開園日の表記!$A$2:$B$13,2,FALSE),""), "")</f>
        <v/>
      </c>
      <c r="L135" s="75" t="str">
        <f t="array" ref="L135">IFERROR(IF(INDEX(Kintoneデータ抽出!F:F, _xlfn.AGGREGATE(15, 6, ROW(Kintoneデータ抽出!$K$2:$K$5000) / ((Kintoneデータ抽出!$K$2:$K$5000="院内")), ROW(A98)))&lt;&gt;"",
IF(COUNTIF(INDEX(Kintoneデータ抽出!F:F, _xlfn.AGGREGATE(15, 6, ROW(Kintoneデータ抽出!$K$2:$K$5000) / ((Kintoneデータ抽出!$K$2:$K$5000="院内")), ROW(A98))),"*あり*"),"夜間",""),""), "")</f>
        <v/>
      </c>
      <c r="M135" s="75" t="str">
        <f t="array" ref="M135">IFERROR(IF(INDEX(Kintoneデータ抽出!I:I, _xlfn.AGGREGATE(15, 6, ROW(Kintoneデータ抽出!$K$2:$K$5000) / ((Kintoneデータ抽出!$K$2:$K$5000="院内")), ROW(A98)))&lt;&gt;"",
IF(COUNTIF(INDEX(Kintoneデータ抽出!I:I, _xlfn.AGGREGATE(15, 6, ROW(Kintoneデータ抽出!$K$2:$K$5000) / ((Kintoneデータ抽出!$K$2:$K$5000="院内")), ROW(A98))),"*あり*"),"学童",""),""), "")</f>
        <v/>
      </c>
      <c r="N135" s="75" t="str">
        <f t="array" ref="N135">IFERROR(IF(INDEX(Kintoneデータ抽出!H:H, _xlfn.AGGREGATE(15, 6, ROW(Kintoneデータ抽出!$K$2:$K$5000) / ((Kintoneデータ抽出!$K$2:$K$5000="院内")), ROW(A98)))&lt;&gt;"",
IF(COUNTIF(INDEX(Kintoneデータ抽出!H:H, _xlfn.AGGREGATE(15, 6, ROW(Kintoneデータ抽出!$K$2:$K$5000) / ((Kintoneデータ抽出!$K$2:$K$5000="院内")), ROW(A98))),"*あり*"),"病児",""),""), "")</f>
        <v/>
      </c>
      <c r="O135" s="94" t="str" cm="1">
        <f t="array" ref="O135">IFERROR(
IF(INDEX(Kintoneデータ抽出!M:M, _xlfn.AGGREGATE(15, 6, ROW(Kintoneデータ抽出!$K$2:$K$5000) / ((Kintoneデータ抽出!$K$2:$K$5000="院内")), ROW(A98)))&lt;&gt;0,INDEX(Kintoneデータ抽出!M:M, _xlfn.AGGREGATE(15, 6, ROW(Kintoneデータ抽出!$K$2:$K$5000) / ((Kintoneデータ抽出!$K$2:$K$5000="院内")), ROW(A98))),""), "")</f>
        <v/>
      </c>
      <c r="P135" s="78" t="str">
        <f t="array" ref="P135">IFERROR(IF(INDEX(Kintoneデータ抽出!L:L, _xlfn.AGGREGATE(15, 6, ROW(Kintoneデータ抽出!$K$2:$K$5000) / ((Kintoneデータ抽出!$K$2:$K$5000="院内")), ROW(A98)))&lt;&gt;"",
IF(COUNTIF(INDEX(Kintoneデータ抽出!L:L, _xlfn.AGGREGATE(15, 6, ROW(Kintoneデータ抽出!$K$2:$K$5000) / ((Kintoneデータ抽出!$K$2:$K$5000="院内")), ROW(A98))),"*企業主導型以外*"),"",
IF(COUNTIF(INDEX(Kintoneデータ抽出!L:L, _xlfn.AGGREGATE(15, 6, ROW(Kintoneデータ抽出!$K$2:$K$5000) / ((Kintoneデータ抽出!$K$2:$K$5000="院内")), ROW(A98))),"*その他*"),"",
IF(COUNTIF(INDEX(Kintoneデータ抽出!L:L, _xlfn.AGGREGATE(15, 6, ROW(Kintoneデータ抽出!$K$2:$K$5000) / ((Kintoneデータ抽出!$K$2:$K$5000="院内")), ROW(A98))),"*新制度*"),"新制度","企業主導型"))),""), "")</f>
        <v/>
      </c>
    </row>
    <row r="136" spans="2:16" ht="34.799999999999997" customHeight="1" x14ac:dyDescent="0.45">
      <c r="B136" s="45"/>
      <c r="C136" s="46"/>
      <c r="D136" s="98" t="str">
        <f t="shared" si="2"/>
        <v/>
      </c>
      <c r="E136" s="99"/>
      <c r="F136" s="75" t="str">
        <f t="array" ref="F136">IFERROR(INDEX(Kintoneデータ抽出!A:A, _xlfn.AGGREGATE(15, 6, ROW(Kintoneデータ抽出!$K$2:$K$5000) / ((Kintoneデータ抽出!$K$2:$K$5000="院内")), ROW(A99))), "")</f>
        <v/>
      </c>
      <c r="G136" s="77" t="str">
        <f t="array" ref="G136">IFERROR(INDEX(Kintoneデータ抽出!D:D, _xlfn.AGGREGATE(15, 6, ROW(Kintoneデータ抽出!$K$2:$K$5000) / ((Kintoneデータ抽出!$K$2:$K$5000="院内")), ROW(A99))), "")</f>
        <v/>
      </c>
      <c r="H136" s="77" t="str">
        <f t="array" ref="H136">IFERROR(INDEX(Kintoneデータ抽出!C:C, _xlfn.AGGREGATE(15, 6, ROW(Kintoneデータ抽出!$K$2:$K$5000) / ((Kintoneデータ抽出!$K$2:$K$5000="院内")), ROW(A99))), "")</f>
        <v/>
      </c>
      <c r="I136" s="75" t="str">
        <f t="array" ref="I136">IFERROR(IF(INDEX(Kintoneデータ抽出!G:G, _xlfn.AGGREGATE(15, 6, ROW(Kintoneデータ抽出!$K$2:$K$5000) / ((Kintoneデータ抽出!$K$2:$K$5000="院内")), ROW(A99)))&lt;&gt;"",INDEX(Kintoneデータ抽出!G:G, _xlfn.AGGREGATE(15, 6, ROW(Kintoneデータ抽出!$K$2:$K$5000) / ((Kintoneデータ抽出!$K$2:$K$5000="院内")), ROW(A99)))&amp;"名",""), "")</f>
        <v/>
      </c>
      <c r="J136" s="76" t="str">
        <f t="array" ref="J136">IFERROR(IF(INDEX(Kintoneデータ抽出!E:E, _xlfn.AGGREGATE(15, 6, ROW(Kintoneデータ抽出!$K$2:$K$5000) / ((Kintoneデータ抽出!$K$2:$K$5000="院内")), ROW(A99)))&lt;&gt;"",
YEAR(INDEX(Kintoneデータ抽出!E:E, _xlfn.AGGREGATE(15, 6, ROW(Kintoneデータ抽出!$K$2:$K$5000) / ((Kintoneデータ抽出!$K$2:$K$5000="院内")), ROW(A99))))&amp;"年"
&amp;MONTH(INDEX(Kintoneデータ抽出!E:E, _xlfn.AGGREGATE(15, 6, ROW(Kintoneデータ抽出!$K$2:$K$5000) / ((Kintoneデータ抽出!$K$2:$K$5000="院内")), ROW(A99))))&amp;"月"
&amp;DAY(INDEX(Kintoneデータ抽出!E:E, _xlfn.AGGREGATE(15, 6, ROW(Kintoneデータ抽出!$K$2:$K$5000) /((Kintoneデータ抽出!$K$2:$K$5000="院内")), ROW(A99))))&amp;"日",""), "")</f>
        <v/>
      </c>
      <c r="K136" s="77" t="str" cm="1">
        <f t="array" ref="K136">IFERROR(IF(INDEX(Kintoneデータ抽出!F:F, _xlfn.AGGREGATE(15, 6, ROW(Kintoneデータ抽出!$K$2:$K$5000) / ((Kintoneデータ抽出!$K$2:$K$5000="院内")), ROW(A99)))&lt;&gt;"",
VLOOKUP(INDEX(Kintoneデータ抽出!F:F, _xlfn.AGGREGATE(15, 6, ROW(Kintoneデータ抽出!$K$2:$K$5000) / ((Kintoneデータ抽出!$K$2:$K$5000="院内")), ROW(A99))),基本開園日の表記!$A$2:$B$13,2,FALSE),""), "")</f>
        <v/>
      </c>
      <c r="L136" s="75" t="str">
        <f t="array" ref="L136">IFERROR(IF(INDEX(Kintoneデータ抽出!F:F, _xlfn.AGGREGATE(15, 6, ROW(Kintoneデータ抽出!$K$2:$K$5000) / ((Kintoneデータ抽出!$K$2:$K$5000="院内")), ROW(A99)))&lt;&gt;"",
IF(COUNTIF(INDEX(Kintoneデータ抽出!F:F, _xlfn.AGGREGATE(15, 6, ROW(Kintoneデータ抽出!$K$2:$K$5000) / ((Kintoneデータ抽出!$K$2:$K$5000="院内")), ROW(A99))),"*あり*"),"夜間",""),""), "")</f>
        <v/>
      </c>
      <c r="M136" s="75" t="str">
        <f t="array" ref="M136">IFERROR(IF(INDEX(Kintoneデータ抽出!I:I, _xlfn.AGGREGATE(15, 6, ROW(Kintoneデータ抽出!$K$2:$K$5000) / ((Kintoneデータ抽出!$K$2:$K$5000="院内")), ROW(A99)))&lt;&gt;"",
IF(COUNTIF(INDEX(Kintoneデータ抽出!I:I, _xlfn.AGGREGATE(15, 6, ROW(Kintoneデータ抽出!$K$2:$K$5000) / ((Kintoneデータ抽出!$K$2:$K$5000="院内")), ROW(A99))),"*あり*"),"学童",""),""), "")</f>
        <v/>
      </c>
      <c r="N136" s="75" t="str">
        <f t="array" ref="N136">IFERROR(IF(INDEX(Kintoneデータ抽出!H:H, _xlfn.AGGREGATE(15, 6, ROW(Kintoneデータ抽出!$K$2:$K$5000) / ((Kintoneデータ抽出!$K$2:$K$5000="院内")), ROW(A99)))&lt;&gt;"",
IF(COUNTIF(INDEX(Kintoneデータ抽出!H:H, _xlfn.AGGREGATE(15, 6, ROW(Kintoneデータ抽出!$K$2:$K$5000) / ((Kintoneデータ抽出!$K$2:$K$5000="院内")), ROW(A99))),"*あり*"),"病児",""),""), "")</f>
        <v/>
      </c>
      <c r="O136" s="94" t="str" cm="1">
        <f t="array" ref="O136">IFERROR(
IF(INDEX(Kintoneデータ抽出!M:M, _xlfn.AGGREGATE(15, 6, ROW(Kintoneデータ抽出!$K$2:$K$5000) / ((Kintoneデータ抽出!$K$2:$K$5000="院内")), ROW(A99)))&lt;&gt;0,INDEX(Kintoneデータ抽出!M:M, _xlfn.AGGREGATE(15, 6, ROW(Kintoneデータ抽出!$K$2:$K$5000) / ((Kintoneデータ抽出!$K$2:$K$5000="院内")), ROW(A99))),""), "")</f>
        <v/>
      </c>
      <c r="P136" s="78" t="str">
        <f t="array" ref="P136">IFERROR(IF(INDEX(Kintoneデータ抽出!L:L, _xlfn.AGGREGATE(15, 6, ROW(Kintoneデータ抽出!$K$2:$K$5000) / ((Kintoneデータ抽出!$K$2:$K$5000="院内")), ROW(A99)))&lt;&gt;"",
IF(COUNTIF(INDEX(Kintoneデータ抽出!L:L, _xlfn.AGGREGATE(15, 6, ROW(Kintoneデータ抽出!$K$2:$K$5000) / ((Kintoneデータ抽出!$K$2:$K$5000="院内")), ROW(A99))),"*企業主導型以外*"),"",
IF(COUNTIF(INDEX(Kintoneデータ抽出!L:L, _xlfn.AGGREGATE(15, 6, ROW(Kintoneデータ抽出!$K$2:$K$5000) / ((Kintoneデータ抽出!$K$2:$K$5000="院内")), ROW(A99))),"*その他*"),"",
IF(COUNTIF(INDEX(Kintoneデータ抽出!L:L, _xlfn.AGGREGATE(15, 6, ROW(Kintoneデータ抽出!$K$2:$K$5000) / ((Kintoneデータ抽出!$K$2:$K$5000="院内")), ROW(A99))),"*新制度*"),"新制度","企業主導型"))),""), "")</f>
        <v/>
      </c>
    </row>
    <row r="137" spans="2:16" ht="34.799999999999997" customHeight="1" x14ac:dyDescent="0.45">
      <c r="B137" s="45"/>
      <c r="C137" s="46"/>
      <c r="D137" s="98" t="str">
        <f t="shared" si="2"/>
        <v/>
      </c>
      <c r="E137" s="99"/>
      <c r="F137" s="75" t="str">
        <f t="array" ref="F137">IFERROR(INDEX(Kintoneデータ抽出!A:A, _xlfn.AGGREGATE(15, 6, ROW(Kintoneデータ抽出!$K$2:$K$5000) / ((Kintoneデータ抽出!$K$2:$K$5000="院内")), ROW(A100))), "")</f>
        <v/>
      </c>
      <c r="G137" s="77" t="str">
        <f t="array" ref="G137">IFERROR(INDEX(Kintoneデータ抽出!D:D, _xlfn.AGGREGATE(15, 6, ROW(Kintoneデータ抽出!$K$2:$K$5000) / ((Kintoneデータ抽出!$K$2:$K$5000="院内")), ROW(A100))), "")</f>
        <v/>
      </c>
      <c r="H137" s="77" t="str">
        <f t="array" ref="H137">IFERROR(INDEX(Kintoneデータ抽出!C:C, _xlfn.AGGREGATE(15, 6, ROW(Kintoneデータ抽出!$K$2:$K$5000) / ((Kintoneデータ抽出!$K$2:$K$5000="院内")), ROW(A100))), "")</f>
        <v/>
      </c>
      <c r="I137" s="75" t="str">
        <f t="array" ref="I137">IFERROR(IF(INDEX(Kintoneデータ抽出!G:G, _xlfn.AGGREGATE(15, 6, ROW(Kintoneデータ抽出!$K$2:$K$5000) / ((Kintoneデータ抽出!$K$2:$K$5000="院内")), ROW(A100)))&lt;&gt;"",INDEX(Kintoneデータ抽出!G:G, _xlfn.AGGREGATE(15, 6, ROW(Kintoneデータ抽出!$K$2:$K$5000) / ((Kintoneデータ抽出!$K$2:$K$5000="院内")), ROW(A100)))&amp;"名",""), "")</f>
        <v/>
      </c>
      <c r="J137" s="76" t="str">
        <f t="array" ref="J137">IFERROR(IF(INDEX(Kintoneデータ抽出!E:E, _xlfn.AGGREGATE(15, 6, ROW(Kintoneデータ抽出!$K$2:$K$5000) / ((Kintoneデータ抽出!$K$2:$K$5000="院内")), ROW(A100)))&lt;&gt;"",
YEAR(INDEX(Kintoneデータ抽出!E:E, _xlfn.AGGREGATE(15, 6, ROW(Kintoneデータ抽出!$K$2:$K$5000) / ((Kintoneデータ抽出!$K$2:$K$5000="院内")), ROW(A100))))&amp;"年"
&amp;MONTH(INDEX(Kintoneデータ抽出!E:E, _xlfn.AGGREGATE(15, 6, ROW(Kintoneデータ抽出!$K$2:$K$5000) / ((Kintoneデータ抽出!$K$2:$K$5000="院内")), ROW(A100))))&amp;"月"
&amp;DAY(INDEX(Kintoneデータ抽出!E:E, _xlfn.AGGREGATE(15, 6, ROW(Kintoneデータ抽出!$K$2:$K$5000) /((Kintoneデータ抽出!$K$2:$K$5000="院内")), ROW(A100))))&amp;"日",""), "")</f>
        <v/>
      </c>
      <c r="K137" s="77" t="str" cm="1">
        <f t="array" ref="K137">IFERROR(IF(INDEX(Kintoneデータ抽出!F:F, _xlfn.AGGREGATE(15, 6, ROW(Kintoneデータ抽出!$K$2:$K$5000) / ((Kintoneデータ抽出!$K$2:$K$5000="院内")), ROW(A100)))&lt;&gt;"",
VLOOKUP(INDEX(Kintoneデータ抽出!F:F, _xlfn.AGGREGATE(15, 6, ROW(Kintoneデータ抽出!$K$2:$K$5000) / ((Kintoneデータ抽出!$K$2:$K$5000="院内")), ROW(A100))),基本開園日の表記!$A$2:$B$13,2,FALSE),""), "")</f>
        <v/>
      </c>
      <c r="L137" s="75" t="str">
        <f t="array" ref="L137">IFERROR(IF(INDEX(Kintoneデータ抽出!F:F, _xlfn.AGGREGATE(15, 6, ROW(Kintoneデータ抽出!$K$2:$K$5000) / ((Kintoneデータ抽出!$K$2:$K$5000="院内")), ROW(A100)))&lt;&gt;"",
IF(COUNTIF(INDEX(Kintoneデータ抽出!F:F, _xlfn.AGGREGATE(15, 6, ROW(Kintoneデータ抽出!$K$2:$K$5000) / ((Kintoneデータ抽出!$K$2:$K$5000="院内")), ROW(A100))),"*あり*"),"夜間",""),""), "")</f>
        <v/>
      </c>
      <c r="M137" s="75" t="str">
        <f t="array" ref="M137">IFERROR(IF(INDEX(Kintoneデータ抽出!I:I, _xlfn.AGGREGATE(15, 6, ROW(Kintoneデータ抽出!$K$2:$K$5000) / ((Kintoneデータ抽出!$K$2:$K$5000="院内")), ROW(A100)))&lt;&gt;"",
IF(COUNTIF(INDEX(Kintoneデータ抽出!I:I, _xlfn.AGGREGATE(15, 6, ROW(Kintoneデータ抽出!$K$2:$K$5000) / ((Kintoneデータ抽出!$K$2:$K$5000="院内")), ROW(A100))),"*あり*"),"学童",""),""), "")</f>
        <v/>
      </c>
      <c r="N137" s="75" t="str">
        <f t="array" ref="N137">IFERROR(IF(INDEX(Kintoneデータ抽出!H:H, _xlfn.AGGREGATE(15, 6, ROW(Kintoneデータ抽出!$K$2:$K$5000) / ((Kintoneデータ抽出!$K$2:$K$5000="院内")), ROW(A100)))&lt;&gt;"",
IF(COUNTIF(INDEX(Kintoneデータ抽出!H:H, _xlfn.AGGREGATE(15, 6, ROW(Kintoneデータ抽出!$K$2:$K$5000) / ((Kintoneデータ抽出!$K$2:$K$5000="院内")), ROW(A100))),"*あり*"),"病児",""),""), "")</f>
        <v/>
      </c>
      <c r="O137" s="94" t="str" cm="1">
        <f t="array" ref="O137">IFERROR(
IF(INDEX(Kintoneデータ抽出!M:M, _xlfn.AGGREGATE(15, 6, ROW(Kintoneデータ抽出!$K$2:$K$5000) / ((Kintoneデータ抽出!$K$2:$K$5000="院内")), ROW(A100)))&lt;&gt;0,INDEX(Kintoneデータ抽出!M:M, _xlfn.AGGREGATE(15, 6, ROW(Kintoneデータ抽出!$K$2:$K$5000) / ((Kintoneデータ抽出!$K$2:$K$5000="院内")), ROW(A100))),""), "")</f>
        <v/>
      </c>
      <c r="P137" s="78" t="str">
        <f t="array" ref="P137">IFERROR(IF(INDEX(Kintoneデータ抽出!L:L, _xlfn.AGGREGATE(15, 6, ROW(Kintoneデータ抽出!$K$2:$K$5000) / ((Kintoneデータ抽出!$K$2:$K$5000="院内")), ROW(A100)))&lt;&gt;"",
IF(COUNTIF(INDEX(Kintoneデータ抽出!L:L, _xlfn.AGGREGATE(15, 6, ROW(Kintoneデータ抽出!$K$2:$K$5000) / ((Kintoneデータ抽出!$K$2:$K$5000="院内")), ROW(A100))),"*企業主導型以外*"),"",
IF(COUNTIF(INDEX(Kintoneデータ抽出!L:L, _xlfn.AGGREGATE(15, 6, ROW(Kintoneデータ抽出!$K$2:$K$5000) / ((Kintoneデータ抽出!$K$2:$K$5000="院内")), ROW(A100))),"*その他*"),"",
IF(COUNTIF(INDEX(Kintoneデータ抽出!L:L, _xlfn.AGGREGATE(15, 6, ROW(Kintoneデータ抽出!$K$2:$K$5000) / ((Kintoneデータ抽出!$K$2:$K$5000="院内")), ROW(A100))),"*新制度*"),"新制度","企業主導型"))),""), "")</f>
        <v/>
      </c>
    </row>
    <row r="138" spans="2:16" ht="34.799999999999997" customHeight="1" x14ac:dyDescent="0.45">
      <c r="B138" s="45"/>
      <c r="C138" s="46"/>
      <c r="D138" s="98" t="str">
        <f t="shared" si="2"/>
        <v/>
      </c>
      <c r="E138" s="99"/>
      <c r="F138" s="75" t="str">
        <f t="array" ref="F138">IFERROR(INDEX(Kintoneデータ抽出!A:A, _xlfn.AGGREGATE(15, 6, ROW(Kintoneデータ抽出!$K$2:$K$5000) / ((Kintoneデータ抽出!$K$2:$K$5000="院内")), ROW(A101))), "")</f>
        <v/>
      </c>
      <c r="G138" s="77" t="str">
        <f t="array" ref="G138">IFERROR(INDEX(Kintoneデータ抽出!D:D, _xlfn.AGGREGATE(15, 6, ROW(Kintoneデータ抽出!$K$2:$K$5000) / ((Kintoneデータ抽出!$K$2:$K$5000="院内")), ROW(A101))), "")</f>
        <v/>
      </c>
      <c r="H138" s="77" t="str">
        <f t="array" ref="H138">IFERROR(INDEX(Kintoneデータ抽出!C:C, _xlfn.AGGREGATE(15, 6, ROW(Kintoneデータ抽出!$K$2:$K$5000) / ((Kintoneデータ抽出!$K$2:$K$5000="院内")), ROW(A101))), "")</f>
        <v/>
      </c>
      <c r="I138" s="75" t="str">
        <f t="array" ref="I138">IFERROR(IF(INDEX(Kintoneデータ抽出!G:G, _xlfn.AGGREGATE(15, 6, ROW(Kintoneデータ抽出!$K$2:$K$5000) / ((Kintoneデータ抽出!$K$2:$K$5000="院内")), ROW(A101)))&lt;&gt;"",INDEX(Kintoneデータ抽出!G:G, _xlfn.AGGREGATE(15, 6, ROW(Kintoneデータ抽出!$K$2:$K$5000) / ((Kintoneデータ抽出!$K$2:$K$5000="院内")), ROW(A101)))&amp;"名",""), "")</f>
        <v/>
      </c>
      <c r="J138" s="76" t="str">
        <f t="array" ref="J138">IFERROR(IF(INDEX(Kintoneデータ抽出!E:E, _xlfn.AGGREGATE(15, 6, ROW(Kintoneデータ抽出!$K$2:$K$5000) / ((Kintoneデータ抽出!$K$2:$K$5000="院内")), ROW(A101)))&lt;&gt;"",
YEAR(INDEX(Kintoneデータ抽出!E:E, _xlfn.AGGREGATE(15, 6, ROW(Kintoneデータ抽出!$K$2:$K$5000) / ((Kintoneデータ抽出!$K$2:$K$5000="院内")), ROW(A101))))&amp;"年"
&amp;MONTH(INDEX(Kintoneデータ抽出!E:E, _xlfn.AGGREGATE(15, 6, ROW(Kintoneデータ抽出!$K$2:$K$5000) / ((Kintoneデータ抽出!$K$2:$K$5000="院内")), ROW(A101))))&amp;"月"
&amp;DAY(INDEX(Kintoneデータ抽出!E:E, _xlfn.AGGREGATE(15, 6, ROW(Kintoneデータ抽出!$K$2:$K$5000) /((Kintoneデータ抽出!$K$2:$K$5000="院内")), ROW(A101))))&amp;"日",""), "")</f>
        <v/>
      </c>
      <c r="K138" s="77" t="str" cm="1">
        <f t="array" ref="K138">IFERROR(IF(INDEX(Kintoneデータ抽出!F:F, _xlfn.AGGREGATE(15, 6, ROW(Kintoneデータ抽出!$K$2:$K$5000) / ((Kintoneデータ抽出!$K$2:$K$5000="院内")), ROW(A101)))&lt;&gt;"",
VLOOKUP(INDEX(Kintoneデータ抽出!F:F, _xlfn.AGGREGATE(15, 6, ROW(Kintoneデータ抽出!$K$2:$K$5000) / ((Kintoneデータ抽出!$K$2:$K$5000="院内")), ROW(A101))),基本開園日の表記!$A$2:$B$13,2,FALSE),""), "")</f>
        <v/>
      </c>
      <c r="L138" s="75" t="str">
        <f t="array" ref="L138">IFERROR(IF(INDEX(Kintoneデータ抽出!F:F, _xlfn.AGGREGATE(15, 6, ROW(Kintoneデータ抽出!$K$2:$K$5000) / ((Kintoneデータ抽出!$K$2:$K$5000="院内")), ROW(A101)))&lt;&gt;"",
IF(COUNTIF(INDEX(Kintoneデータ抽出!F:F, _xlfn.AGGREGATE(15, 6, ROW(Kintoneデータ抽出!$K$2:$K$5000) / ((Kintoneデータ抽出!$K$2:$K$5000="院内")), ROW(A101))),"*あり*"),"夜間",""),""), "")</f>
        <v/>
      </c>
      <c r="M138" s="75" t="str">
        <f t="array" ref="M138">IFERROR(IF(INDEX(Kintoneデータ抽出!I:I, _xlfn.AGGREGATE(15, 6, ROW(Kintoneデータ抽出!$K$2:$K$5000) / ((Kintoneデータ抽出!$K$2:$K$5000="院内")), ROW(A101)))&lt;&gt;"",
IF(COUNTIF(INDEX(Kintoneデータ抽出!I:I, _xlfn.AGGREGATE(15, 6, ROW(Kintoneデータ抽出!$K$2:$K$5000) / ((Kintoneデータ抽出!$K$2:$K$5000="院内")), ROW(A101))),"*あり*"),"学童",""),""), "")</f>
        <v/>
      </c>
      <c r="N138" s="75" t="str">
        <f t="array" ref="N138">IFERROR(IF(INDEX(Kintoneデータ抽出!H:H, _xlfn.AGGREGATE(15, 6, ROW(Kintoneデータ抽出!$K$2:$K$5000) / ((Kintoneデータ抽出!$K$2:$K$5000="院内")), ROW(A101)))&lt;&gt;"",
IF(COUNTIF(INDEX(Kintoneデータ抽出!H:H, _xlfn.AGGREGATE(15, 6, ROW(Kintoneデータ抽出!$K$2:$K$5000) / ((Kintoneデータ抽出!$K$2:$K$5000="院内")), ROW(A101))),"*あり*"),"病児",""),""), "")</f>
        <v/>
      </c>
      <c r="O138" s="94" t="str" cm="1">
        <f t="array" ref="O138">IFERROR(
IF(INDEX(Kintoneデータ抽出!M:M, _xlfn.AGGREGATE(15, 6, ROW(Kintoneデータ抽出!$K$2:$K$5000) / ((Kintoneデータ抽出!$K$2:$K$5000="院内")), ROW(A101)))&lt;&gt;0,INDEX(Kintoneデータ抽出!M:M, _xlfn.AGGREGATE(15, 6, ROW(Kintoneデータ抽出!$K$2:$K$5000) / ((Kintoneデータ抽出!$K$2:$K$5000="院内")), ROW(A101))),""), "")</f>
        <v/>
      </c>
      <c r="P138" s="78" t="str">
        <f t="array" ref="P138">IFERROR(IF(INDEX(Kintoneデータ抽出!L:L, _xlfn.AGGREGATE(15, 6, ROW(Kintoneデータ抽出!$K$2:$K$5000) / ((Kintoneデータ抽出!$K$2:$K$5000="院内")), ROW(A101)))&lt;&gt;"",
IF(COUNTIF(INDEX(Kintoneデータ抽出!L:L, _xlfn.AGGREGATE(15, 6, ROW(Kintoneデータ抽出!$K$2:$K$5000) / ((Kintoneデータ抽出!$K$2:$K$5000="院内")), ROW(A101))),"*企業主導型以外*"),"",
IF(COUNTIF(INDEX(Kintoneデータ抽出!L:L, _xlfn.AGGREGATE(15, 6, ROW(Kintoneデータ抽出!$K$2:$K$5000) / ((Kintoneデータ抽出!$K$2:$K$5000="院内")), ROW(A101))),"*その他*"),"",
IF(COUNTIF(INDEX(Kintoneデータ抽出!L:L, _xlfn.AGGREGATE(15, 6, ROW(Kintoneデータ抽出!$K$2:$K$5000) / ((Kintoneデータ抽出!$K$2:$K$5000="院内")), ROW(A101))),"*新制度*"),"新制度","企業主導型"))),""), "")</f>
        <v/>
      </c>
    </row>
    <row r="139" spans="2:16" ht="34.799999999999997" customHeight="1" x14ac:dyDescent="0.45">
      <c r="B139" s="45"/>
      <c r="C139" s="46"/>
      <c r="D139" s="98" t="str">
        <f t="shared" si="2"/>
        <v/>
      </c>
      <c r="E139" s="99"/>
      <c r="F139" s="75" t="str">
        <f t="array" ref="F139">IFERROR(INDEX(Kintoneデータ抽出!A:A, _xlfn.AGGREGATE(15, 6, ROW(Kintoneデータ抽出!$K$2:$K$5000) / ((Kintoneデータ抽出!$K$2:$K$5000="院内")), ROW(A102))), "")</f>
        <v/>
      </c>
      <c r="G139" s="77" t="str">
        <f t="array" ref="G139">IFERROR(INDEX(Kintoneデータ抽出!D:D, _xlfn.AGGREGATE(15, 6, ROW(Kintoneデータ抽出!$K$2:$K$5000) / ((Kintoneデータ抽出!$K$2:$K$5000="院内")), ROW(A102))), "")</f>
        <v/>
      </c>
      <c r="H139" s="77" t="str">
        <f t="array" ref="H139">IFERROR(INDEX(Kintoneデータ抽出!C:C, _xlfn.AGGREGATE(15, 6, ROW(Kintoneデータ抽出!$K$2:$K$5000) / ((Kintoneデータ抽出!$K$2:$K$5000="院内")), ROW(A102))), "")</f>
        <v/>
      </c>
      <c r="I139" s="75" t="str">
        <f t="array" ref="I139">IFERROR(IF(INDEX(Kintoneデータ抽出!G:G, _xlfn.AGGREGATE(15, 6, ROW(Kintoneデータ抽出!$K$2:$K$5000) / ((Kintoneデータ抽出!$K$2:$K$5000="院内")), ROW(A102)))&lt;&gt;"",INDEX(Kintoneデータ抽出!G:G, _xlfn.AGGREGATE(15, 6, ROW(Kintoneデータ抽出!$K$2:$K$5000) / ((Kintoneデータ抽出!$K$2:$K$5000="院内")), ROW(A102)))&amp;"名",""), "")</f>
        <v/>
      </c>
      <c r="J139" s="76" t="str">
        <f t="array" ref="J139">IFERROR(IF(INDEX(Kintoneデータ抽出!E:E, _xlfn.AGGREGATE(15, 6, ROW(Kintoneデータ抽出!$K$2:$K$5000) / ((Kintoneデータ抽出!$K$2:$K$5000="院内")), ROW(A102)))&lt;&gt;"",
YEAR(INDEX(Kintoneデータ抽出!E:E, _xlfn.AGGREGATE(15, 6, ROW(Kintoneデータ抽出!$K$2:$K$5000) / ((Kintoneデータ抽出!$K$2:$K$5000="院内")), ROW(A102))))&amp;"年"
&amp;MONTH(INDEX(Kintoneデータ抽出!E:E, _xlfn.AGGREGATE(15, 6, ROW(Kintoneデータ抽出!$K$2:$K$5000) / ((Kintoneデータ抽出!$K$2:$K$5000="院内")), ROW(A102))))&amp;"月"
&amp;DAY(INDEX(Kintoneデータ抽出!E:E, _xlfn.AGGREGATE(15, 6, ROW(Kintoneデータ抽出!$K$2:$K$5000) /((Kintoneデータ抽出!$K$2:$K$5000="院内")), ROW(A102))))&amp;"日",""), "")</f>
        <v/>
      </c>
      <c r="K139" s="77" t="str" cm="1">
        <f t="array" ref="K139">IFERROR(IF(INDEX(Kintoneデータ抽出!F:F, _xlfn.AGGREGATE(15, 6, ROW(Kintoneデータ抽出!$K$2:$K$5000) / ((Kintoneデータ抽出!$K$2:$K$5000="院内")), ROW(A102)))&lt;&gt;"",
VLOOKUP(INDEX(Kintoneデータ抽出!F:F, _xlfn.AGGREGATE(15, 6, ROW(Kintoneデータ抽出!$K$2:$K$5000) / ((Kintoneデータ抽出!$K$2:$K$5000="院内")), ROW(A102))),基本開園日の表記!$A$2:$B$13,2,FALSE),""), "")</f>
        <v/>
      </c>
      <c r="L139" s="75" t="str">
        <f t="array" ref="L139">IFERROR(IF(INDEX(Kintoneデータ抽出!F:F, _xlfn.AGGREGATE(15, 6, ROW(Kintoneデータ抽出!$K$2:$K$5000) / ((Kintoneデータ抽出!$K$2:$K$5000="院内")), ROW(A102)))&lt;&gt;"",
IF(COUNTIF(INDEX(Kintoneデータ抽出!F:F, _xlfn.AGGREGATE(15, 6, ROW(Kintoneデータ抽出!$K$2:$K$5000) / ((Kintoneデータ抽出!$K$2:$K$5000="院内")), ROW(A102))),"*あり*"),"夜間",""),""), "")</f>
        <v/>
      </c>
      <c r="M139" s="75" t="str">
        <f t="array" ref="M139">IFERROR(IF(INDEX(Kintoneデータ抽出!I:I, _xlfn.AGGREGATE(15, 6, ROW(Kintoneデータ抽出!$K$2:$K$5000) / ((Kintoneデータ抽出!$K$2:$K$5000="院内")), ROW(A102)))&lt;&gt;"",
IF(COUNTIF(INDEX(Kintoneデータ抽出!I:I, _xlfn.AGGREGATE(15, 6, ROW(Kintoneデータ抽出!$K$2:$K$5000) / ((Kintoneデータ抽出!$K$2:$K$5000="院内")), ROW(A102))),"*あり*"),"学童",""),""), "")</f>
        <v/>
      </c>
      <c r="N139" s="75" t="str">
        <f t="array" ref="N139">IFERROR(IF(INDEX(Kintoneデータ抽出!H:H, _xlfn.AGGREGATE(15, 6, ROW(Kintoneデータ抽出!$K$2:$K$5000) / ((Kintoneデータ抽出!$K$2:$K$5000="院内")), ROW(A102)))&lt;&gt;"",
IF(COUNTIF(INDEX(Kintoneデータ抽出!H:H, _xlfn.AGGREGATE(15, 6, ROW(Kintoneデータ抽出!$K$2:$K$5000) / ((Kintoneデータ抽出!$K$2:$K$5000="院内")), ROW(A102))),"*あり*"),"病児",""),""), "")</f>
        <v/>
      </c>
      <c r="O139" s="94" t="str" cm="1">
        <f t="array" ref="O139">IFERROR(
IF(INDEX(Kintoneデータ抽出!M:M, _xlfn.AGGREGATE(15, 6, ROW(Kintoneデータ抽出!$K$2:$K$5000) / ((Kintoneデータ抽出!$K$2:$K$5000="院内")), ROW(A102)))&lt;&gt;0,INDEX(Kintoneデータ抽出!M:M, _xlfn.AGGREGATE(15, 6, ROW(Kintoneデータ抽出!$K$2:$K$5000) / ((Kintoneデータ抽出!$K$2:$K$5000="院内")), ROW(A102))),""), "")</f>
        <v/>
      </c>
      <c r="P139" s="78" t="str">
        <f t="array" ref="P139">IFERROR(IF(INDEX(Kintoneデータ抽出!L:L, _xlfn.AGGREGATE(15, 6, ROW(Kintoneデータ抽出!$K$2:$K$5000) / ((Kintoneデータ抽出!$K$2:$K$5000="院内")), ROW(A102)))&lt;&gt;"",
IF(COUNTIF(INDEX(Kintoneデータ抽出!L:L, _xlfn.AGGREGATE(15, 6, ROW(Kintoneデータ抽出!$K$2:$K$5000) / ((Kintoneデータ抽出!$K$2:$K$5000="院内")), ROW(A102))),"*企業主導型以外*"),"",
IF(COUNTIF(INDEX(Kintoneデータ抽出!L:L, _xlfn.AGGREGATE(15, 6, ROW(Kintoneデータ抽出!$K$2:$K$5000) / ((Kintoneデータ抽出!$K$2:$K$5000="院内")), ROW(A102))),"*その他*"),"",
IF(COUNTIF(INDEX(Kintoneデータ抽出!L:L, _xlfn.AGGREGATE(15, 6, ROW(Kintoneデータ抽出!$K$2:$K$5000) / ((Kintoneデータ抽出!$K$2:$K$5000="院内")), ROW(A102))),"*新制度*"),"新制度","企業主導型"))),""), "")</f>
        <v/>
      </c>
    </row>
    <row r="140" spans="2:16" ht="34.799999999999997" customHeight="1" x14ac:dyDescent="0.45">
      <c r="B140" s="45"/>
      <c r="C140" s="46"/>
      <c r="D140" s="98" t="str">
        <f t="shared" si="2"/>
        <v/>
      </c>
      <c r="E140" s="99"/>
      <c r="F140" s="75" t="str">
        <f t="array" ref="F140">IFERROR(INDEX(Kintoneデータ抽出!A:A, _xlfn.AGGREGATE(15, 6, ROW(Kintoneデータ抽出!$K$2:$K$5000) / ((Kintoneデータ抽出!$K$2:$K$5000="院内")), ROW(A103))), "")</f>
        <v/>
      </c>
      <c r="G140" s="77" t="str">
        <f t="array" ref="G140">IFERROR(INDEX(Kintoneデータ抽出!D:D, _xlfn.AGGREGATE(15, 6, ROW(Kintoneデータ抽出!$K$2:$K$5000) / ((Kintoneデータ抽出!$K$2:$K$5000="院内")), ROW(A103))), "")</f>
        <v/>
      </c>
      <c r="H140" s="77" t="str">
        <f t="array" ref="H140">IFERROR(INDEX(Kintoneデータ抽出!C:C, _xlfn.AGGREGATE(15, 6, ROW(Kintoneデータ抽出!$K$2:$K$5000) / ((Kintoneデータ抽出!$K$2:$K$5000="院内")), ROW(A103))), "")</f>
        <v/>
      </c>
      <c r="I140" s="75" t="str">
        <f t="array" ref="I140">IFERROR(IF(INDEX(Kintoneデータ抽出!G:G, _xlfn.AGGREGATE(15, 6, ROW(Kintoneデータ抽出!$K$2:$K$5000) / ((Kintoneデータ抽出!$K$2:$K$5000="院内")), ROW(A103)))&lt;&gt;"",INDEX(Kintoneデータ抽出!G:G, _xlfn.AGGREGATE(15, 6, ROW(Kintoneデータ抽出!$K$2:$K$5000) / ((Kintoneデータ抽出!$K$2:$K$5000="院内")), ROW(A103)))&amp;"名",""), "")</f>
        <v/>
      </c>
      <c r="J140" s="76" t="str">
        <f t="array" ref="J140">IFERROR(IF(INDEX(Kintoneデータ抽出!E:E, _xlfn.AGGREGATE(15, 6, ROW(Kintoneデータ抽出!$K$2:$K$5000) / ((Kintoneデータ抽出!$K$2:$K$5000="院内")), ROW(A103)))&lt;&gt;"",
YEAR(INDEX(Kintoneデータ抽出!E:E, _xlfn.AGGREGATE(15, 6, ROW(Kintoneデータ抽出!$K$2:$K$5000) / ((Kintoneデータ抽出!$K$2:$K$5000="院内")), ROW(A103))))&amp;"年"
&amp;MONTH(INDEX(Kintoneデータ抽出!E:E, _xlfn.AGGREGATE(15, 6, ROW(Kintoneデータ抽出!$K$2:$K$5000) / ((Kintoneデータ抽出!$K$2:$K$5000="院内")), ROW(A103))))&amp;"月"
&amp;DAY(INDEX(Kintoneデータ抽出!E:E, _xlfn.AGGREGATE(15, 6, ROW(Kintoneデータ抽出!$K$2:$K$5000) /((Kintoneデータ抽出!$K$2:$K$5000="院内")), ROW(A103))))&amp;"日",""), "")</f>
        <v/>
      </c>
      <c r="K140" s="77" t="str" cm="1">
        <f t="array" ref="K140">IFERROR(IF(INDEX(Kintoneデータ抽出!F:F, _xlfn.AGGREGATE(15, 6, ROW(Kintoneデータ抽出!$K$2:$K$5000) / ((Kintoneデータ抽出!$K$2:$K$5000="院内")), ROW(A103)))&lt;&gt;"",
VLOOKUP(INDEX(Kintoneデータ抽出!F:F, _xlfn.AGGREGATE(15, 6, ROW(Kintoneデータ抽出!$K$2:$K$5000) / ((Kintoneデータ抽出!$K$2:$K$5000="院内")), ROW(A103))),基本開園日の表記!$A$2:$B$13,2,FALSE),""), "")</f>
        <v/>
      </c>
      <c r="L140" s="75" t="str">
        <f t="array" ref="L140">IFERROR(IF(INDEX(Kintoneデータ抽出!F:F, _xlfn.AGGREGATE(15, 6, ROW(Kintoneデータ抽出!$K$2:$K$5000) / ((Kintoneデータ抽出!$K$2:$K$5000="院内")), ROW(A103)))&lt;&gt;"",
IF(COUNTIF(INDEX(Kintoneデータ抽出!F:F, _xlfn.AGGREGATE(15, 6, ROW(Kintoneデータ抽出!$K$2:$K$5000) / ((Kintoneデータ抽出!$K$2:$K$5000="院内")), ROW(A103))),"*あり*"),"夜間",""),""), "")</f>
        <v/>
      </c>
      <c r="M140" s="75" t="str">
        <f t="array" ref="M140">IFERROR(IF(INDEX(Kintoneデータ抽出!I:I, _xlfn.AGGREGATE(15, 6, ROW(Kintoneデータ抽出!$K$2:$K$5000) / ((Kintoneデータ抽出!$K$2:$K$5000="院内")), ROW(A103)))&lt;&gt;"",
IF(COUNTIF(INDEX(Kintoneデータ抽出!I:I, _xlfn.AGGREGATE(15, 6, ROW(Kintoneデータ抽出!$K$2:$K$5000) / ((Kintoneデータ抽出!$K$2:$K$5000="院内")), ROW(A103))),"*あり*"),"学童",""),""), "")</f>
        <v/>
      </c>
      <c r="N140" s="75" t="str">
        <f t="array" ref="N140">IFERROR(IF(INDEX(Kintoneデータ抽出!H:H, _xlfn.AGGREGATE(15, 6, ROW(Kintoneデータ抽出!$K$2:$K$5000) / ((Kintoneデータ抽出!$K$2:$K$5000="院内")), ROW(A103)))&lt;&gt;"",
IF(COUNTIF(INDEX(Kintoneデータ抽出!H:H, _xlfn.AGGREGATE(15, 6, ROW(Kintoneデータ抽出!$K$2:$K$5000) / ((Kintoneデータ抽出!$K$2:$K$5000="院内")), ROW(A103))),"*あり*"),"病児",""),""), "")</f>
        <v/>
      </c>
      <c r="O140" s="94" t="str" cm="1">
        <f t="array" ref="O140">IFERROR(
IF(INDEX(Kintoneデータ抽出!M:M, _xlfn.AGGREGATE(15, 6, ROW(Kintoneデータ抽出!$K$2:$K$5000) / ((Kintoneデータ抽出!$K$2:$K$5000="院内")), ROW(A103)))&lt;&gt;0,INDEX(Kintoneデータ抽出!M:M, _xlfn.AGGREGATE(15, 6, ROW(Kintoneデータ抽出!$K$2:$K$5000) / ((Kintoneデータ抽出!$K$2:$K$5000="院内")), ROW(A103))),""), "")</f>
        <v/>
      </c>
      <c r="P140" s="78" t="str">
        <f t="array" ref="P140">IFERROR(IF(INDEX(Kintoneデータ抽出!L:L, _xlfn.AGGREGATE(15, 6, ROW(Kintoneデータ抽出!$K$2:$K$5000) / ((Kintoneデータ抽出!$K$2:$K$5000="院内")), ROW(A103)))&lt;&gt;"",
IF(COUNTIF(INDEX(Kintoneデータ抽出!L:L, _xlfn.AGGREGATE(15, 6, ROW(Kintoneデータ抽出!$K$2:$K$5000) / ((Kintoneデータ抽出!$K$2:$K$5000="院内")), ROW(A103))),"*企業主導型以外*"),"",
IF(COUNTIF(INDEX(Kintoneデータ抽出!L:L, _xlfn.AGGREGATE(15, 6, ROW(Kintoneデータ抽出!$K$2:$K$5000) / ((Kintoneデータ抽出!$K$2:$K$5000="院内")), ROW(A103))),"*その他*"),"",
IF(COUNTIF(INDEX(Kintoneデータ抽出!L:L, _xlfn.AGGREGATE(15, 6, ROW(Kintoneデータ抽出!$K$2:$K$5000) / ((Kintoneデータ抽出!$K$2:$K$5000="院内")), ROW(A103))),"*新制度*"),"新制度","企業主導型"))),""), "")</f>
        <v/>
      </c>
    </row>
    <row r="141" spans="2:16" ht="34.799999999999997" customHeight="1" x14ac:dyDescent="0.45">
      <c r="B141" s="45"/>
      <c r="C141" s="46"/>
      <c r="D141" s="98" t="str">
        <f t="shared" si="2"/>
        <v/>
      </c>
      <c r="E141" s="99"/>
      <c r="F141" s="75" t="str">
        <f t="array" ref="F141">IFERROR(INDEX(Kintoneデータ抽出!A:A, _xlfn.AGGREGATE(15, 6, ROW(Kintoneデータ抽出!$K$2:$K$5000) / ((Kintoneデータ抽出!$K$2:$K$5000="院内")), ROW(A104))), "")</f>
        <v/>
      </c>
      <c r="G141" s="77" t="str">
        <f t="array" ref="G141">IFERROR(INDEX(Kintoneデータ抽出!D:D, _xlfn.AGGREGATE(15, 6, ROW(Kintoneデータ抽出!$K$2:$K$5000) / ((Kintoneデータ抽出!$K$2:$K$5000="院内")), ROW(A104))), "")</f>
        <v/>
      </c>
      <c r="H141" s="77" t="str">
        <f t="array" ref="H141">IFERROR(INDEX(Kintoneデータ抽出!C:C, _xlfn.AGGREGATE(15, 6, ROW(Kintoneデータ抽出!$K$2:$K$5000) / ((Kintoneデータ抽出!$K$2:$K$5000="院内")), ROW(A104))), "")</f>
        <v/>
      </c>
      <c r="I141" s="75" t="str">
        <f t="array" ref="I141">IFERROR(IF(INDEX(Kintoneデータ抽出!G:G, _xlfn.AGGREGATE(15, 6, ROW(Kintoneデータ抽出!$K$2:$K$5000) / ((Kintoneデータ抽出!$K$2:$K$5000="院内")), ROW(A104)))&lt;&gt;"",INDEX(Kintoneデータ抽出!G:G, _xlfn.AGGREGATE(15, 6, ROW(Kintoneデータ抽出!$K$2:$K$5000) / ((Kintoneデータ抽出!$K$2:$K$5000="院内")), ROW(A104)))&amp;"名",""), "")</f>
        <v/>
      </c>
      <c r="J141" s="76" t="str">
        <f t="array" ref="J141">IFERROR(IF(INDEX(Kintoneデータ抽出!E:E, _xlfn.AGGREGATE(15, 6, ROW(Kintoneデータ抽出!$K$2:$K$5000) / ((Kintoneデータ抽出!$K$2:$K$5000="院内")), ROW(A104)))&lt;&gt;"",
YEAR(INDEX(Kintoneデータ抽出!E:E, _xlfn.AGGREGATE(15, 6, ROW(Kintoneデータ抽出!$K$2:$K$5000) / ((Kintoneデータ抽出!$K$2:$K$5000="院内")), ROW(A104))))&amp;"年"
&amp;MONTH(INDEX(Kintoneデータ抽出!E:E, _xlfn.AGGREGATE(15, 6, ROW(Kintoneデータ抽出!$K$2:$K$5000) / ((Kintoneデータ抽出!$K$2:$K$5000="院内")), ROW(A104))))&amp;"月"
&amp;DAY(INDEX(Kintoneデータ抽出!E:E, _xlfn.AGGREGATE(15, 6, ROW(Kintoneデータ抽出!$K$2:$K$5000) /((Kintoneデータ抽出!$K$2:$K$5000="院内")), ROW(A104))))&amp;"日",""), "")</f>
        <v/>
      </c>
      <c r="K141" s="77" t="str" cm="1">
        <f t="array" ref="K141">IFERROR(IF(INDEX(Kintoneデータ抽出!F:F, _xlfn.AGGREGATE(15, 6, ROW(Kintoneデータ抽出!$K$2:$K$5000) / ((Kintoneデータ抽出!$K$2:$K$5000="院内")), ROW(A104)))&lt;&gt;"",
VLOOKUP(INDEX(Kintoneデータ抽出!F:F, _xlfn.AGGREGATE(15, 6, ROW(Kintoneデータ抽出!$K$2:$K$5000) / ((Kintoneデータ抽出!$K$2:$K$5000="院内")), ROW(A104))),基本開園日の表記!$A$2:$B$13,2,FALSE),""), "")</f>
        <v/>
      </c>
      <c r="L141" s="75" t="str">
        <f t="array" ref="L141">IFERROR(IF(INDEX(Kintoneデータ抽出!F:F, _xlfn.AGGREGATE(15, 6, ROW(Kintoneデータ抽出!$K$2:$K$5000) / ((Kintoneデータ抽出!$K$2:$K$5000="院内")), ROW(A104)))&lt;&gt;"",
IF(COUNTIF(INDEX(Kintoneデータ抽出!F:F, _xlfn.AGGREGATE(15, 6, ROW(Kintoneデータ抽出!$K$2:$K$5000) / ((Kintoneデータ抽出!$K$2:$K$5000="院内")), ROW(A104))),"*あり*"),"夜間",""),""), "")</f>
        <v/>
      </c>
      <c r="M141" s="75" t="str">
        <f t="array" ref="M141">IFERROR(IF(INDEX(Kintoneデータ抽出!I:I, _xlfn.AGGREGATE(15, 6, ROW(Kintoneデータ抽出!$K$2:$K$5000) / ((Kintoneデータ抽出!$K$2:$K$5000="院内")), ROW(A104)))&lt;&gt;"",
IF(COUNTIF(INDEX(Kintoneデータ抽出!I:I, _xlfn.AGGREGATE(15, 6, ROW(Kintoneデータ抽出!$K$2:$K$5000) / ((Kintoneデータ抽出!$K$2:$K$5000="院内")), ROW(A104))),"*あり*"),"学童",""),""), "")</f>
        <v/>
      </c>
      <c r="N141" s="75" t="str">
        <f t="array" ref="N141">IFERROR(IF(INDEX(Kintoneデータ抽出!H:H, _xlfn.AGGREGATE(15, 6, ROW(Kintoneデータ抽出!$K$2:$K$5000) / ((Kintoneデータ抽出!$K$2:$K$5000="院内")), ROW(A104)))&lt;&gt;"",
IF(COUNTIF(INDEX(Kintoneデータ抽出!H:H, _xlfn.AGGREGATE(15, 6, ROW(Kintoneデータ抽出!$K$2:$K$5000) / ((Kintoneデータ抽出!$K$2:$K$5000="院内")), ROW(A104))),"*あり*"),"病児",""),""), "")</f>
        <v/>
      </c>
      <c r="O141" s="94" t="str" cm="1">
        <f t="array" ref="O141">IFERROR(
IF(INDEX(Kintoneデータ抽出!M:M, _xlfn.AGGREGATE(15, 6, ROW(Kintoneデータ抽出!$K$2:$K$5000) / ((Kintoneデータ抽出!$K$2:$K$5000="院内")), ROW(A104)))&lt;&gt;0,INDEX(Kintoneデータ抽出!M:M, _xlfn.AGGREGATE(15, 6, ROW(Kintoneデータ抽出!$K$2:$K$5000) / ((Kintoneデータ抽出!$K$2:$K$5000="院内")), ROW(A104))),""), "")</f>
        <v/>
      </c>
      <c r="P141" s="78" t="str">
        <f t="array" ref="P141">IFERROR(IF(INDEX(Kintoneデータ抽出!L:L, _xlfn.AGGREGATE(15, 6, ROW(Kintoneデータ抽出!$K$2:$K$5000) / ((Kintoneデータ抽出!$K$2:$K$5000="院内")), ROW(A104)))&lt;&gt;"",
IF(COUNTIF(INDEX(Kintoneデータ抽出!L:L, _xlfn.AGGREGATE(15, 6, ROW(Kintoneデータ抽出!$K$2:$K$5000) / ((Kintoneデータ抽出!$K$2:$K$5000="院内")), ROW(A104))),"*企業主導型以外*"),"",
IF(COUNTIF(INDEX(Kintoneデータ抽出!L:L, _xlfn.AGGREGATE(15, 6, ROW(Kintoneデータ抽出!$K$2:$K$5000) / ((Kintoneデータ抽出!$K$2:$K$5000="院内")), ROW(A104))),"*その他*"),"",
IF(COUNTIF(INDEX(Kintoneデータ抽出!L:L, _xlfn.AGGREGATE(15, 6, ROW(Kintoneデータ抽出!$K$2:$K$5000) / ((Kintoneデータ抽出!$K$2:$K$5000="院内")), ROW(A104))),"*新制度*"),"新制度","企業主導型"))),""), "")</f>
        <v/>
      </c>
    </row>
    <row r="142" spans="2:16" ht="34.799999999999997" customHeight="1" x14ac:dyDescent="0.45">
      <c r="B142" s="45"/>
      <c r="C142" s="46"/>
      <c r="D142" s="98" t="str">
        <f t="shared" si="2"/>
        <v/>
      </c>
      <c r="E142" s="99"/>
      <c r="F142" s="75" t="str">
        <f t="array" ref="F142">IFERROR(INDEX(Kintoneデータ抽出!A:A, _xlfn.AGGREGATE(15, 6, ROW(Kintoneデータ抽出!$K$2:$K$5000) / ((Kintoneデータ抽出!$K$2:$K$5000="院内")), ROW(A105))), "")</f>
        <v/>
      </c>
      <c r="G142" s="77" t="str">
        <f t="array" ref="G142">IFERROR(INDEX(Kintoneデータ抽出!D:D, _xlfn.AGGREGATE(15, 6, ROW(Kintoneデータ抽出!$K$2:$K$5000) / ((Kintoneデータ抽出!$K$2:$K$5000="院内")), ROW(A105))), "")</f>
        <v/>
      </c>
      <c r="H142" s="77" t="str">
        <f t="array" ref="H142">IFERROR(INDEX(Kintoneデータ抽出!C:C, _xlfn.AGGREGATE(15, 6, ROW(Kintoneデータ抽出!$K$2:$K$5000) / ((Kintoneデータ抽出!$K$2:$K$5000="院内")), ROW(A105))), "")</f>
        <v/>
      </c>
      <c r="I142" s="75" t="str">
        <f t="array" ref="I142">IFERROR(IF(INDEX(Kintoneデータ抽出!G:G, _xlfn.AGGREGATE(15, 6, ROW(Kintoneデータ抽出!$K$2:$K$5000) / ((Kintoneデータ抽出!$K$2:$K$5000="院内")), ROW(A105)))&lt;&gt;"",INDEX(Kintoneデータ抽出!G:G, _xlfn.AGGREGATE(15, 6, ROW(Kintoneデータ抽出!$K$2:$K$5000) / ((Kintoneデータ抽出!$K$2:$K$5000="院内")), ROW(A105)))&amp;"名",""), "")</f>
        <v/>
      </c>
      <c r="J142" s="76" t="str">
        <f t="array" ref="J142">IFERROR(IF(INDEX(Kintoneデータ抽出!E:E, _xlfn.AGGREGATE(15, 6, ROW(Kintoneデータ抽出!$K$2:$K$5000) / ((Kintoneデータ抽出!$K$2:$K$5000="院内")), ROW(A105)))&lt;&gt;"",
YEAR(INDEX(Kintoneデータ抽出!E:E, _xlfn.AGGREGATE(15, 6, ROW(Kintoneデータ抽出!$K$2:$K$5000) / ((Kintoneデータ抽出!$K$2:$K$5000="院内")), ROW(A105))))&amp;"年"
&amp;MONTH(INDEX(Kintoneデータ抽出!E:E, _xlfn.AGGREGATE(15, 6, ROW(Kintoneデータ抽出!$K$2:$K$5000) / ((Kintoneデータ抽出!$K$2:$K$5000="院内")), ROW(A105))))&amp;"月"
&amp;DAY(INDEX(Kintoneデータ抽出!E:E, _xlfn.AGGREGATE(15, 6, ROW(Kintoneデータ抽出!$K$2:$K$5000) /((Kintoneデータ抽出!$K$2:$K$5000="院内")), ROW(A105))))&amp;"日",""), "")</f>
        <v/>
      </c>
      <c r="K142" s="77" t="str" cm="1">
        <f t="array" ref="K142">IFERROR(IF(INDEX(Kintoneデータ抽出!F:F, _xlfn.AGGREGATE(15, 6, ROW(Kintoneデータ抽出!$K$2:$K$5000) / ((Kintoneデータ抽出!$K$2:$K$5000="院内")), ROW(A105)))&lt;&gt;"",
VLOOKUP(INDEX(Kintoneデータ抽出!F:F, _xlfn.AGGREGATE(15, 6, ROW(Kintoneデータ抽出!$K$2:$K$5000) / ((Kintoneデータ抽出!$K$2:$K$5000="院内")), ROW(A105))),基本開園日の表記!$A$2:$B$13,2,FALSE),""), "")</f>
        <v/>
      </c>
      <c r="L142" s="75" t="str">
        <f t="array" ref="L142">IFERROR(IF(INDEX(Kintoneデータ抽出!F:F, _xlfn.AGGREGATE(15, 6, ROW(Kintoneデータ抽出!$K$2:$K$5000) / ((Kintoneデータ抽出!$K$2:$K$5000="院内")), ROW(A105)))&lt;&gt;"",
IF(COUNTIF(INDEX(Kintoneデータ抽出!F:F, _xlfn.AGGREGATE(15, 6, ROW(Kintoneデータ抽出!$K$2:$K$5000) / ((Kintoneデータ抽出!$K$2:$K$5000="院内")), ROW(A105))),"*あり*"),"夜間",""),""), "")</f>
        <v/>
      </c>
      <c r="M142" s="75" t="str">
        <f t="array" ref="M142">IFERROR(IF(INDEX(Kintoneデータ抽出!I:I, _xlfn.AGGREGATE(15, 6, ROW(Kintoneデータ抽出!$K$2:$K$5000) / ((Kintoneデータ抽出!$K$2:$K$5000="院内")), ROW(A105)))&lt;&gt;"",
IF(COUNTIF(INDEX(Kintoneデータ抽出!I:I, _xlfn.AGGREGATE(15, 6, ROW(Kintoneデータ抽出!$K$2:$K$5000) / ((Kintoneデータ抽出!$K$2:$K$5000="院内")), ROW(A105))),"*あり*"),"学童",""),""), "")</f>
        <v/>
      </c>
      <c r="N142" s="75" t="str">
        <f t="array" ref="N142">IFERROR(IF(INDEX(Kintoneデータ抽出!H:H, _xlfn.AGGREGATE(15, 6, ROW(Kintoneデータ抽出!$K$2:$K$5000) / ((Kintoneデータ抽出!$K$2:$K$5000="院内")), ROW(A105)))&lt;&gt;"",
IF(COUNTIF(INDEX(Kintoneデータ抽出!H:H, _xlfn.AGGREGATE(15, 6, ROW(Kintoneデータ抽出!$K$2:$K$5000) / ((Kintoneデータ抽出!$K$2:$K$5000="院内")), ROW(A105))),"*あり*"),"病児",""),""), "")</f>
        <v/>
      </c>
      <c r="O142" s="94" t="str" cm="1">
        <f t="array" ref="O142">IFERROR(
IF(INDEX(Kintoneデータ抽出!M:M, _xlfn.AGGREGATE(15, 6, ROW(Kintoneデータ抽出!$K$2:$K$5000) / ((Kintoneデータ抽出!$K$2:$K$5000="院内")), ROW(A105)))&lt;&gt;0,INDEX(Kintoneデータ抽出!M:M, _xlfn.AGGREGATE(15, 6, ROW(Kintoneデータ抽出!$K$2:$K$5000) / ((Kintoneデータ抽出!$K$2:$K$5000="院内")), ROW(A105))),""), "")</f>
        <v/>
      </c>
      <c r="P142" s="78" t="str">
        <f t="array" ref="P142">IFERROR(IF(INDEX(Kintoneデータ抽出!L:L, _xlfn.AGGREGATE(15, 6, ROW(Kintoneデータ抽出!$K$2:$K$5000) / ((Kintoneデータ抽出!$K$2:$K$5000="院内")), ROW(A105)))&lt;&gt;"",
IF(COUNTIF(INDEX(Kintoneデータ抽出!L:L, _xlfn.AGGREGATE(15, 6, ROW(Kintoneデータ抽出!$K$2:$K$5000) / ((Kintoneデータ抽出!$K$2:$K$5000="院内")), ROW(A105))),"*企業主導型以外*"),"",
IF(COUNTIF(INDEX(Kintoneデータ抽出!L:L, _xlfn.AGGREGATE(15, 6, ROW(Kintoneデータ抽出!$K$2:$K$5000) / ((Kintoneデータ抽出!$K$2:$K$5000="院内")), ROW(A105))),"*その他*"),"",
IF(COUNTIF(INDEX(Kintoneデータ抽出!L:L, _xlfn.AGGREGATE(15, 6, ROW(Kintoneデータ抽出!$K$2:$K$5000) / ((Kintoneデータ抽出!$K$2:$K$5000="院内")), ROW(A105))),"*新制度*"),"新制度","企業主導型"))),""), "")</f>
        <v/>
      </c>
    </row>
    <row r="143" spans="2:16" ht="34.799999999999997" customHeight="1" x14ac:dyDescent="0.45">
      <c r="B143" s="45"/>
      <c r="C143" s="46"/>
      <c r="D143" s="98" t="str">
        <f t="shared" si="2"/>
        <v/>
      </c>
      <c r="E143" s="99"/>
      <c r="F143" s="75" t="str">
        <f t="array" ref="F143">IFERROR(INDEX(Kintoneデータ抽出!A:A, _xlfn.AGGREGATE(15, 6, ROW(Kintoneデータ抽出!$K$2:$K$5000) / ((Kintoneデータ抽出!$K$2:$K$5000="院内")), ROW(A106))), "")</f>
        <v/>
      </c>
      <c r="G143" s="77" t="str">
        <f t="array" ref="G143">IFERROR(INDEX(Kintoneデータ抽出!D:D, _xlfn.AGGREGATE(15, 6, ROW(Kintoneデータ抽出!$K$2:$K$5000) / ((Kintoneデータ抽出!$K$2:$K$5000="院内")), ROW(A106))), "")</f>
        <v/>
      </c>
      <c r="H143" s="77" t="str">
        <f t="array" ref="H143">IFERROR(INDEX(Kintoneデータ抽出!C:C, _xlfn.AGGREGATE(15, 6, ROW(Kintoneデータ抽出!$K$2:$K$5000) / ((Kintoneデータ抽出!$K$2:$K$5000="院内")), ROW(A106))), "")</f>
        <v/>
      </c>
      <c r="I143" s="75" t="str">
        <f t="array" ref="I143">IFERROR(IF(INDEX(Kintoneデータ抽出!G:G, _xlfn.AGGREGATE(15, 6, ROW(Kintoneデータ抽出!$K$2:$K$5000) / ((Kintoneデータ抽出!$K$2:$K$5000="院内")), ROW(A106)))&lt;&gt;"",INDEX(Kintoneデータ抽出!G:G, _xlfn.AGGREGATE(15, 6, ROW(Kintoneデータ抽出!$K$2:$K$5000) / ((Kintoneデータ抽出!$K$2:$K$5000="院内")), ROW(A106)))&amp;"名",""), "")</f>
        <v/>
      </c>
      <c r="J143" s="76" t="str">
        <f t="array" ref="J143">IFERROR(IF(INDEX(Kintoneデータ抽出!E:E, _xlfn.AGGREGATE(15, 6, ROW(Kintoneデータ抽出!$K$2:$K$5000) / ((Kintoneデータ抽出!$K$2:$K$5000="院内")), ROW(A106)))&lt;&gt;"",
YEAR(INDEX(Kintoneデータ抽出!E:E, _xlfn.AGGREGATE(15, 6, ROW(Kintoneデータ抽出!$K$2:$K$5000) / ((Kintoneデータ抽出!$K$2:$K$5000="院内")), ROW(A106))))&amp;"年"
&amp;MONTH(INDEX(Kintoneデータ抽出!E:E, _xlfn.AGGREGATE(15, 6, ROW(Kintoneデータ抽出!$K$2:$K$5000) / ((Kintoneデータ抽出!$K$2:$K$5000="院内")), ROW(A106))))&amp;"月"
&amp;DAY(INDEX(Kintoneデータ抽出!E:E, _xlfn.AGGREGATE(15, 6, ROW(Kintoneデータ抽出!$K$2:$K$5000) /((Kintoneデータ抽出!$K$2:$K$5000="院内")), ROW(A106))))&amp;"日",""), "")</f>
        <v/>
      </c>
      <c r="K143" s="77" t="str" cm="1">
        <f t="array" ref="K143">IFERROR(IF(INDEX(Kintoneデータ抽出!F:F, _xlfn.AGGREGATE(15, 6, ROW(Kintoneデータ抽出!$K$2:$K$5000) / ((Kintoneデータ抽出!$K$2:$K$5000="院内")), ROW(A106)))&lt;&gt;"",
VLOOKUP(INDEX(Kintoneデータ抽出!F:F, _xlfn.AGGREGATE(15, 6, ROW(Kintoneデータ抽出!$K$2:$K$5000) / ((Kintoneデータ抽出!$K$2:$K$5000="院内")), ROW(A106))),基本開園日の表記!$A$2:$B$13,2,FALSE),""), "")</f>
        <v/>
      </c>
      <c r="L143" s="75" t="str">
        <f t="array" ref="L143">IFERROR(IF(INDEX(Kintoneデータ抽出!F:F, _xlfn.AGGREGATE(15, 6, ROW(Kintoneデータ抽出!$K$2:$K$5000) / ((Kintoneデータ抽出!$K$2:$K$5000="院内")), ROW(A106)))&lt;&gt;"",
IF(COUNTIF(INDEX(Kintoneデータ抽出!F:F, _xlfn.AGGREGATE(15, 6, ROW(Kintoneデータ抽出!$K$2:$K$5000) / ((Kintoneデータ抽出!$K$2:$K$5000="院内")), ROW(A106))),"*あり*"),"夜間",""),""), "")</f>
        <v/>
      </c>
      <c r="M143" s="75" t="str">
        <f t="array" ref="M143">IFERROR(IF(INDEX(Kintoneデータ抽出!I:I, _xlfn.AGGREGATE(15, 6, ROW(Kintoneデータ抽出!$K$2:$K$5000) / ((Kintoneデータ抽出!$K$2:$K$5000="院内")), ROW(A106)))&lt;&gt;"",
IF(COUNTIF(INDEX(Kintoneデータ抽出!I:I, _xlfn.AGGREGATE(15, 6, ROW(Kintoneデータ抽出!$K$2:$K$5000) / ((Kintoneデータ抽出!$K$2:$K$5000="院内")), ROW(A106))),"*あり*"),"学童",""),""), "")</f>
        <v/>
      </c>
      <c r="N143" s="75" t="str">
        <f t="array" ref="N143">IFERROR(IF(INDEX(Kintoneデータ抽出!H:H, _xlfn.AGGREGATE(15, 6, ROW(Kintoneデータ抽出!$K$2:$K$5000) / ((Kintoneデータ抽出!$K$2:$K$5000="院内")), ROW(A106)))&lt;&gt;"",
IF(COUNTIF(INDEX(Kintoneデータ抽出!H:H, _xlfn.AGGREGATE(15, 6, ROW(Kintoneデータ抽出!$K$2:$K$5000) / ((Kintoneデータ抽出!$K$2:$K$5000="院内")), ROW(A106))),"*あり*"),"病児",""),""), "")</f>
        <v/>
      </c>
      <c r="O143" s="94" t="str" cm="1">
        <f t="array" ref="O143">IFERROR(
IF(INDEX(Kintoneデータ抽出!M:M, _xlfn.AGGREGATE(15, 6, ROW(Kintoneデータ抽出!$K$2:$K$5000) / ((Kintoneデータ抽出!$K$2:$K$5000="院内")), ROW(A106)))&lt;&gt;0,INDEX(Kintoneデータ抽出!M:M, _xlfn.AGGREGATE(15, 6, ROW(Kintoneデータ抽出!$K$2:$K$5000) / ((Kintoneデータ抽出!$K$2:$K$5000="院内")), ROW(A106))),""), "")</f>
        <v/>
      </c>
      <c r="P143" s="78" t="str">
        <f t="array" ref="P143">IFERROR(IF(INDEX(Kintoneデータ抽出!L:L, _xlfn.AGGREGATE(15, 6, ROW(Kintoneデータ抽出!$K$2:$K$5000) / ((Kintoneデータ抽出!$K$2:$K$5000="院内")), ROW(A106)))&lt;&gt;"",
IF(COUNTIF(INDEX(Kintoneデータ抽出!L:L, _xlfn.AGGREGATE(15, 6, ROW(Kintoneデータ抽出!$K$2:$K$5000) / ((Kintoneデータ抽出!$K$2:$K$5000="院内")), ROW(A106))),"*企業主導型以外*"),"",
IF(COUNTIF(INDEX(Kintoneデータ抽出!L:L, _xlfn.AGGREGATE(15, 6, ROW(Kintoneデータ抽出!$K$2:$K$5000) / ((Kintoneデータ抽出!$K$2:$K$5000="院内")), ROW(A106))),"*その他*"),"",
IF(COUNTIF(INDEX(Kintoneデータ抽出!L:L, _xlfn.AGGREGATE(15, 6, ROW(Kintoneデータ抽出!$K$2:$K$5000) / ((Kintoneデータ抽出!$K$2:$K$5000="院内")), ROW(A106))),"*新制度*"),"新制度","企業主導型"))),""), "")</f>
        <v/>
      </c>
    </row>
    <row r="144" spans="2:16" ht="34.799999999999997" customHeight="1" x14ac:dyDescent="0.45">
      <c r="B144" s="45"/>
      <c r="C144" s="46"/>
      <c r="D144" s="98" t="str">
        <f t="shared" si="2"/>
        <v/>
      </c>
      <c r="E144" s="99"/>
      <c r="F144" s="75" t="str">
        <f t="array" ref="F144">IFERROR(INDEX(Kintoneデータ抽出!A:A, _xlfn.AGGREGATE(15, 6, ROW(Kintoneデータ抽出!$K$2:$K$5000) / ((Kintoneデータ抽出!$K$2:$K$5000="院内")), ROW(A107))), "")</f>
        <v/>
      </c>
      <c r="G144" s="77" t="str">
        <f t="array" ref="G144">IFERROR(INDEX(Kintoneデータ抽出!D:D, _xlfn.AGGREGATE(15, 6, ROW(Kintoneデータ抽出!$K$2:$K$5000) / ((Kintoneデータ抽出!$K$2:$K$5000="院内")), ROW(A107))), "")</f>
        <v/>
      </c>
      <c r="H144" s="77" t="str">
        <f t="array" ref="H144">IFERROR(INDEX(Kintoneデータ抽出!C:C, _xlfn.AGGREGATE(15, 6, ROW(Kintoneデータ抽出!$K$2:$K$5000) / ((Kintoneデータ抽出!$K$2:$K$5000="院内")), ROW(A107))), "")</f>
        <v/>
      </c>
      <c r="I144" s="75" t="str">
        <f t="array" ref="I144">IFERROR(IF(INDEX(Kintoneデータ抽出!G:G, _xlfn.AGGREGATE(15, 6, ROW(Kintoneデータ抽出!$K$2:$K$5000) / ((Kintoneデータ抽出!$K$2:$K$5000="院内")), ROW(A107)))&lt;&gt;"",INDEX(Kintoneデータ抽出!G:G, _xlfn.AGGREGATE(15, 6, ROW(Kintoneデータ抽出!$K$2:$K$5000) / ((Kintoneデータ抽出!$K$2:$K$5000="院内")), ROW(A107)))&amp;"名",""), "")</f>
        <v/>
      </c>
      <c r="J144" s="76" t="str">
        <f t="array" ref="J144">IFERROR(IF(INDEX(Kintoneデータ抽出!E:E, _xlfn.AGGREGATE(15, 6, ROW(Kintoneデータ抽出!$K$2:$K$5000) / ((Kintoneデータ抽出!$K$2:$K$5000="院内")), ROW(A107)))&lt;&gt;"",
YEAR(INDEX(Kintoneデータ抽出!E:E, _xlfn.AGGREGATE(15, 6, ROW(Kintoneデータ抽出!$K$2:$K$5000) / ((Kintoneデータ抽出!$K$2:$K$5000="院内")), ROW(A107))))&amp;"年"
&amp;MONTH(INDEX(Kintoneデータ抽出!E:E, _xlfn.AGGREGATE(15, 6, ROW(Kintoneデータ抽出!$K$2:$K$5000) / ((Kintoneデータ抽出!$K$2:$K$5000="院内")), ROW(A107))))&amp;"月"
&amp;DAY(INDEX(Kintoneデータ抽出!E:E, _xlfn.AGGREGATE(15, 6, ROW(Kintoneデータ抽出!$K$2:$K$5000) /((Kintoneデータ抽出!$K$2:$K$5000="院内")), ROW(A107))))&amp;"日",""), "")</f>
        <v/>
      </c>
      <c r="K144" s="77" t="str" cm="1">
        <f t="array" ref="K144">IFERROR(IF(INDEX(Kintoneデータ抽出!F:F, _xlfn.AGGREGATE(15, 6, ROW(Kintoneデータ抽出!$K$2:$K$5000) / ((Kintoneデータ抽出!$K$2:$K$5000="院内")), ROW(A107)))&lt;&gt;"",
VLOOKUP(INDEX(Kintoneデータ抽出!F:F, _xlfn.AGGREGATE(15, 6, ROW(Kintoneデータ抽出!$K$2:$K$5000) / ((Kintoneデータ抽出!$K$2:$K$5000="院内")), ROW(A107))),基本開園日の表記!$A$2:$B$13,2,FALSE),""), "")</f>
        <v/>
      </c>
      <c r="L144" s="75" t="str">
        <f t="array" ref="L144">IFERROR(IF(INDEX(Kintoneデータ抽出!F:F, _xlfn.AGGREGATE(15, 6, ROW(Kintoneデータ抽出!$K$2:$K$5000) / ((Kintoneデータ抽出!$K$2:$K$5000="院内")), ROW(A107)))&lt;&gt;"",
IF(COUNTIF(INDEX(Kintoneデータ抽出!F:F, _xlfn.AGGREGATE(15, 6, ROW(Kintoneデータ抽出!$K$2:$K$5000) / ((Kintoneデータ抽出!$K$2:$K$5000="院内")), ROW(A107))),"*あり*"),"夜間",""),""), "")</f>
        <v/>
      </c>
      <c r="M144" s="75" t="str">
        <f t="array" ref="M144">IFERROR(IF(INDEX(Kintoneデータ抽出!I:I, _xlfn.AGGREGATE(15, 6, ROW(Kintoneデータ抽出!$K$2:$K$5000) / ((Kintoneデータ抽出!$K$2:$K$5000="院内")), ROW(A107)))&lt;&gt;"",
IF(COUNTIF(INDEX(Kintoneデータ抽出!I:I, _xlfn.AGGREGATE(15, 6, ROW(Kintoneデータ抽出!$K$2:$K$5000) / ((Kintoneデータ抽出!$K$2:$K$5000="院内")), ROW(A107))),"*あり*"),"学童",""),""), "")</f>
        <v/>
      </c>
      <c r="N144" s="75" t="str">
        <f t="array" ref="N144">IFERROR(IF(INDEX(Kintoneデータ抽出!H:H, _xlfn.AGGREGATE(15, 6, ROW(Kintoneデータ抽出!$K$2:$K$5000) / ((Kintoneデータ抽出!$K$2:$K$5000="院内")), ROW(A107)))&lt;&gt;"",
IF(COUNTIF(INDEX(Kintoneデータ抽出!H:H, _xlfn.AGGREGATE(15, 6, ROW(Kintoneデータ抽出!$K$2:$K$5000) / ((Kintoneデータ抽出!$K$2:$K$5000="院内")), ROW(A107))),"*あり*"),"病児",""),""), "")</f>
        <v/>
      </c>
      <c r="O144" s="94" t="str" cm="1">
        <f t="array" ref="O144">IFERROR(
IF(INDEX(Kintoneデータ抽出!M:M, _xlfn.AGGREGATE(15, 6, ROW(Kintoneデータ抽出!$K$2:$K$5000) / ((Kintoneデータ抽出!$K$2:$K$5000="院内")), ROW(A107)))&lt;&gt;0,INDEX(Kintoneデータ抽出!M:M, _xlfn.AGGREGATE(15, 6, ROW(Kintoneデータ抽出!$K$2:$K$5000) / ((Kintoneデータ抽出!$K$2:$K$5000="院内")), ROW(A107))),""), "")</f>
        <v/>
      </c>
      <c r="P144" s="78" t="str">
        <f t="array" ref="P144">IFERROR(IF(INDEX(Kintoneデータ抽出!L:L, _xlfn.AGGREGATE(15, 6, ROW(Kintoneデータ抽出!$K$2:$K$5000) / ((Kintoneデータ抽出!$K$2:$K$5000="院内")), ROW(A107)))&lt;&gt;"",
IF(COUNTIF(INDEX(Kintoneデータ抽出!L:L, _xlfn.AGGREGATE(15, 6, ROW(Kintoneデータ抽出!$K$2:$K$5000) / ((Kintoneデータ抽出!$K$2:$K$5000="院内")), ROW(A107))),"*企業主導型以外*"),"",
IF(COUNTIF(INDEX(Kintoneデータ抽出!L:L, _xlfn.AGGREGATE(15, 6, ROW(Kintoneデータ抽出!$K$2:$K$5000) / ((Kintoneデータ抽出!$K$2:$K$5000="院内")), ROW(A107))),"*その他*"),"",
IF(COUNTIF(INDEX(Kintoneデータ抽出!L:L, _xlfn.AGGREGATE(15, 6, ROW(Kintoneデータ抽出!$K$2:$K$5000) / ((Kintoneデータ抽出!$K$2:$K$5000="院内")), ROW(A107))),"*新制度*"),"新制度","企業主導型"))),""), "")</f>
        <v/>
      </c>
    </row>
    <row r="145" spans="2:16" ht="34.799999999999997" customHeight="1" x14ac:dyDescent="0.45">
      <c r="B145" s="45"/>
      <c r="C145" s="46"/>
      <c r="D145" s="98" t="str">
        <f t="shared" si="2"/>
        <v/>
      </c>
      <c r="E145" s="99"/>
      <c r="F145" s="75" t="str">
        <f t="array" ref="F145">IFERROR(INDEX(Kintoneデータ抽出!A:A, _xlfn.AGGREGATE(15, 6, ROW(Kintoneデータ抽出!$K$2:$K$5000) / ((Kintoneデータ抽出!$K$2:$K$5000="院内")), ROW(A108))), "")</f>
        <v/>
      </c>
      <c r="G145" s="77" t="str">
        <f t="array" ref="G145">IFERROR(INDEX(Kintoneデータ抽出!D:D, _xlfn.AGGREGATE(15, 6, ROW(Kintoneデータ抽出!$K$2:$K$5000) / ((Kintoneデータ抽出!$K$2:$K$5000="院内")), ROW(A108))), "")</f>
        <v/>
      </c>
      <c r="H145" s="77" t="str">
        <f t="array" ref="H145">IFERROR(INDEX(Kintoneデータ抽出!C:C, _xlfn.AGGREGATE(15, 6, ROW(Kintoneデータ抽出!$K$2:$K$5000) / ((Kintoneデータ抽出!$K$2:$K$5000="院内")), ROW(A108))), "")</f>
        <v/>
      </c>
      <c r="I145" s="75" t="str">
        <f t="array" ref="I145">IFERROR(IF(INDEX(Kintoneデータ抽出!G:G, _xlfn.AGGREGATE(15, 6, ROW(Kintoneデータ抽出!$K$2:$K$5000) / ((Kintoneデータ抽出!$K$2:$K$5000="院内")), ROW(A108)))&lt;&gt;"",INDEX(Kintoneデータ抽出!G:G, _xlfn.AGGREGATE(15, 6, ROW(Kintoneデータ抽出!$K$2:$K$5000) / ((Kintoneデータ抽出!$K$2:$K$5000="院内")), ROW(A108)))&amp;"名",""), "")</f>
        <v/>
      </c>
      <c r="J145" s="76" t="str">
        <f t="array" ref="J145">IFERROR(IF(INDEX(Kintoneデータ抽出!E:E, _xlfn.AGGREGATE(15, 6, ROW(Kintoneデータ抽出!$K$2:$K$5000) / ((Kintoneデータ抽出!$K$2:$K$5000="院内")), ROW(A108)))&lt;&gt;"",
YEAR(INDEX(Kintoneデータ抽出!E:E, _xlfn.AGGREGATE(15, 6, ROW(Kintoneデータ抽出!$K$2:$K$5000) / ((Kintoneデータ抽出!$K$2:$K$5000="院内")), ROW(A108))))&amp;"年"
&amp;MONTH(INDEX(Kintoneデータ抽出!E:E, _xlfn.AGGREGATE(15, 6, ROW(Kintoneデータ抽出!$K$2:$K$5000) / ((Kintoneデータ抽出!$K$2:$K$5000="院内")), ROW(A108))))&amp;"月"
&amp;DAY(INDEX(Kintoneデータ抽出!E:E, _xlfn.AGGREGATE(15, 6, ROW(Kintoneデータ抽出!$K$2:$K$5000) /((Kintoneデータ抽出!$K$2:$K$5000="院内")), ROW(A108))))&amp;"日",""), "")</f>
        <v/>
      </c>
      <c r="K145" s="77" t="str" cm="1">
        <f t="array" ref="K145">IFERROR(IF(INDEX(Kintoneデータ抽出!F:F, _xlfn.AGGREGATE(15, 6, ROW(Kintoneデータ抽出!$K$2:$K$5000) / ((Kintoneデータ抽出!$K$2:$K$5000="院内")), ROW(A108)))&lt;&gt;"",
VLOOKUP(INDEX(Kintoneデータ抽出!F:F, _xlfn.AGGREGATE(15, 6, ROW(Kintoneデータ抽出!$K$2:$K$5000) / ((Kintoneデータ抽出!$K$2:$K$5000="院内")), ROW(A108))),基本開園日の表記!$A$2:$B$13,2,FALSE),""), "")</f>
        <v/>
      </c>
      <c r="L145" s="75" t="str">
        <f t="array" ref="L145">IFERROR(IF(INDEX(Kintoneデータ抽出!F:F, _xlfn.AGGREGATE(15, 6, ROW(Kintoneデータ抽出!$K$2:$K$5000) / ((Kintoneデータ抽出!$K$2:$K$5000="院内")), ROW(A108)))&lt;&gt;"",
IF(COUNTIF(INDEX(Kintoneデータ抽出!F:F, _xlfn.AGGREGATE(15, 6, ROW(Kintoneデータ抽出!$K$2:$K$5000) / ((Kintoneデータ抽出!$K$2:$K$5000="院内")), ROW(A108))),"*あり*"),"夜間",""),""), "")</f>
        <v/>
      </c>
      <c r="M145" s="75" t="str">
        <f t="array" ref="M145">IFERROR(IF(INDEX(Kintoneデータ抽出!I:I, _xlfn.AGGREGATE(15, 6, ROW(Kintoneデータ抽出!$K$2:$K$5000) / ((Kintoneデータ抽出!$K$2:$K$5000="院内")), ROW(A108)))&lt;&gt;"",
IF(COUNTIF(INDEX(Kintoneデータ抽出!I:I, _xlfn.AGGREGATE(15, 6, ROW(Kintoneデータ抽出!$K$2:$K$5000) / ((Kintoneデータ抽出!$K$2:$K$5000="院内")), ROW(A108))),"*あり*"),"学童",""),""), "")</f>
        <v/>
      </c>
      <c r="N145" s="75" t="str">
        <f t="array" ref="N145">IFERROR(IF(INDEX(Kintoneデータ抽出!H:H, _xlfn.AGGREGATE(15, 6, ROW(Kintoneデータ抽出!$K$2:$K$5000) / ((Kintoneデータ抽出!$K$2:$K$5000="院内")), ROW(A108)))&lt;&gt;"",
IF(COUNTIF(INDEX(Kintoneデータ抽出!H:H, _xlfn.AGGREGATE(15, 6, ROW(Kintoneデータ抽出!$K$2:$K$5000) / ((Kintoneデータ抽出!$K$2:$K$5000="院内")), ROW(A108))),"*あり*"),"病児",""),""), "")</f>
        <v/>
      </c>
      <c r="O145" s="94" t="str" cm="1">
        <f t="array" ref="O145">IFERROR(
IF(INDEX(Kintoneデータ抽出!M:M, _xlfn.AGGREGATE(15, 6, ROW(Kintoneデータ抽出!$K$2:$K$5000) / ((Kintoneデータ抽出!$K$2:$K$5000="院内")), ROW(A108)))&lt;&gt;0,INDEX(Kintoneデータ抽出!M:M, _xlfn.AGGREGATE(15, 6, ROW(Kintoneデータ抽出!$K$2:$K$5000) / ((Kintoneデータ抽出!$K$2:$K$5000="院内")), ROW(A108))),""), "")</f>
        <v/>
      </c>
      <c r="P145" s="78" t="str">
        <f t="array" ref="P145">IFERROR(IF(INDEX(Kintoneデータ抽出!L:L, _xlfn.AGGREGATE(15, 6, ROW(Kintoneデータ抽出!$K$2:$K$5000) / ((Kintoneデータ抽出!$K$2:$K$5000="院内")), ROW(A108)))&lt;&gt;"",
IF(COUNTIF(INDEX(Kintoneデータ抽出!L:L, _xlfn.AGGREGATE(15, 6, ROW(Kintoneデータ抽出!$K$2:$K$5000) / ((Kintoneデータ抽出!$K$2:$K$5000="院内")), ROW(A108))),"*企業主導型以外*"),"",
IF(COUNTIF(INDEX(Kintoneデータ抽出!L:L, _xlfn.AGGREGATE(15, 6, ROW(Kintoneデータ抽出!$K$2:$K$5000) / ((Kintoneデータ抽出!$K$2:$K$5000="院内")), ROW(A108))),"*その他*"),"",
IF(COUNTIF(INDEX(Kintoneデータ抽出!L:L, _xlfn.AGGREGATE(15, 6, ROW(Kintoneデータ抽出!$K$2:$K$5000) / ((Kintoneデータ抽出!$K$2:$K$5000="院内")), ROW(A108))),"*新制度*"),"新制度","企業主導型"))),""), "")</f>
        <v/>
      </c>
    </row>
    <row r="146" spans="2:16" ht="34.799999999999997" customHeight="1" x14ac:dyDescent="0.45">
      <c r="B146" s="45"/>
      <c r="C146" s="46"/>
      <c r="D146" s="98" t="str">
        <f t="shared" si="2"/>
        <v/>
      </c>
      <c r="E146" s="99"/>
      <c r="F146" s="75" t="str">
        <f t="array" ref="F146">IFERROR(INDEX(Kintoneデータ抽出!A:A, _xlfn.AGGREGATE(15, 6, ROW(Kintoneデータ抽出!$K$2:$K$5000) / ((Kintoneデータ抽出!$K$2:$K$5000="院内")), ROW(A109))), "")</f>
        <v/>
      </c>
      <c r="G146" s="77" t="str">
        <f t="array" ref="G146">IFERROR(INDEX(Kintoneデータ抽出!D:D, _xlfn.AGGREGATE(15, 6, ROW(Kintoneデータ抽出!$K$2:$K$5000) / ((Kintoneデータ抽出!$K$2:$K$5000="院内")), ROW(A109))), "")</f>
        <v/>
      </c>
      <c r="H146" s="77" t="str">
        <f t="array" ref="H146">IFERROR(INDEX(Kintoneデータ抽出!C:C, _xlfn.AGGREGATE(15, 6, ROW(Kintoneデータ抽出!$K$2:$K$5000) / ((Kintoneデータ抽出!$K$2:$K$5000="院内")), ROW(A109))), "")</f>
        <v/>
      </c>
      <c r="I146" s="75" t="str">
        <f t="array" ref="I146">IFERROR(IF(INDEX(Kintoneデータ抽出!G:G, _xlfn.AGGREGATE(15, 6, ROW(Kintoneデータ抽出!$K$2:$K$5000) / ((Kintoneデータ抽出!$K$2:$K$5000="院内")), ROW(A109)))&lt;&gt;"",INDEX(Kintoneデータ抽出!G:G, _xlfn.AGGREGATE(15, 6, ROW(Kintoneデータ抽出!$K$2:$K$5000) / ((Kintoneデータ抽出!$K$2:$K$5000="院内")), ROW(A109)))&amp;"名",""), "")</f>
        <v/>
      </c>
      <c r="J146" s="76" t="str">
        <f t="array" ref="J146">IFERROR(IF(INDEX(Kintoneデータ抽出!E:E, _xlfn.AGGREGATE(15, 6, ROW(Kintoneデータ抽出!$K$2:$K$5000) / ((Kintoneデータ抽出!$K$2:$K$5000="院内")), ROW(A109)))&lt;&gt;"",
YEAR(INDEX(Kintoneデータ抽出!E:E, _xlfn.AGGREGATE(15, 6, ROW(Kintoneデータ抽出!$K$2:$K$5000) / ((Kintoneデータ抽出!$K$2:$K$5000="院内")), ROW(A109))))&amp;"年"
&amp;MONTH(INDEX(Kintoneデータ抽出!E:E, _xlfn.AGGREGATE(15, 6, ROW(Kintoneデータ抽出!$K$2:$K$5000) / ((Kintoneデータ抽出!$K$2:$K$5000="院内")), ROW(A109))))&amp;"月"
&amp;DAY(INDEX(Kintoneデータ抽出!E:E, _xlfn.AGGREGATE(15, 6, ROW(Kintoneデータ抽出!$K$2:$K$5000) /((Kintoneデータ抽出!$K$2:$K$5000="院内")), ROW(A109))))&amp;"日",""), "")</f>
        <v/>
      </c>
      <c r="K146" s="77" t="str" cm="1">
        <f t="array" ref="K146">IFERROR(IF(INDEX(Kintoneデータ抽出!F:F, _xlfn.AGGREGATE(15, 6, ROW(Kintoneデータ抽出!$K$2:$K$5000) / ((Kintoneデータ抽出!$K$2:$K$5000="院内")), ROW(A109)))&lt;&gt;"",
VLOOKUP(INDEX(Kintoneデータ抽出!F:F, _xlfn.AGGREGATE(15, 6, ROW(Kintoneデータ抽出!$K$2:$K$5000) / ((Kintoneデータ抽出!$K$2:$K$5000="院内")), ROW(A109))),基本開園日の表記!$A$2:$B$13,2,FALSE),""), "")</f>
        <v/>
      </c>
      <c r="L146" s="75" t="str">
        <f t="array" ref="L146">IFERROR(IF(INDEX(Kintoneデータ抽出!F:F, _xlfn.AGGREGATE(15, 6, ROW(Kintoneデータ抽出!$K$2:$K$5000) / ((Kintoneデータ抽出!$K$2:$K$5000="院内")), ROW(A109)))&lt;&gt;"",
IF(COUNTIF(INDEX(Kintoneデータ抽出!F:F, _xlfn.AGGREGATE(15, 6, ROW(Kintoneデータ抽出!$K$2:$K$5000) / ((Kintoneデータ抽出!$K$2:$K$5000="院内")), ROW(A109))),"*あり*"),"夜間",""),""), "")</f>
        <v/>
      </c>
      <c r="M146" s="75" t="str">
        <f t="array" ref="M146">IFERROR(IF(INDEX(Kintoneデータ抽出!I:I, _xlfn.AGGREGATE(15, 6, ROW(Kintoneデータ抽出!$K$2:$K$5000) / ((Kintoneデータ抽出!$K$2:$K$5000="院内")), ROW(A109)))&lt;&gt;"",
IF(COUNTIF(INDEX(Kintoneデータ抽出!I:I, _xlfn.AGGREGATE(15, 6, ROW(Kintoneデータ抽出!$K$2:$K$5000) / ((Kintoneデータ抽出!$K$2:$K$5000="院内")), ROW(A109))),"*あり*"),"学童",""),""), "")</f>
        <v/>
      </c>
      <c r="N146" s="75" t="str">
        <f t="array" ref="N146">IFERROR(IF(INDEX(Kintoneデータ抽出!H:H, _xlfn.AGGREGATE(15, 6, ROW(Kintoneデータ抽出!$K$2:$K$5000) / ((Kintoneデータ抽出!$K$2:$K$5000="院内")), ROW(A109)))&lt;&gt;"",
IF(COUNTIF(INDEX(Kintoneデータ抽出!H:H, _xlfn.AGGREGATE(15, 6, ROW(Kintoneデータ抽出!$K$2:$K$5000) / ((Kintoneデータ抽出!$K$2:$K$5000="院内")), ROW(A109))),"*あり*"),"病児",""),""), "")</f>
        <v/>
      </c>
      <c r="O146" s="94" t="str" cm="1">
        <f t="array" ref="O146">IFERROR(
IF(INDEX(Kintoneデータ抽出!M:M, _xlfn.AGGREGATE(15, 6, ROW(Kintoneデータ抽出!$K$2:$K$5000) / ((Kintoneデータ抽出!$K$2:$K$5000="院内")), ROW(A109)))&lt;&gt;0,INDEX(Kintoneデータ抽出!M:M, _xlfn.AGGREGATE(15, 6, ROW(Kintoneデータ抽出!$K$2:$K$5000) / ((Kintoneデータ抽出!$K$2:$K$5000="院内")), ROW(A109))),""), "")</f>
        <v/>
      </c>
      <c r="P146" s="78" t="str">
        <f t="array" ref="P146">IFERROR(IF(INDEX(Kintoneデータ抽出!L:L, _xlfn.AGGREGATE(15, 6, ROW(Kintoneデータ抽出!$K$2:$K$5000) / ((Kintoneデータ抽出!$K$2:$K$5000="院内")), ROW(A109)))&lt;&gt;"",
IF(COUNTIF(INDEX(Kintoneデータ抽出!L:L, _xlfn.AGGREGATE(15, 6, ROW(Kintoneデータ抽出!$K$2:$K$5000) / ((Kintoneデータ抽出!$K$2:$K$5000="院内")), ROW(A109))),"*企業主導型以外*"),"",
IF(COUNTIF(INDEX(Kintoneデータ抽出!L:L, _xlfn.AGGREGATE(15, 6, ROW(Kintoneデータ抽出!$K$2:$K$5000) / ((Kintoneデータ抽出!$K$2:$K$5000="院内")), ROW(A109))),"*その他*"),"",
IF(COUNTIF(INDEX(Kintoneデータ抽出!L:L, _xlfn.AGGREGATE(15, 6, ROW(Kintoneデータ抽出!$K$2:$K$5000) / ((Kintoneデータ抽出!$K$2:$K$5000="院内")), ROW(A109))),"*新制度*"),"新制度","企業主導型"))),""), "")</f>
        <v/>
      </c>
    </row>
    <row r="147" spans="2:16" ht="34.799999999999997" customHeight="1" x14ac:dyDescent="0.45">
      <c r="B147" s="45"/>
      <c r="C147" s="46"/>
      <c r="D147" s="98" t="str">
        <f t="shared" si="2"/>
        <v/>
      </c>
      <c r="E147" s="99"/>
      <c r="F147" s="75" t="str">
        <f t="array" ref="F147">IFERROR(INDEX(Kintoneデータ抽出!A:A, _xlfn.AGGREGATE(15, 6, ROW(Kintoneデータ抽出!$K$2:$K$5000) / ((Kintoneデータ抽出!$K$2:$K$5000="院内")), ROW(A110))), "")</f>
        <v/>
      </c>
      <c r="G147" s="77" t="str">
        <f t="array" ref="G147">IFERROR(INDEX(Kintoneデータ抽出!D:D, _xlfn.AGGREGATE(15, 6, ROW(Kintoneデータ抽出!$K$2:$K$5000) / ((Kintoneデータ抽出!$K$2:$K$5000="院内")), ROW(A110))), "")</f>
        <v/>
      </c>
      <c r="H147" s="77" t="str">
        <f t="array" ref="H147">IFERROR(INDEX(Kintoneデータ抽出!C:C, _xlfn.AGGREGATE(15, 6, ROW(Kintoneデータ抽出!$K$2:$K$5000) / ((Kintoneデータ抽出!$K$2:$K$5000="院内")), ROW(A110))), "")</f>
        <v/>
      </c>
      <c r="I147" s="75" t="str">
        <f t="array" ref="I147">IFERROR(IF(INDEX(Kintoneデータ抽出!G:G, _xlfn.AGGREGATE(15, 6, ROW(Kintoneデータ抽出!$K$2:$K$5000) / ((Kintoneデータ抽出!$K$2:$K$5000="院内")), ROW(A110)))&lt;&gt;"",INDEX(Kintoneデータ抽出!G:G, _xlfn.AGGREGATE(15, 6, ROW(Kintoneデータ抽出!$K$2:$K$5000) / ((Kintoneデータ抽出!$K$2:$K$5000="院内")), ROW(A110)))&amp;"名",""), "")</f>
        <v/>
      </c>
      <c r="J147" s="76" t="str">
        <f t="array" ref="J147">IFERROR(IF(INDEX(Kintoneデータ抽出!E:E, _xlfn.AGGREGATE(15, 6, ROW(Kintoneデータ抽出!$K$2:$K$5000) / ((Kintoneデータ抽出!$K$2:$K$5000="院内")), ROW(A110)))&lt;&gt;"",
YEAR(INDEX(Kintoneデータ抽出!E:E, _xlfn.AGGREGATE(15, 6, ROW(Kintoneデータ抽出!$K$2:$K$5000) / ((Kintoneデータ抽出!$K$2:$K$5000="院内")), ROW(A110))))&amp;"年"
&amp;MONTH(INDEX(Kintoneデータ抽出!E:E, _xlfn.AGGREGATE(15, 6, ROW(Kintoneデータ抽出!$K$2:$K$5000) / ((Kintoneデータ抽出!$K$2:$K$5000="院内")), ROW(A110))))&amp;"月"
&amp;DAY(INDEX(Kintoneデータ抽出!E:E, _xlfn.AGGREGATE(15, 6, ROW(Kintoneデータ抽出!$K$2:$K$5000) /((Kintoneデータ抽出!$K$2:$K$5000="院内")), ROW(A110))))&amp;"日",""), "")</f>
        <v/>
      </c>
      <c r="K147" s="77" t="str" cm="1">
        <f t="array" ref="K147">IFERROR(IF(INDEX(Kintoneデータ抽出!F:F, _xlfn.AGGREGATE(15, 6, ROW(Kintoneデータ抽出!$K$2:$K$5000) / ((Kintoneデータ抽出!$K$2:$K$5000="院内")), ROW(A110)))&lt;&gt;"",
VLOOKUP(INDEX(Kintoneデータ抽出!F:F, _xlfn.AGGREGATE(15, 6, ROW(Kintoneデータ抽出!$K$2:$K$5000) / ((Kintoneデータ抽出!$K$2:$K$5000="院内")), ROW(A110))),基本開園日の表記!$A$2:$B$13,2,FALSE),""), "")</f>
        <v/>
      </c>
      <c r="L147" s="75" t="str">
        <f t="array" ref="L147">IFERROR(IF(INDEX(Kintoneデータ抽出!F:F, _xlfn.AGGREGATE(15, 6, ROW(Kintoneデータ抽出!$K$2:$K$5000) / ((Kintoneデータ抽出!$K$2:$K$5000="院内")), ROW(A110)))&lt;&gt;"",
IF(COUNTIF(INDEX(Kintoneデータ抽出!F:F, _xlfn.AGGREGATE(15, 6, ROW(Kintoneデータ抽出!$K$2:$K$5000) / ((Kintoneデータ抽出!$K$2:$K$5000="院内")), ROW(A110))),"*あり*"),"夜間",""),""), "")</f>
        <v/>
      </c>
      <c r="M147" s="75" t="str">
        <f t="array" ref="M147">IFERROR(IF(INDEX(Kintoneデータ抽出!I:I, _xlfn.AGGREGATE(15, 6, ROW(Kintoneデータ抽出!$K$2:$K$5000) / ((Kintoneデータ抽出!$K$2:$K$5000="院内")), ROW(A110)))&lt;&gt;"",
IF(COUNTIF(INDEX(Kintoneデータ抽出!I:I, _xlfn.AGGREGATE(15, 6, ROW(Kintoneデータ抽出!$K$2:$K$5000) / ((Kintoneデータ抽出!$K$2:$K$5000="院内")), ROW(A110))),"*あり*"),"学童",""),""), "")</f>
        <v/>
      </c>
      <c r="N147" s="75" t="str">
        <f t="array" ref="N147">IFERROR(IF(INDEX(Kintoneデータ抽出!H:H, _xlfn.AGGREGATE(15, 6, ROW(Kintoneデータ抽出!$K$2:$K$5000) / ((Kintoneデータ抽出!$K$2:$K$5000="院内")), ROW(A110)))&lt;&gt;"",
IF(COUNTIF(INDEX(Kintoneデータ抽出!H:H, _xlfn.AGGREGATE(15, 6, ROW(Kintoneデータ抽出!$K$2:$K$5000) / ((Kintoneデータ抽出!$K$2:$K$5000="院内")), ROW(A110))),"*あり*"),"病児",""),""), "")</f>
        <v/>
      </c>
      <c r="O147" s="94" t="str" cm="1">
        <f t="array" ref="O147">IFERROR(
IF(INDEX(Kintoneデータ抽出!M:M, _xlfn.AGGREGATE(15, 6, ROW(Kintoneデータ抽出!$K$2:$K$5000) / ((Kintoneデータ抽出!$K$2:$K$5000="院内")), ROW(A110)))&lt;&gt;0,INDEX(Kintoneデータ抽出!M:M, _xlfn.AGGREGATE(15, 6, ROW(Kintoneデータ抽出!$K$2:$K$5000) / ((Kintoneデータ抽出!$K$2:$K$5000="院内")), ROW(A110))),""), "")</f>
        <v/>
      </c>
      <c r="P147" s="78" t="str">
        <f t="array" ref="P147">IFERROR(IF(INDEX(Kintoneデータ抽出!L:L, _xlfn.AGGREGATE(15, 6, ROW(Kintoneデータ抽出!$K$2:$K$5000) / ((Kintoneデータ抽出!$K$2:$K$5000="院内")), ROW(A110)))&lt;&gt;"",
IF(COUNTIF(INDEX(Kintoneデータ抽出!L:L, _xlfn.AGGREGATE(15, 6, ROW(Kintoneデータ抽出!$K$2:$K$5000) / ((Kintoneデータ抽出!$K$2:$K$5000="院内")), ROW(A110))),"*企業主導型以外*"),"",
IF(COUNTIF(INDEX(Kintoneデータ抽出!L:L, _xlfn.AGGREGATE(15, 6, ROW(Kintoneデータ抽出!$K$2:$K$5000) / ((Kintoneデータ抽出!$K$2:$K$5000="院内")), ROW(A110))),"*その他*"),"",
IF(COUNTIF(INDEX(Kintoneデータ抽出!L:L, _xlfn.AGGREGATE(15, 6, ROW(Kintoneデータ抽出!$K$2:$K$5000) / ((Kintoneデータ抽出!$K$2:$K$5000="院内")), ROW(A110))),"*新制度*"),"新制度","企業主導型"))),""), "")</f>
        <v/>
      </c>
    </row>
    <row r="148" spans="2:16" ht="34.799999999999997" customHeight="1" x14ac:dyDescent="0.45">
      <c r="B148" s="45"/>
      <c r="C148" s="46"/>
      <c r="D148" s="98" t="str">
        <f t="shared" si="2"/>
        <v/>
      </c>
      <c r="E148" s="99"/>
      <c r="F148" s="75" t="str">
        <f t="array" ref="F148">IFERROR(INDEX(Kintoneデータ抽出!A:A, _xlfn.AGGREGATE(15, 6, ROW(Kintoneデータ抽出!$K$2:$K$5000) / ((Kintoneデータ抽出!$K$2:$K$5000="院内")), ROW(A111))), "")</f>
        <v/>
      </c>
      <c r="G148" s="77" t="str">
        <f t="array" ref="G148">IFERROR(INDEX(Kintoneデータ抽出!D:D, _xlfn.AGGREGATE(15, 6, ROW(Kintoneデータ抽出!$K$2:$K$5000) / ((Kintoneデータ抽出!$K$2:$K$5000="院内")), ROW(A111))), "")</f>
        <v/>
      </c>
      <c r="H148" s="77" t="str">
        <f t="array" ref="H148">IFERROR(INDEX(Kintoneデータ抽出!C:C, _xlfn.AGGREGATE(15, 6, ROW(Kintoneデータ抽出!$K$2:$K$5000) / ((Kintoneデータ抽出!$K$2:$K$5000="院内")), ROW(A111))), "")</f>
        <v/>
      </c>
      <c r="I148" s="75" t="str">
        <f t="array" ref="I148">IFERROR(IF(INDEX(Kintoneデータ抽出!G:G, _xlfn.AGGREGATE(15, 6, ROW(Kintoneデータ抽出!$K$2:$K$5000) / ((Kintoneデータ抽出!$K$2:$K$5000="院内")), ROW(A111)))&lt;&gt;"",INDEX(Kintoneデータ抽出!G:G, _xlfn.AGGREGATE(15, 6, ROW(Kintoneデータ抽出!$K$2:$K$5000) / ((Kintoneデータ抽出!$K$2:$K$5000="院内")), ROW(A111)))&amp;"名",""), "")</f>
        <v/>
      </c>
      <c r="J148" s="76" t="str">
        <f t="array" ref="J148">IFERROR(IF(INDEX(Kintoneデータ抽出!E:E, _xlfn.AGGREGATE(15, 6, ROW(Kintoneデータ抽出!$K$2:$K$5000) / ((Kintoneデータ抽出!$K$2:$K$5000="院内")), ROW(A111)))&lt;&gt;"",
YEAR(INDEX(Kintoneデータ抽出!E:E, _xlfn.AGGREGATE(15, 6, ROW(Kintoneデータ抽出!$K$2:$K$5000) / ((Kintoneデータ抽出!$K$2:$K$5000="院内")), ROW(A111))))&amp;"年"
&amp;MONTH(INDEX(Kintoneデータ抽出!E:E, _xlfn.AGGREGATE(15, 6, ROW(Kintoneデータ抽出!$K$2:$K$5000) / ((Kintoneデータ抽出!$K$2:$K$5000="院内")), ROW(A111))))&amp;"月"
&amp;DAY(INDEX(Kintoneデータ抽出!E:E, _xlfn.AGGREGATE(15, 6, ROW(Kintoneデータ抽出!$K$2:$K$5000) /((Kintoneデータ抽出!$K$2:$K$5000="院内")), ROW(A111))))&amp;"日",""), "")</f>
        <v/>
      </c>
      <c r="K148" s="77" t="str" cm="1">
        <f t="array" ref="K148">IFERROR(IF(INDEX(Kintoneデータ抽出!F:F, _xlfn.AGGREGATE(15, 6, ROW(Kintoneデータ抽出!$K$2:$K$5000) / ((Kintoneデータ抽出!$K$2:$K$5000="院内")), ROW(A111)))&lt;&gt;"",
VLOOKUP(INDEX(Kintoneデータ抽出!F:F, _xlfn.AGGREGATE(15, 6, ROW(Kintoneデータ抽出!$K$2:$K$5000) / ((Kintoneデータ抽出!$K$2:$K$5000="院内")), ROW(A111))),基本開園日の表記!$A$2:$B$13,2,FALSE),""), "")</f>
        <v/>
      </c>
      <c r="L148" s="75" t="str">
        <f t="array" ref="L148">IFERROR(IF(INDEX(Kintoneデータ抽出!F:F, _xlfn.AGGREGATE(15, 6, ROW(Kintoneデータ抽出!$K$2:$K$5000) / ((Kintoneデータ抽出!$K$2:$K$5000="院内")), ROW(A111)))&lt;&gt;"",
IF(COUNTIF(INDEX(Kintoneデータ抽出!F:F, _xlfn.AGGREGATE(15, 6, ROW(Kintoneデータ抽出!$K$2:$K$5000) / ((Kintoneデータ抽出!$K$2:$K$5000="院内")), ROW(A111))),"*あり*"),"夜間",""),""), "")</f>
        <v/>
      </c>
      <c r="M148" s="75" t="str">
        <f t="array" ref="M148">IFERROR(IF(INDEX(Kintoneデータ抽出!I:I, _xlfn.AGGREGATE(15, 6, ROW(Kintoneデータ抽出!$K$2:$K$5000) / ((Kintoneデータ抽出!$K$2:$K$5000="院内")), ROW(A111)))&lt;&gt;"",
IF(COUNTIF(INDEX(Kintoneデータ抽出!I:I, _xlfn.AGGREGATE(15, 6, ROW(Kintoneデータ抽出!$K$2:$K$5000) / ((Kintoneデータ抽出!$K$2:$K$5000="院内")), ROW(A111))),"*あり*"),"学童",""),""), "")</f>
        <v/>
      </c>
      <c r="N148" s="75" t="str">
        <f t="array" ref="N148">IFERROR(IF(INDEX(Kintoneデータ抽出!H:H, _xlfn.AGGREGATE(15, 6, ROW(Kintoneデータ抽出!$K$2:$K$5000) / ((Kintoneデータ抽出!$K$2:$K$5000="院内")), ROW(A111)))&lt;&gt;"",
IF(COUNTIF(INDEX(Kintoneデータ抽出!H:H, _xlfn.AGGREGATE(15, 6, ROW(Kintoneデータ抽出!$K$2:$K$5000) / ((Kintoneデータ抽出!$K$2:$K$5000="院内")), ROW(A111))),"*あり*"),"病児",""),""), "")</f>
        <v/>
      </c>
      <c r="O148" s="94" t="str" cm="1">
        <f t="array" ref="O148">IFERROR(
IF(INDEX(Kintoneデータ抽出!M:M, _xlfn.AGGREGATE(15, 6, ROW(Kintoneデータ抽出!$K$2:$K$5000) / ((Kintoneデータ抽出!$K$2:$K$5000="院内")), ROW(A111)))&lt;&gt;0,INDEX(Kintoneデータ抽出!M:M, _xlfn.AGGREGATE(15, 6, ROW(Kintoneデータ抽出!$K$2:$K$5000) / ((Kintoneデータ抽出!$K$2:$K$5000="院内")), ROW(A111))),""), "")</f>
        <v/>
      </c>
      <c r="P148" s="78" t="str">
        <f t="array" ref="P148">IFERROR(IF(INDEX(Kintoneデータ抽出!L:L, _xlfn.AGGREGATE(15, 6, ROW(Kintoneデータ抽出!$K$2:$K$5000) / ((Kintoneデータ抽出!$K$2:$K$5000="院内")), ROW(A111)))&lt;&gt;"",
IF(COUNTIF(INDEX(Kintoneデータ抽出!L:L, _xlfn.AGGREGATE(15, 6, ROW(Kintoneデータ抽出!$K$2:$K$5000) / ((Kintoneデータ抽出!$K$2:$K$5000="院内")), ROW(A111))),"*企業主導型以外*"),"",
IF(COUNTIF(INDEX(Kintoneデータ抽出!L:L, _xlfn.AGGREGATE(15, 6, ROW(Kintoneデータ抽出!$K$2:$K$5000) / ((Kintoneデータ抽出!$K$2:$K$5000="院内")), ROW(A111))),"*その他*"),"",
IF(COUNTIF(INDEX(Kintoneデータ抽出!L:L, _xlfn.AGGREGATE(15, 6, ROW(Kintoneデータ抽出!$K$2:$K$5000) / ((Kintoneデータ抽出!$K$2:$K$5000="院内")), ROW(A111))),"*新制度*"),"新制度","企業主導型"))),""), "")</f>
        <v/>
      </c>
    </row>
    <row r="149" spans="2:16" ht="34.799999999999997" customHeight="1" x14ac:dyDescent="0.45">
      <c r="B149" s="45"/>
      <c r="C149" s="46"/>
      <c r="D149" s="98" t="str">
        <f t="shared" si="2"/>
        <v/>
      </c>
      <c r="E149" s="99"/>
      <c r="F149" s="75" t="str">
        <f t="array" ref="F149">IFERROR(INDEX(Kintoneデータ抽出!A:A, _xlfn.AGGREGATE(15, 6, ROW(Kintoneデータ抽出!$K$2:$K$5000) / ((Kintoneデータ抽出!$K$2:$K$5000="院内")), ROW(A112))), "")</f>
        <v/>
      </c>
      <c r="G149" s="77" t="str">
        <f t="array" ref="G149">IFERROR(INDEX(Kintoneデータ抽出!D:D, _xlfn.AGGREGATE(15, 6, ROW(Kintoneデータ抽出!$K$2:$K$5000) / ((Kintoneデータ抽出!$K$2:$K$5000="院内")), ROW(A112))), "")</f>
        <v/>
      </c>
      <c r="H149" s="77" t="str">
        <f t="array" ref="H149">IFERROR(INDEX(Kintoneデータ抽出!C:C, _xlfn.AGGREGATE(15, 6, ROW(Kintoneデータ抽出!$K$2:$K$5000) / ((Kintoneデータ抽出!$K$2:$K$5000="院内")), ROW(A112))), "")</f>
        <v/>
      </c>
      <c r="I149" s="75" t="str">
        <f t="array" ref="I149">IFERROR(IF(INDEX(Kintoneデータ抽出!G:G, _xlfn.AGGREGATE(15, 6, ROW(Kintoneデータ抽出!$K$2:$K$5000) / ((Kintoneデータ抽出!$K$2:$K$5000="院内")), ROW(A112)))&lt;&gt;"",INDEX(Kintoneデータ抽出!G:G, _xlfn.AGGREGATE(15, 6, ROW(Kintoneデータ抽出!$K$2:$K$5000) / ((Kintoneデータ抽出!$K$2:$K$5000="院内")), ROW(A112)))&amp;"名",""), "")</f>
        <v/>
      </c>
      <c r="J149" s="76" t="str">
        <f t="array" ref="J149">IFERROR(IF(INDEX(Kintoneデータ抽出!E:E, _xlfn.AGGREGATE(15, 6, ROW(Kintoneデータ抽出!$K$2:$K$5000) / ((Kintoneデータ抽出!$K$2:$K$5000="院内")), ROW(A112)))&lt;&gt;"",
YEAR(INDEX(Kintoneデータ抽出!E:E, _xlfn.AGGREGATE(15, 6, ROW(Kintoneデータ抽出!$K$2:$K$5000) / ((Kintoneデータ抽出!$K$2:$K$5000="院内")), ROW(A112))))&amp;"年"
&amp;MONTH(INDEX(Kintoneデータ抽出!E:E, _xlfn.AGGREGATE(15, 6, ROW(Kintoneデータ抽出!$K$2:$K$5000) / ((Kintoneデータ抽出!$K$2:$K$5000="院内")), ROW(A112))))&amp;"月"
&amp;DAY(INDEX(Kintoneデータ抽出!E:E, _xlfn.AGGREGATE(15, 6, ROW(Kintoneデータ抽出!$K$2:$K$5000) /((Kintoneデータ抽出!$K$2:$K$5000="院内")), ROW(A112))))&amp;"日",""), "")</f>
        <v/>
      </c>
      <c r="K149" s="77" t="str" cm="1">
        <f t="array" ref="K149">IFERROR(IF(INDEX(Kintoneデータ抽出!F:F, _xlfn.AGGREGATE(15, 6, ROW(Kintoneデータ抽出!$K$2:$K$5000) / ((Kintoneデータ抽出!$K$2:$K$5000="院内")), ROW(A112)))&lt;&gt;"",
VLOOKUP(INDEX(Kintoneデータ抽出!F:F, _xlfn.AGGREGATE(15, 6, ROW(Kintoneデータ抽出!$K$2:$K$5000) / ((Kintoneデータ抽出!$K$2:$K$5000="院内")), ROW(A112))),基本開園日の表記!$A$2:$B$13,2,FALSE),""), "")</f>
        <v/>
      </c>
      <c r="L149" s="75" t="str">
        <f t="array" ref="L149">IFERROR(IF(INDEX(Kintoneデータ抽出!F:F, _xlfn.AGGREGATE(15, 6, ROW(Kintoneデータ抽出!$K$2:$K$5000) / ((Kintoneデータ抽出!$K$2:$K$5000="院内")), ROW(A112)))&lt;&gt;"",
IF(COUNTIF(INDEX(Kintoneデータ抽出!F:F, _xlfn.AGGREGATE(15, 6, ROW(Kintoneデータ抽出!$K$2:$K$5000) / ((Kintoneデータ抽出!$K$2:$K$5000="院内")), ROW(A112))),"*あり*"),"夜間",""),""), "")</f>
        <v/>
      </c>
      <c r="M149" s="75" t="str">
        <f t="array" ref="M149">IFERROR(IF(INDEX(Kintoneデータ抽出!I:I, _xlfn.AGGREGATE(15, 6, ROW(Kintoneデータ抽出!$K$2:$K$5000) / ((Kintoneデータ抽出!$K$2:$K$5000="院内")), ROW(A112)))&lt;&gt;"",
IF(COUNTIF(INDEX(Kintoneデータ抽出!I:I, _xlfn.AGGREGATE(15, 6, ROW(Kintoneデータ抽出!$K$2:$K$5000) / ((Kintoneデータ抽出!$K$2:$K$5000="院内")), ROW(A112))),"*あり*"),"学童",""),""), "")</f>
        <v/>
      </c>
      <c r="N149" s="75" t="str">
        <f t="array" ref="N149">IFERROR(IF(INDEX(Kintoneデータ抽出!H:H, _xlfn.AGGREGATE(15, 6, ROW(Kintoneデータ抽出!$K$2:$K$5000) / ((Kintoneデータ抽出!$K$2:$K$5000="院内")), ROW(A112)))&lt;&gt;"",
IF(COUNTIF(INDEX(Kintoneデータ抽出!H:H, _xlfn.AGGREGATE(15, 6, ROW(Kintoneデータ抽出!$K$2:$K$5000) / ((Kintoneデータ抽出!$K$2:$K$5000="院内")), ROW(A112))),"*あり*"),"病児",""),""), "")</f>
        <v/>
      </c>
      <c r="O149" s="94" t="str" cm="1">
        <f t="array" ref="O149">IFERROR(
IF(INDEX(Kintoneデータ抽出!M:M, _xlfn.AGGREGATE(15, 6, ROW(Kintoneデータ抽出!$K$2:$K$5000) / ((Kintoneデータ抽出!$K$2:$K$5000="院内")), ROW(A112)))&lt;&gt;0,INDEX(Kintoneデータ抽出!M:M, _xlfn.AGGREGATE(15, 6, ROW(Kintoneデータ抽出!$K$2:$K$5000) / ((Kintoneデータ抽出!$K$2:$K$5000="院内")), ROW(A112))),""), "")</f>
        <v/>
      </c>
      <c r="P149" s="78" t="str">
        <f t="array" ref="P149">IFERROR(IF(INDEX(Kintoneデータ抽出!L:L, _xlfn.AGGREGATE(15, 6, ROW(Kintoneデータ抽出!$K$2:$K$5000) / ((Kintoneデータ抽出!$K$2:$K$5000="院内")), ROW(A112)))&lt;&gt;"",
IF(COUNTIF(INDEX(Kintoneデータ抽出!L:L, _xlfn.AGGREGATE(15, 6, ROW(Kintoneデータ抽出!$K$2:$K$5000) / ((Kintoneデータ抽出!$K$2:$K$5000="院内")), ROW(A112))),"*企業主導型以外*"),"",
IF(COUNTIF(INDEX(Kintoneデータ抽出!L:L, _xlfn.AGGREGATE(15, 6, ROW(Kintoneデータ抽出!$K$2:$K$5000) / ((Kintoneデータ抽出!$K$2:$K$5000="院内")), ROW(A112))),"*その他*"),"",
IF(COUNTIF(INDEX(Kintoneデータ抽出!L:L, _xlfn.AGGREGATE(15, 6, ROW(Kintoneデータ抽出!$K$2:$K$5000) / ((Kintoneデータ抽出!$K$2:$K$5000="院内")), ROW(A112))),"*新制度*"),"新制度","企業主導型"))),""), "")</f>
        <v/>
      </c>
    </row>
    <row r="150" spans="2:16" ht="34.799999999999997" customHeight="1" x14ac:dyDescent="0.45">
      <c r="B150" s="45"/>
      <c r="C150" s="46"/>
      <c r="D150" s="98" t="str">
        <f t="shared" si="2"/>
        <v/>
      </c>
      <c r="E150" s="99"/>
      <c r="F150" s="75" t="str">
        <f t="array" ref="F150">IFERROR(INDEX(Kintoneデータ抽出!A:A, _xlfn.AGGREGATE(15, 6, ROW(Kintoneデータ抽出!$K$2:$K$5000) / ((Kintoneデータ抽出!$K$2:$K$5000="院内")), ROW(A113))), "")</f>
        <v/>
      </c>
      <c r="G150" s="77" t="str">
        <f t="array" ref="G150">IFERROR(INDEX(Kintoneデータ抽出!D:D, _xlfn.AGGREGATE(15, 6, ROW(Kintoneデータ抽出!$K$2:$K$5000) / ((Kintoneデータ抽出!$K$2:$K$5000="院内")), ROW(A113))), "")</f>
        <v/>
      </c>
      <c r="H150" s="77" t="str">
        <f t="array" ref="H150">IFERROR(INDEX(Kintoneデータ抽出!C:C, _xlfn.AGGREGATE(15, 6, ROW(Kintoneデータ抽出!$K$2:$K$5000) / ((Kintoneデータ抽出!$K$2:$K$5000="院内")), ROW(A113))), "")</f>
        <v/>
      </c>
      <c r="I150" s="75" t="str">
        <f t="array" ref="I150">IFERROR(IF(INDEX(Kintoneデータ抽出!G:G, _xlfn.AGGREGATE(15, 6, ROW(Kintoneデータ抽出!$K$2:$K$5000) / ((Kintoneデータ抽出!$K$2:$K$5000="院内")), ROW(A113)))&lt;&gt;"",INDEX(Kintoneデータ抽出!G:G, _xlfn.AGGREGATE(15, 6, ROW(Kintoneデータ抽出!$K$2:$K$5000) / ((Kintoneデータ抽出!$K$2:$K$5000="院内")), ROW(A113)))&amp;"名",""), "")</f>
        <v/>
      </c>
      <c r="J150" s="76" t="str">
        <f t="array" ref="J150">IFERROR(IF(INDEX(Kintoneデータ抽出!E:E, _xlfn.AGGREGATE(15, 6, ROW(Kintoneデータ抽出!$K$2:$K$5000) / ((Kintoneデータ抽出!$K$2:$K$5000="院内")), ROW(A113)))&lt;&gt;"",
YEAR(INDEX(Kintoneデータ抽出!E:E, _xlfn.AGGREGATE(15, 6, ROW(Kintoneデータ抽出!$K$2:$K$5000) / ((Kintoneデータ抽出!$K$2:$K$5000="院内")), ROW(A113))))&amp;"年"
&amp;MONTH(INDEX(Kintoneデータ抽出!E:E, _xlfn.AGGREGATE(15, 6, ROW(Kintoneデータ抽出!$K$2:$K$5000) / ((Kintoneデータ抽出!$K$2:$K$5000="院内")), ROW(A113))))&amp;"月"
&amp;DAY(INDEX(Kintoneデータ抽出!E:E, _xlfn.AGGREGATE(15, 6, ROW(Kintoneデータ抽出!$K$2:$K$5000) /((Kintoneデータ抽出!$K$2:$K$5000="院内")), ROW(A113))))&amp;"日",""), "")</f>
        <v/>
      </c>
      <c r="K150" s="77" t="str" cm="1">
        <f t="array" ref="K150">IFERROR(IF(INDEX(Kintoneデータ抽出!F:F, _xlfn.AGGREGATE(15, 6, ROW(Kintoneデータ抽出!$K$2:$K$5000) / ((Kintoneデータ抽出!$K$2:$K$5000="院内")), ROW(A113)))&lt;&gt;"",
VLOOKUP(INDEX(Kintoneデータ抽出!F:F, _xlfn.AGGREGATE(15, 6, ROW(Kintoneデータ抽出!$K$2:$K$5000) / ((Kintoneデータ抽出!$K$2:$K$5000="院内")), ROW(A113))),基本開園日の表記!$A$2:$B$13,2,FALSE),""), "")</f>
        <v/>
      </c>
      <c r="L150" s="75" t="str">
        <f t="array" ref="L150">IFERROR(IF(INDEX(Kintoneデータ抽出!F:F, _xlfn.AGGREGATE(15, 6, ROW(Kintoneデータ抽出!$K$2:$K$5000) / ((Kintoneデータ抽出!$K$2:$K$5000="院内")), ROW(A113)))&lt;&gt;"",
IF(COUNTIF(INDEX(Kintoneデータ抽出!F:F, _xlfn.AGGREGATE(15, 6, ROW(Kintoneデータ抽出!$K$2:$K$5000) / ((Kintoneデータ抽出!$K$2:$K$5000="院内")), ROW(A113))),"*あり*"),"夜間",""),""), "")</f>
        <v/>
      </c>
      <c r="M150" s="75" t="str">
        <f t="array" ref="M150">IFERROR(IF(INDEX(Kintoneデータ抽出!I:I, _xlfn.AGGREGATE(15, 6, ROW(Kintoneデータ抽出!$K$2:$K$5000) / ((Kintoneデータ抽出!$K$2:$K$5000="院内")), ROW(A113)))&lt;&gt;"",
IF(COUNTIF(INDEX(Kintoneデータ抽出!I:I, _xlfn.AGGREGATE(15, 6, ROW(Kintoneデータ抽出!$K$2:$K$5000) / ((Kintoneデータ抽出!$K$2:$K$5000="院内")), ROW(A113))),"*あり*"),"学童",""),""), "")</f>
        <v/>
      </c>
      <c r="N150" s="75" t="str">
        <f t="array" ref="N150">IFERROR(IF(INDEX(Kintoneデータ抽出!H:H, _xlfn.AGGREGATE(15, 6, ROW(Kintoneデータ抽出!$K$2:$K$5000) / ((Kintoneデータ抽出!$K$2:$K$5000="院内")), ROW(A113)))&lt;&gt;"",
IF(COUNTIF(INDEX(Kintoneデータ抽出!H:H, _xlfn.AGGREGATE(15, 6, ROW(Kintoneデータ抽出!$K$2:$K$5000) / ((Kintoneデータ抽出!$K$2:$K$5000="院内")), ROW(A113))),"*あり*"),"病児",""),""), "")</f>
        <v/>
      </c>
      <c r="O150" s="94" t="str" cm="1">
        <f t="array" ref="O150">IFERROR(
IF(INDEX(Kintoneデータ抽出!M:M, _xlfn.AGGREGATE(15, 6, ROW(Kintoneデータ抽出!$K$2:$K$5000) / ((Kintoneデータ抽出!$K$2:$K$5000="院内")), ROW(A113)))&lt;&gt;0,INDEX(Kintoneデータ抽出!M:M, _xlfn.AGGREGATE(15, 6, ROW(Kintoneデータ抽出!$K$2:$K$5000) / ((Kintoneデータ抽出!$K$2:$K$5000="院内")), ROW(A113))),""), "")</f>
        <v/>
      </c>
      <c r="P150" s="78" t="str">
        <f t="array" ref="P150">IFERROR(IF(INDEX(Kintoneデータ抽出!L:L, _xlfn.AGGREGATE(15, 6, ROW(Kintoneデータ抽出!$K$2:$K$5000) / ((Kintoneデータ抽出!$K$2:$K$5000="院内")), ROW(A113)))&lt;&gt;"",
IF(COUNTIF(INDEX(Kintoneデータ抽出!L:L, _xlfn.AGGREGATE(15, 6, ROW(Kintoneデータ抽出!$K$2:$K$5000) / ((Kintoneデータ抽出!$K$2:$K$5000="院内")), ROW(A113))),"*企業主導型以外*"),"",
IF(COUNTIF(INDEX(Kintoneデータ抽出!L:L, _xlfn.AGGREGATE(15, 6, ROW(Kintoneデータ抽出!$K$2:$K$5000) / ((Kintoneデータ抽出!$K$2:$K$5000="院内")), ROW(A113))),"*その他*"),"",
IF(COUNTIF(INDEX(Kintoneデータ抽出!L:L, _xlfn.AGGREGATE(15, 6, ROW(Kintoneデータ抽出!$K$2:$K$5000) / ((Kintoneデータ抽出!$K$2:$K$5000="院内")), ROW(A113))),"*新制度*"),"新制度","企業主導型"))),""), "")</f>
        <v/>
      </c>
    </row>
    <row r="151" spans="2:16" ht="34.799999999999997" customHeight="1" x14ac:dyDescent="0.45">
      <c r="B151" s="45"/>
      <c r="C151" s="46"/>
      <c r="D151" s="98" t="str">
        <f t="shared" si="2"/>
        <v/>
      </c>
      <c r="E151" s="99"/>
      <c r="F151" s="75" t="str">
        <f t="array" ref="F151">IFERROR(INDEX(Kintoneデータ抽出!A:A, _xlfn.AGGREGATE(15, 6, ROW(Kintoneデータ抽出!$K$2:$K$5000) / ((Kintoneデータ抽出!$K$2:$K$5000="院内")), ROW(A114))), "")</f>
        <v/>
      </c>
      <c r="G151" s="77" t="str">
        <f t="array" ref="G151">IFERROR(INDEX(Kintoneデータ抽出!D:D, _xlfn.AGGREGATE(15, 6, ROW(Kintoneデータ抽出!$K$2:$K$5000) / ((Kintoneデータ抽出!$K$2:$K$5000="院内")), ROW(A114))), "")</f>
        <v/>
      </c>
      <c r="H151" s="77" t="str">
        <f t="array" ref="H151">IFERROR(INDEX(Kintoneデータ抽出!C:C, _xlfn.AGGREGATE(15, 6, ROW(Kintoneデータ抽出!$K$2:$K$5000) / ((Kintoneデータ抽出!$K$2:$K$5000="院内")), ROW(A114))), "")</f>
        <v/>
      </c>
      <c r="I151" s="75" t="str">
        <f t="array" ref="I151">IFERROR(IF(INDEX(Kintoneデータ抽出!G:G, _xlfn.AGGREGATE(15, 6, ROW(Kintoneデータ抽出!$K$2:$K$5000) / ((Kintoneデータ抽出!$K$2:$K$5000="院内")), ROW(A114)))&lt;&gt;"",INDEX(Kintoneデータ抽出!G:G, _xlfn.AGGREGATE(15, 6, ROW(Kintoneデータ抽出!$K$2:$K$5000) / ((Kintoneデータ抽出!$K$2:$K$5000="院内")), ROW(A114)))&amp;"名",""), "")</f>
        <v/>
      </c>
      <c r="J151" s="76" t="str">
        <f t="array" ref="J151">IFERROR(IF(INDEX(Kintoneデータ抽出!E:E, _xlfn.AGGREGATE(15, 6, ROW(Kintoneデータ抽出!$K$2:$K$5000) / ((Kintoneデータ抽出!$K$2:$K$5000="院内")), ROW(A114)))&lt;&gt;"",
YEAR(INDEX(Kintoneデータ抽出!E:E, _xlfn.AGGREGATE(15, 6, ROW(Kintoneデータ抽出!$K$2:$K$5000) / ((Kintoneデータ抽出!$K$2:$K$5000="院内")), ROW(A114))))&amp;"年"
&amp;MONTH(INDEX(Kintoneデータ抽出!E:E, _xlfn.AGGREGATE(15, 6, ROW(Kintoneデータ抽出!$K$2:$K$5000) / ((Kintoneデータ抽出!$K$2:$K$5000="院内")), ROW(A114))))&amp;"月"
&amp;DAY(INDEX(Kintoneデータ抽出!E:E, _xlfn.AGGREGATE(15, 6, ROW(Kintoneデータ抽出!$K$2:$K$5000) /((Kintoneデータ抽出!$K$2:$K$5000="院内")), ROW(A114))))&amp;"日",""), "")</f>
        <v/>
      </c>
      <c r="K151" s="77" t="str" cm="1">
        <f t="array" ref="K151">IFERROR(IF(INDEX(Kintoneデータ抽出!F:F, _xlfn.AGGREGATE(15, 6, ROW(Kintoneデータ抽出!$K$2:$K$5000) / ((Kintoneデータ抽出!$K$2:$K$5000="院内")), ROW(A114)))&lt;&gt;"",
VLOOKUP(INDEX(Kintoneデータ抽出!F:F, _xlfn.AGGREGATE(15, 6, ROW(Kintoneデータ抽出!$K$2:$K$5000) / ((Kintoneデータ抽出!$K$2:$K$5000="院内")), ROW(A114))),基本開園日の表記!$A$2:$B$13,2,FALSE),""), "")</f>
        <v/>
      </c>
      <c r="L151" s="75" t="str">
        <f t="array" ref="L151">IFERROR(IF(INDEX(Kintoneデータ抽出!F:F, _xlfn.AGGREGATE(15, 6, ROW(Kintoneデータ抽出!$K$2:$K$5000) / ((Kintoneデータ抽出!$K$2:$K$5000="院内")), ROW(A114)))&lt;&gt;"",
IF(COUNTIF(INDEX(Kintoneデータ抽出!F:F, _xlfn.AGGREGATE(15, 6, ROW(Kintoneデータ抽出!$K$2:$K$5000) / ((Kintoneデータ抽出!$K$2:$K$5000="院内")), ROW(A114))),"*あり*"),"夜間",""),""), "")</f>
        <v/>
      </c>
      <c r="M151" s="75" t="str">
        <f t="array" ref="M151">IFERROR(IF(INDEX(Kintoneデータ抽出!I:I, _xlfn.AGGREGATE(15, 6, ROW(Kintoneデータ抽出!$K$2:$K$5000) / ((Kintoneデータ抽出!$K$2:$K$5000="院内")), ROW(A114)))&lt;&gt;"",
IF(COUNTIF(INDEX(Kintoneデータ抽出!I:I, _xlfn.AGGREGATE(15, 6, ROW(Kintoneデータ抽出!$K$2:$K$5000) / ((Kintoneデータ抽出!$K$2:$K$5000="院内")), ROW(A114))),"*あり*"),"学童",""),""), "")</f>
        <v/>
      </c>
      <c r="N151" s="75" t="str">
        <f t="array" ref="N151">IFERROR(IF(INDEX(Kintoneデータ抽出!H:H, _xlfn.AGGREGATE(15, 6, ROW(Kintoneデータ抽出!$K$2:$K$5000) / ((Kintoneデータ抽出!$K$2:$K$5000="院内")), ROW(A114)))&lt;&gt;"",
IF(COUNTIF(INDEX(Kintoneデータ抽出!H:H, _xlfn.AGGREGATE(15, 6, ROW(Kintoneデータ抽出!$K$2:$K$5000) / ((Kintoneデータ抽出!$K$2:$K$5000="院内")), ROW(A114))),"*あり*"),"病児",""),""), "")</f>
        <v/>
      </c>
      <c r="O151" s="94" t="str" cm="1">
        <f t="array" ref="O151">IFERROR(
IF(INDEX(Kintoneデータ抽出!M:M, _xlfn.AGGREGATE(15, 6, ROW(Kintoneデータ抽出!$K$2:$K$5000) / ((Kintoneデータ抽出!$K$2:$K$5000="院内")), ROW(A114)))&lt;&gt;0,INDEX(Kintoneデータ抽出!M:M, _xlfn.AGGREGATE(15, 6, ROW(Kintoneデータ抽出!$K$2:$K$5000) / ((Kintoneデータ抽出!$K$2:$K$5000="院内")), ROW(A114))),""), "")</f>
        <v/>
      </c>
      <c r="P151" s="78" t="str">
        <f t="array" ref="P151">IFERROR(IF(INDEX(Kintoneデータ抽出!L:L, _xlfn.AGGREGATE(15, 6, ROW(Kintoneデータ抽出!$K$2:$K$5000) / ((Kintoneデータ抽出!$K$2:$K$5000="院内")), ROW(A114)))&lt;&gt;"",
IF(COUNTIF(INDEX(Kintoneデータ抽出!L:L, _xlfn.AGGREGATE(15, 6, ROW(Kintoneデータ抽出!$K$2:$K$5000) / ((Kintoneデータ抽出!$K$2:$K$5000="院内")), ROW(A114))),"*企業主導型以外*"),"",
IF(COUNTIF(INDEX(Kintoneデータ抽出!L:L, _xlfn.AGGREGATE(15, 6, ROW(Kintoneデータ抽出!$K$2:$K$5000) / ((Kintoneデータ抽出!$K$2:$K$5000="院内")), ROW(A114))),"*その他*"),"",
IF(COUNTIF(INDEX(Kintoneデータ抽出!L:L, _xlfn.AGGREGATE(15, 6, ROW(Kintoneデータ抽出!$K$2:$K$5000) / ((Kintoneデータ抽出!$K$2:$K$5000="院内")), ROW(A114))),"*新制度*"),"新制度","企業主導型"))),""), "")</f>
        <v/>
      </c>
    </row>
    <row r="152" spans="2:16" ht="34.799999999999997" customHeight="1" x14ac:dyDescent="0.45">
      <c r="B152" s="45"/>
      <c r="C152" s="46"/>
      <c r="D152" s="98" t="str">
        <f t="shared" si="2"/>
        <v/>
      </c>
      <c r="E152" s="99"/>
      <c r="F152" s="75" t="str">
        <f t="array" ref="F152">IFERROR(INDEX(Kintoneデータ抽出!A:A, _xlfn.AGGREGATE(15, 6, ROW(Kintoneデータ抽出!$K$2:$K$5000) / ((Kintoneデータ抽出!$K$2:$K$5000="院内")), ROW(A115))), "")</f>
        <v/>
      </c>
      <c r="G152" s="77" t="str">
        <f t="array" ref="G152">IFERROR(INDEX(Kintoneデータ抽出!D:D, _xlfn.AGGREGATE(15, 6, ROW(Kintoneデータ抽出!$K$2:$K$5000) / ((Kintoneデータ抽出!$K$2:$K$5000="院内")), ROW(A115))), "")</f>
        <v/>
      </c>
      <c r="H152" s="77" t="str">
        <f t="array" ref="H152">IFERROR(INDEX(Kintoneデータ抽出!C:C, _xlfn.AGGREGATE(15, 6, ROW(Kintoneデータ抽出!$K$2:$K$5000) / ((Kintoneデータ抽出!$K$2:$K$5000="院内")), ROW(A115))), "")</f>
        <v/>
      </c>
      <c r="I152" s="75" t="str">
        <f t="array" ref="I152">IFERROR(IF(INDEX(Kintoneデータ抽出!G:G, _xlfn.AGGREGATE(15, 6, ROW(Kintoneデータ抽出!$K$2:$K$5000) / ((Kintoneデータ抽出!$K$2:$K$5000="院内")), ROW(A115)))&lt;&gt;"",INDEX(Kintoneデータ抽出!G:G, _xlfn.AGGREGATE(15, 6, ROW(Kintoneデータ抽出!$K$2:$K$5000) / ((Kintoneデータ抽出!$K$2:$K$5000="院内")), ROW(A115)))&amp;"名",""), "")</f>
        <v/>
      </c>
      <c r="J152" s="76" t="str">
        <f t="array" ref="J152">IFERROR(IF(INDEX(Kintoneデータ抽出!E:E, _xlfn.AGGREGATE(15, 6, ROW(Kintoneデータ抽出!$K$2:$K$5000) / ((Kintoneデータ抽出!$K$2:$K$5000="院内")), ROW(A115)))&lt;&gt;"",
YEAR(INDEX(Kintoneデータ抽出!E:E, _xlfn.AGGREGATE(15, 6, ROW(Kintoneデータ抽出!$K$2:$K$5000) / ((Kintoneデータ抽出!$K$2:$K$5000="院内")), ROW(A115))))&amp;"年"
&amp;MONTH(INDEX(Kintoneデータ抽出!E:E, _xlfn.AGGREGATE(15, 6, ROW(Kintoneデータ抽出!$K$2:$K$5000) / ((Kintoneデータ抽出!$K$2:$K$5000="院内")), ROW(A115))))&amp;"月"
&amp;DAY(INDEX(Kintoneデータ抽出!E:E, _xlfn.AGGREGATE(15, 6, ROW(Kintoneデータ抽出!$K$2:$K$5000) /((Kintoneデータ抽出!$K$2:$K$5000="院内")), ROW(A115))))&amp;"日",""), "")</f>
        <v/>
      </c>
      <c r="K152" s="77" t="str" cm="1">
        <f t="array" ref="K152">IFERROR(IF(INDEX(Kintoneデータ抽出!F:F, _xlfn.AGGREGATE(15, 6, ROW(Kintoneデータ抽出!$K$2:$K$5000) / ((Kintoneデータ抽出!$K$2:$K$5000="院内")), ROW(A115)))&lt;&gt;"",
VLOOKUP(INDEX(Kintoneデータ抽出!F:F, _xlfn.AGGREGATE(15, 6, ROW(Kintoneデータ抽出!$K$2:$K$5000) / ((Kintoneデータ抽出!$K$2:$K$5000="院内")), ROW(A115))),基本開園日の表記!$A$2:$B$13,2,FALSE),""), "")</f>
        <v/>
      </c>
      <c r="L152" s="75" t="str">
        <f t="array" ref="L152">IFERROR(IF(INDEX(Kintoneデータ抽出!F:F, _xlfn.AGGREGATE(15, 6, ROW(Kintoneデータ抽出!$K$2:$K$5000) / ((Kintoneデータ抽出!$K$2:$K$5000="院内")), ROW(A115)))&lt;&gt;"",
IF(COUNTIF(INDEX(Kintoneデータ抽出!F:F, _xlfn.AGGREGATE(15, 6, ROW(Kintoneデータ抽出!$K$2:$K$5000) / ((Kintoneデータ抽出!$K$2:$K$5000="院内")), ROW(A115))),"*あり*"),"夜間",""),""), "")</f>
        <v/>
      </c>
      <c r="M152" s="75" t="str">
        <f t="array" ref="M152">IFERROR(IF(INDEX(Kintoneデータ抽出!I:I, _xlfn.AGGREGATE(15, 6, ROW(Kintoneデータ抽出!$K$2:$K$5000) / ((Kintoneデータ抽出!$K$2:$K$5000="院内")), ROW(A115)))&lt;&gt;"",
IF(COUNTIF(INDEX(Kintoneデータ抽出!I:I, _xlfn.AGGREGATE(15, 6, ROW(Kintoneデータ抽出!$K$2:$K$5000) / ((Kintoneデータ抽出!$K$2:$K$5000="院内")), ROW(A115))),"*あり*"),"学童",""),""), "")</f>
        <v/>
      </c>
      <c r="N152" s="75" t="str">
        <f t="array" ref="N152">IFERROR(IF(INDEX(Kintoneデータ抽出!H:H, _xlfn.AGGREGATE(15, 6, ROW(Kintoneデータ抽出!$K$2:$K$5000) / ((Kintoneデータ抽出!$K$2:$K$5000="院内")), ROW(A115)))&lt;&gt;"",
IF(COUNTIF(INDEX(Kintoneデータ抽出!H:H, _xlfn.AGGREGATE(15, 6, ROW(Kintoneデータ抽出!$K$2:$K$5000) / ((Kintoneデータ抽出!$K$2:$K$5000="院内")), ROW(A115))),"*あり*"),"病児",""),""), "")</f>
        <v/>
      </c>
      <c r="O152" s="94" t="str" cm="1">
        <f t="array" ref="O152">IFERROR(
IF(INDEX(Kintoneデータ抽出!M:M, _xlfn.AGGREGATE(15, 6, ROW(Kintoneデータ抽出!$K$2:$K$5000) / ((Kintoneデータ抽出!$K$2:$K$5000="院内")), ROW(A115)))&lt;&gt;0,INDEX(Kintoneデータ抽出!M:M, _xlfn.AGGREGATE(15, 6, ROW(Kintoneデータ抽出!$K$2:$K$5000) / ((Kintoneデータ抽出!$K$2:$K$5000="院内")), ROW(A115))),""), "")</f>
        <v/>
      </c>
      <c r="P152" s="78" t="str">
        <f t="array" ref="P152">IFERROR(IF(INDEX(Kintoneデータ抽出!L:L, _xlfn.AGGREGATE(15, 6, ROW(Kintoneデータ抽出!$K$2:$K$5000) / ((Kintoneデータ抽出!$K$2:$K$5000="院内")), ROW(A115)))&lt;&gt;"",
IF(COUNTIF(INDEX(Kintoneデータ抽出!L:L, _xlfn.AGGREGATE(15, 6, ROW(Kintoneデータ抽出!$K$2:$K$5000) / ((Kintoneデータ抽出!$K$2:$K$5000="院内")), ROW(A115))),"*企業主導型以外*"),"",
IF(COUNTIF(INDEX(Kintoneデータ抽出!L:L, _xlfn.AGGREGATE(15, 6, ROW(Kintoneデータ抽出!$K$2:$K$5000) / ((Kintoneデータ抽出!$K$2:$K$5000="院内")), ROW(A115))),"*その他*"),"",
IF(COUNTIF(INDEX(Kintoneデータ抽出!L:L, _xlfn.AGGREGATE(15, 6, ROW(Kintoneデータ抽出!$K$2:$K$5000) / ((Kintoneデータ抽出!$K$2:$K$5000="院内")), ROW(A115))),"*新制度*"),"新制度","企業主導型"))),""), "")</f>
        <v/>
      </c>
    </row>
    <row r="153" spans="2:16" ht="34.799999999999997" customHeight="1" x14ac:dyDescent="0.45">
      <c r="B153" s="45"/>
      <c r="C153" s="46"/>
      <c r="D153" s="98" t="str">
        <f t="shared" si="2"/>
        <v/>
      </c>
      <c r="E153" s="99"/>
      <c r="F153" s="75" t="str">
        <f t="array" ref="F153">IFERROR(INDEX(Kintoneデータ抽出!A:A, _xlfn.AGGREGATE(15, 6, ROW(Kintoneデータ抽出!$K$2:$K$5000) / ((Kintoneデータ抽出!$K$2:$K$5000="院内")), ROW(A116))), "")</f>
        <v/>
      </c>
      <c r="G153" s="77" t="str">
        <f t="array" ref="G153">IFERROR(INDEX(Kintoneデータ抽出!D:D, _xlfn.AGGREGATE(15, 6, ROW(Kintoneデータ抽出!$K$2:$K$5000) / ((Kintoneデータ抽出!$K$2:$K$5000="院内")), ROW(A116))), "")</f>
        <v/>
      </c>
      <c r="H153" s="77" t="str">
        <f t="array" ref="H153">IFERROR(INDEX(Kintoneデータ抽出!C:C, _xlfn.AGGREGATE(15, 6, ROW(Kintoneデータ抽出!$K$2:$K$5000) / ((Kintoneデータ抽出!$K$2:$K$5000="院内")), ROW(A116))), "")</f>
        <v/>
      </c>
      <c r="I153" s="75" t="str">
        <f t="array" ref="I153">IFERROR(IF(INDEX(Kintoneデータ抽出!G:G, _xlfn.AGGREGATE(15, 6, ROW(Kintoneデータ抽出!$K$2:$K$5000) / ((Kintoneデータ抽出!$K$2:$K$5000="院内")), ROW(A116)))&lt;&gt;"",INDEX(Kintoneデータ抽出!G:G, _xlfn.AGGREGATE(15, 6, ROW(Kintoneデータ抽出!$K$2:$K$5000) / ((Kintoneデータ抽出!$K$2:$K$5000="院内")), ROW(A116)))&amp;"名",""), "")</f>
        <v/>
      </c>
      <c r="J153" s="76" t="str">
        <f t="array" ref="J153">IFERROR(IF(INDEX(Kintoneデータ抽出!E:E, _xlfn.AGGREGATE(15, 6, ROW(Kintoneデータ抽出!$K$2:$K$5000) / ((Kintoneデータ抽出!$K$2:$K$5000="院内")), ROW(A116)))&lt;&gt;"",
YEAR(INDEX(Kintoneデータ抽出!E:E, _xlfn.AGGREGATE(15, 6, ROW(Kintoneデータ抽出!$K$2:$K$5000) / ((Kintoneデータ抽出!$K$2:$K$5000="院内")), ROW(A116))))&amp;"年"
&amp;MONTH(INDEX(Kintoneデータ抽出!E:E, _xlfn.AGGREGATE(15, 6, ROW(Kintoneデータ抽出!$K$2:$K$5000) / ((Kintoneデータ抽出!$K$2:$K$5000="院内")), ROW(A116))))&amp;"月"
&amp;DAY(INDEX(Kintoneデータ抽出!E:E, _xlfn.AGGREGATE(15, 6, ROW(Kintoneデータ抽出!$K$2:$K$5000) /((Kintoneデータ抽出!$K$2:$K$5000="院内")), ROW(A116))))&amp;"日",""), "")</f>
        <v/>
      </c>
      <c r="K153" s="77" t="str" cm="1">
        <f t="array" ref="K153">IFERROR(IF(INDEX(Kintoneデータ抽出!F:F, _xlfn.AGGREGATE(15, 6, ROW(Kintoneデータ抽出!$K$2:$K$5000) / ((Kintoneデータ抽出!$K$2:$K$5000="院内")), ROW(A116)))&lt;&gt;"",
VLOOKUP(INDEX(Kintoneデータ抽出!F:F, _xlfn.AGGREGATE(15, 6, ROW(Kintoneデータ抽出!$K$2:$K$5000) / ((Kintoneデータ抽出!$K$2:$K$5000="院内")), ROW(A116))),基本開園日の表記!$A$2:$B$13,2,FALSE),""), "")</f>
        <v/>
      </c>
      <c r="L153" s="75" t="str">
        <f t="array" ref="L153">IFERROR(IF(INDEX(Kintoneデータ抽出!F:F, _xlfn.AGGREGATE(15, 6, ROW(Kintoneデータ抽出!$K$2:$K$5000) / ((Kintoneデータ抽出!$K$2:$K$5000="院内")), ROW(A116)))&lt;&gt;"",
IF(COUNTIF(INDEX(Kintoneデータ抽出!F:F, _xlfn.AGGREGATE(15, 6, ROW(Kintoneデータ抽出!$K$2:$K$5000) / ((Kintoneデータ抽出!$K$2:$K$5000="院内")), ROW(A116))),"*あり*"),"夜間",""),""), "")</f>
        <v/>
      </c>
      <c r="M153" s="75" t="str">
        <f t="array" ref="M153">IFERROR(IF(INDEX(Kintoneデータ抽出!I:I, _xlfn.AGGREGATE(15, 6, ROW(Kintoneデータ抽出!$K$2:$K$5000) / ((Kintoneデータ抽出!$K$2:$K$5000="院内")), ROW(A116)))&lt;&gt;"",
IF(COUNTIF(INDEX(Kintoneデータ抽出!I:I, _xlfn.AGGREGATE(15, 6, ROW(Kintoneデータ抽出!$K$2:$K$5000) / ((Kintoneデータ抽出!$K$2:$K$5000="院内")), ROW(A116))),"*あり*"),"学童",""),""), "")</f>
        <v/>
      </c>
      <c r="N153" s="75" t="str">
        <f t="array" ref="N153">IFERROR(IF(INDEX(Kintoneデータ抽出!H:H, _xlfn.AGGREGATE(15, 6, ROW(Kintoneデータ抽出!$K$2:$K$5000) / ((Kintoneデータ抽出!$K$2:$K$5000="院内")), ROW(A116)))&lt;&gt;"",
IF(COUNTIF(INDEX(Kintoneデータ抽出!H:H, _xlfn.AGGREGATE(15, 6, ROW(Kintoneデータ抽出!$K$2:$K$5000) / ((Kintoneデータ抽出!$K$2:$K$5000="院内")), ROW(A116))),"*あり*"),"病児",""),""), "")</f>
        <v/>
      </c>
      <c r="O153" s="94" t="str" cm="1">
        <f t="array" ref="O153">IFERROR(
IF(INDEX(Kintoneデータ抽出!M:M, _xlfn.AGGREGATE(15, 6, ROW(Kintoneデータ抽出!$K$2:$K$5000) / ((Kintoneデータ抽出!$K$2:$K$5000="院内")), ROW(A116)))&lt;&gt;0,INDEX(Kintoneデータ抽出!M:M, _xlfn.AGGREGATE(15, 6, ROW(Kintoneデータ抽出!$K$2:$K$5000) / ((Kintoneデータ抽出!$K$2:$K$5000="院内")), ROW(A116))),""), "")</f>
        <v/>
      </c>
      <c r="P153" s="78" t="str">
        <f t="array" ref="P153">IFERROR(IF(INDEX(Kintoneデータ抽出!L:L, _xlfn.AGGREGATE(15, 6, ROW(Kintoneデータ抽出!$K$2:$K$5000) / ((Kintoneデータ抽出!$K$2:$K$5000="院内")), ROW(A116)))&lt;&gt;"",
IF(COUNTIF(INDEX(Kintoneデータ抽出!L:L, _xlfn.AGGREGATE(15, 6, ROW(Kintoneデータ抽出!$K$2:$K$5000) / ((Kintoneデータ抽出!$K$2:$K$5000="院内")), ROW(A116))),"*企業主導型以外*"),"",
IF(COUNTIF(INDEX(Kintoneデータ抽出!L:L, _xlfn.AGGREGATE(15, 6, ROW(Kintoneデータ抽出!$K$2:$K$5000) / ((Kintoneデータ抽出!$K$2:$K$5000="院内")), ROW(A116))),"*その他*"),"",
IF(COUNTIF(INDEX(Kintoneデータ抽出!L:L, _xlfn.AGGREGATE(15, 6, ROW(Kintoneデータ抽出!$K$2:$K$5000) / ((Kintoneデータ抽出!$K$2:$K$5000="院内")), ROW(A116))),"*新制度*"),"新制度","企業主導型"))),""), "")</f>
        <v/>
      </c>
    </row>
    <row r="154" spans="2:16" ht="34.799999999999997" customHeight="1" x14ac:dyDescent="0.45">
      <c r="B154" s="45"/>
      <c r="C154" s="46"/>
      <c r="D154" s="98" t="str">
        <f t="shared" si="2"/>
        <v/>
      </c>
      <c r="E154" s="99"/>
      <c r="F154" s="75" t="str">
        <f t="array" ref="F154">IFERROR(INDEX(Kintoneデータ抽出!A:A, _xlfn.AGGREGATE(15, 6, ROW(Kintoneデータ抽出!$K$2:$K$5000) / ((Kintoneデータ抽出!$K$2:$K$5000="院内")), ROW(A117))), "")</f>
        <v/>
      </c>
      <c r="G154" s="77" t="str">
        <f t="array" ref="G154">IFERROR(INDEX(Kintoneデータ抽出!D:D, _xlfn.AGGREGATE(15, 6, ROW(Kintoneデータ抽出!$K$2:$K$5000) / ((Kintoneデータ抽出!$K$2:$K$5000="院内")), ROW(A117))), "")</f>
        <v/>
      </c>
      <c r="H154" s="77" t="str">
        <f t="array" ref="H154">IFERROR(INDEX(Kintoneデータ抽出!C:C, _xlfn.AGGREGATE(15, 6, ROW(Kintoneデータ抽出!$K$2:$K$5000) / ((Kintoneデータ抽出!$K$2:$K$5000="院内")), ROW(A117))), "")</f>
        <v/>
      </c>
      <c r="I154" s="75" t="str">
        <f t="array" ref="I154">IFERROR(IF(INDEX(Kintoneデータ抽出!G:G, _xlfn.AGGREGATE(15, 6, ROW(Kintoneデータ抽出!$K$2:$K$5000) / ((Kintoneデータ抽出!$K$2:$K$5000="院内")), ROW(A117)))&lt;&gt;"",INDEX(Kintoneデータ抽出!G:G, _xlfn.AGGREGATE(15, 6, ROW(Kintoneデータ抽出!$K$2:$K$5000) / ((Kintoneデータ抽出!$K$2:$K$5000="院内")), ROW(A117)))&amp;"名",""), "")</f>
        <v/>
      </c>
      <c r="J154" s="76" t="str">
        <f t="array" ref="J154">IFERROR(IF(INDEX(Kintoneデータ抽出!E:E, _xlfn.AGGREGATE(15, 6, ROW(Kintoneデータ抽出!$K$2:$K$5000) / ((Kintoneデータ抽出!$K$2:$K$5000="院内")), ROW(A117)))&lt;&gt;"",
YEAR(INDEX(Kintoneデータ抽出!E:E, _xlfn.AGGREGATE(15, 6, ROW(Kintoneデータ抽出!$K$2:$K$5000) / ((Kintoneデータ抽出!$K$2:$K$5000="院内")), ROW(A117))))&amp;"年"
&amp;MONTH(INDEX(Kintoneデータ抽出!E:E, _xlfn.AGGREGATE(15, 6, ROW(Kintoneデータ抽出!$K$2:$K$5000) / ((Kintoneデータ抽出!$K$2:$K$5000="院内")), ROW(A117))))&amp;"月"
&amp;DAY(INDEX(Kintoneデータ抽出!E:E, _xlfn.AGGREGATE(15, 6, ROW(Kintoneデータ抽出!$K$2:$K$5000) /((Kintoneデータ抽出!$K$2:$K$5000="院内")), ROW(A117))))&amp;"日",""), "")</f>
        <v/>
      </c>
      <c r="K154" s="77" t="str" cm="1">
        <f t="array" ref="K154">IFERROR(IF(INDEX(Kintoneデータ抽出!F:F, _xlfn.AGGREGATE(15, 6, ROW(Kintoneデータ抽出!$K$2:$K$5000) / ((Kintoneデータ抽出!$K$2:$K$5000="院内")), ROW(A117)))&lt;&gt;"",
VLOOKUP(INDEX(Kintoneデータ抽出!F:F, _xlfn.AGGREGATE(15, 6, ROW(Kintoneデータ抽出!$K$2:$K$5000) / ((Kintoneデータ抽出!$K$2:$K$5000="院内")), ROW(A117))),基本開園日の表記!$A$2:$B$13,2,FALSE),""), "")</f>
        <v/>
      </c>
      <c r="L154" s="75" t="str">
        <f t="array" ref="L154">IFERROR(IF(INDEX(Kintoneデータ抽出!F:F, _xlfn.AGGREGATE(15, 6, ROW(Kintoneデータ抽出!$K$2:$K$5000) / ((Kintoneデータ抽出!$K$2:$K$5000="院内")), ROW(A117)))&lt;&gt;"",
IF(COUNTIF(INDEX(Kintoneデータ抽出!F:F, _xlfn.AGGREGATE(15, 6, ROW(Kintoneデータ抽出!$K$2:$K$5000) / ((Kintoneデータ抽出!$K$2:$K$5000="院内")), ROW(A117))),"*あり*"),"夜間",""),""), "")</f>
        <v/>
      </c>
      <c r="M154" s="75" t="str">
        <f t="array" ref="M154">IFERROR(IF(INDEX(Kintoneデータ抽出!I:I, _xlfn.AGGREGATE(15, 6, ROW(Kintoneデータ抽出!$K$2:$K$5000) / ((Kintoneデータ抽出!$K$2:$K$5000="院内")), ROW(A117)))&lt;&gt;"",
IF(COUNTIF(INDEX(Kintoneデータ抽出!I:I, _xlfn.AGGREGATE(15, 6, ROW(Kintoneデータ抽出!$K$2:$K$5000) / ((Kintoneデータ抽出!$K$2:$K$5000="院内")), ROW(A117))),"*あり*"),"学童",""),""), "")</f>
        <v/>
      </c>
      <c r="N154" s="75" t="str">
        <f t="array" ref="N154">IFERROR(IF(INDEX(Kintoneデータ抽出!H:H, _xlfn.AGGREGATE(15, 6, ROW(Kintoneデータ抽出!$K$2:$K$5000) / ((Kintoneデータ抽出!$K$2:$K$5000="院内")), ROW(A117)))&lt;&gt;"",
IF(COUNTIF(INDEX(Kintoneデータ抽出!H:H, _xlfn.AGGREGATE(15, 6, ROW(Kintoneデータ抽出!$K$2:$K$5000) / ((Kintoneデータ抽出!$K$2:$K$5000="院内")), ROW(A117))),"*あり*"),"病児",""),""), "")</f>
        <v/>
      </c>
      <c r="O154" s="94" t="str" cm="1">
        <f t="array" ref="O154">IFERROR(
IF(INDEX(Kintoneデータ抽出!M:M, _xlfn.AGGREGATE(15, 6, ROW(Kintoneデータ抽出!$K$2:$K$5000) / ((Kintoneデータ抽出!$K$2:$K$5000="院内")), ROW(A117)))&lt;&gt;0,INDEX(Kintoneデータ抽出!M:M, _xlfn.AGGREGATE(15, 6, ROW(Kintoneデータ抽出!$K$2:$K$5000) / ((Kintoneデータ抽出!$K$2:$K$5000="院内")), ROW(A117))),""), "")</f>
        <v/>
      </c>
      <c r="P154" s="78" t="str">
        <f t="array" ref="P154">IFERROR(IF(INDEX(Kintoneデータ抽出!L:L, _xlfn.AGGREGATE(15, 6, ROW(Kintoneデータ抽出!$K$2:$K$5000) / ((Kintoneデータ抽出!$K$2:$K$5000="院内")), ROW(A117)))&lt;&gt;"",
IF(COUNTIF(INDEX(Kintoneデータ抽出!L:L, _xlfn.AGGREGATE(15, 6, ROW(Kintoneデータ抽出!$K$2:$K$5000) / ((Kintoneデータ抽出!$K$2:$K$5000="院内")), ROW(A117))),"*企業主導型以外*"),"",
IF(COUNTIF(INDEX(Kintoneデータ抽出!L:L, _xlfn.AGGREGATE(15, 6, ROW(Kintoneデータ抽出!$K$2:$K$5000) / ((Kintoneデータ抽出!$K$2:$K$5000="院内")), ROW(A117))),"*その他*"),"",
IF(COUNTIF(INDEX(Kintoneデータ抽出!L:L, _xlfn.AGGREGATE(15, 6, ROW(Kintoneデータ抽出!$K$2:$K$5000) / ((Kintoneデータ抽出!$K$2:$K$5000="院内")), ROW(A117))),"*新制度*"),"新制度","企業主導型"))),""), "")</f>
        <v/>
      </c>
    </row>
    <row r="155" spans="2:16" ht="34.799999999999997" customHeight="1" x14ac:dyDescent="0.45">
      <c r="B155" s="45"/>
      <c r="C155" s="46"/>
      <c r="D155" s="98" t="str">
        <f t="shared" si="2"/>
        <v/>
      </c>
      <c r="E155" s="99"/>
      <c r="F155" s="75" t="str">
        <f t="array" ref="F155">IFERROR(INDEX(Kintoneデータ抽出!A:A, _xlfn.AGGREGATE(15, 6, ROW(Kintoneデータ抽出!$K$2:$K$5000) / ((Kintoneデータ抽出!$K$2:$K$5000="院内")), ROW(A118))), "")</f>
        <v/>
      </c>
      <c r="G155" s="77" t="str">
        <f t="array" ref="G155">IFERROR(INDEX(Kintoneデータ抽出!D:D, _xlfn.AGGREGATE(15, 6, ROW(Kintoneデータ抽出!$K$2:$K$5000) / ((Kintoneデータ抽出!$K$2:$K$5000="院内")), ROW(A118))), "")</f>
        <v/>
      </c>
      <c r="H155" s="77" t="str">
        <f t="array" ref="H155">IFERROR(INDEX(Kintoneデータ抽出!C:C, _xlfn.AGGREGATE(15, 6, ROW(Kintoneデータ抽出!$K$2:$K$5000) / ((Kintoneデータ抽出!$K$2:$K$5000="院内")), ROW(A118))), "")</f>
        <v/>
      </c>
      <c r="I155" s="75" t="str">
        <f t="array" ref="I155">IFERROR(IF(INDEX(Kintoneデータ抽出!G:G, _xlfn.AGGREGATE(15, 6, ROW(Kintoneデータ抽出!$K$2:$K$5000) / ((Kintoneデータ抽出!$K$2:$K$5000="院内")), ROW(A118)))&lt;&gt;"",INDEX(Kintoneデータ抽出!G:G, _xlfn.AGGREGATE(15, 6, ROW(Kintoneデータ抽出!$K$2:$K$5000) / ((Kintoneデータ抽出!$K$2:$K$5000="院内")), ROW(A118)))&amp;"名",""), "")</f>
        <v/>
      </c>
      <c r="J155" s="76" t="str">
        <f t="array" ref="J155">IFERROR(IF(INDEX(Kintoneデータ抽出!E:E, _xlfn.AGGREGATE(15, 6, ROW(Kintoneデータ抽出!$K$2:$K$5000) / ((Kintoneデータ抽出!$K$2:$K$5000="院内")), ROW(A118)))&lt;&gt;"",
YEAR(INDEX(Kintoneデータ抽出!E:E, _xlfn.AGGREGATE(15, 6, ROW(Kintoneデータ抽出!$K$2:$K$5000) / ((Kintoneデータ抽出!$K$2:$K$5000="院内")), ROW(A118))))&amp;"年"
&amp;MONTH(INDEX(Kintoneデータ抽出!E:E, _xlfn.AGGREGATE(15, 6, ROW(Kintoneデータ抽出!$K$2:$K$5000) / ((Kintoneデータ抽出!$K$2:$K$5000="院内")), ROW(A118))))&amp;"月"
&amp;DAY(INDEX(Kintoneデータ抽出!E:E, _xlfn.AGGREGATE(15, 6, ROW(Kintoneデータ抽出!$K$2:$K$5000) /((Kintoneデータ抽出!$K$2:$K$5000="院内")), ROW(A118))))&amp;"日",""), "")</f>
        <v/>
      </c>
      <c r="K155" s="77" t="str" cm="1">
        <f t="array" ref="K155">IFERROR(IF(INDEX(Kintoneデータ抽出!F:F, _xlfn.AGGREGATE(15, 6, ROW(Kintoneデータ抽出!$K$2:$K$5000) / ((Kintoneデータ抽出!$K$2:$K$5000="院内")), ROW(A118)))&lt;&gt;"",
VLOOKUP(INDEX(Kintoneデータ抽出!F:F, _xlfn.AGGREGATE(15, 6, ROW(Kintoneデータ抽出!$K$2:$K$5000) / ((Kintoneデータ抽出!$K$2:$K$5000="院内")), ROW(A118))),基本開園日の表記!$A$2:$B$13,2,FALSE),""), "")</f>
        <v/>
      </c>
      <c r="L155" s="75" t="str">
        <f t="array" ref="L155">IFERROR(IF(INDEX(Kintoneデータ抽出!F:F, _xlfn.AGGREGATE(15, 6, ROW(Kintoneデータ抽出!$K$2:$K$5000) / ((Kintoneデータ抽出!$K$2:$K$5000="院内")), ROW(A118)))&lt;&gt;"",
IF(COUNTIF(INDEX(Kintoneデータ抽出!F:F, _xlfn.AGGREGATE(15, 6, ROW(Kintoneデータ抽出!$K$2:$K$5000) / ((Kintoneデータ抽出!$K$2:$K$5000="院内")), ROW(A118))),"*あり*"),"夜間",""),""), "")</f>
        <v/>
      </c>
      <c r="M155" s="75" t="str">
        <f t="array" ref="M155">IFERROR(IF(INDEX(Kintoneデータ抽出!I:I, _xlfn.AGGREGATE(15, 6, ROW(Kintoneデータ抽出!$K$2:$K$5000) / ((Kintoneデータ抽出!$K$2:$K$5000="院内")), ROW(A118)))&lt;&gt;"",
IF(COUNTIF(INDEX(Kintoneデータ抽出!I:I, _xlfn.AGGREGATE(15, 6, ROW(Kintoneデータ抽出!$K$2:$K$5000) / ((Kintoneデータ抽出!$K$2:$K$5000="院内")), ROW(A118))),"*あり*"),"学童",""),""), "")</f>
        <v/>
      </c>
      <c r="N155" s="75" t="str">
        <f t="array" ref="N155">IFERROR(IF(INDEX(Kintoneデータ抽出!H:H, _xlfn.AGGREGATE(15, 6, ROW(Kintoneデータ抽出!$K$2:$K$5000) / ((Kintoneデータ抽出!$K$2:$K$5000="院内")), ROW(A118)))&lt;&gt;"",
IF(COUNTIF(INDEX(Kintoneデータ抽出!H:H, _xlfn.AGGREGATE(15, 6, ROW(Kintoneデータ抽出!$K$2:$K$5000) / ((Kintoneデータ抽出!$K$2:$K$5000="院内")), ROW(A118))),"*あり*"),"病児",""),""), "")</f>
        <v/>
      </c>
      <c r="O155" s="94" t="str" cm="1">
        <f t="array" ref="O155">IFERROR(
IF(INDEX(Kintoneデータ抽出!M:M, _xlfn.AGGREGATE(15, 6, ROW(Kintoneデータ抽出!$K$2:$K$5000) / ((Kintoneデータ抽出!$K$2:$K$5000="院内")), ROW(A118)))&lt;&gt;0,INDEX(Kintoneデータ抽出!M:M, _xlfn.AGGREGATE(15, 6, ROW(Kintoneデータ抽出!$K$2:$K$5000) / ((Kintoneデータ抽出!$K$2:$K$5000="院内")), ROW(A118))),""), "")</f>
        <v/>
      </c>
      <c r="P155" s="78" t="str">
        <f t="array" ref="P155">IFERROR(IF(INDEX(Kintoneデータ抽出!L:L, _xlfn.AGGREGATE(15, 6, ROW(Kintoneデータ抽出!$K$2:$K$5000) / ((Kintoneデータ抽出!$K$2:$K$5000="院内")), ROW(A118)))&lt;&gt;"",
IF(COUNTIF(INDEX(Kintoneデータ抽出!L:L, _xlfn.AGGREGATE(15, 6, ROW(Kintoneデータ抽出!$K$2:$K$5000) / ((Kintoneデータ抽出!$K$2:$K$5000="院内")), ROW(A118))),"*企業主導型以外*"),"",
IF(COUNTIF(INDEX(Kintoneデータ抽出!L:L, _xlfn.AGGREGATE(15, 6, ROW(Kintoneデータ抽出!$K$2:$K$5000) / ((Kintoneデータ抽出!$K$2:$K$5000="院内")), ROW(A118))),"*その他*"),"",
IF(COUNTIF(INDEX(Kintoneデータ抽出!L:L, _xlfn.AGGREGATE(15, 6, ROW(Kintoneデータ抽出!$K$2:$K$5000) / ((Kintoneデータ抽出!$K$2:$K$5000="院内")), ROW(A118))),"*新制度*"),"新制度","企業主導型"))),""), "")</f>
        <v/>
      </c>
    </row>
    <row r="156" spans="2:16" ht="34.799999999999997" customHeight="1" x14ac:dyDescent="0.45">
      <c r="B156" s="45"/>
      <c r="C156" s="46"/>
      <c r="D156" s="98" t="str">
        <f t="shared" si="2"/>
        <v/>
      </c>
      <c r="E156" s="99"/>
      <c r="F156" s="75" t="str">
        <f t="array" ref="F156">IFERROR(INDEX(Kintoneデータ抽出!A:A, _xlfn.AGGREGATE(15, 6, ROW(Kintoneデータ抽出!$K$2:$K$5000) / ((Kintoneデータ抽出!$K$2:$K$5000="院内")), ROW(A119))), "")</f>
        <v/>
      </c>
      <c r="G156" s="77" t="str">
        <f t="array" ref="G156">IFERROR(INDEX(Kintoneデータ抽出!D:D, _xlfn.AGGREGATE(15, 6, ROW(Kintoneデータ抽出!$K$2:$K$5000) / ((Kintoneデータ抽出!$K$2:$K$5000="院内")), ROW(A119))), "")</f>
        <v/>
      </c>
      <c r="H156" s="77" t="str">
        <f t="array" ref="H156">IFERROR(INDEX(Kintoneデータ抽出!C:C, _xlfn.AGGREGATE(15, 6, ROW(Kintoneデータ抽出!$K$2:$K$5000) / ((Kintoneデータ抽出!$K$2:$K$5000="院内")), ROW(A119))), "")</f>
        <v/>
      </c>
      <c r="I156" s="75" t="str">
        <f t="array" ref="I156">IFERROR(IF(INDEX(Kintoneデータ抽出!G:G, _xlfn.AGGREGATE(15, 6, ROW(Kintoneデータ抽出!$K$2:$K$5000) / ((Kintoneデータ抽出!$K$2:$K$5000="院内")), ROW(A119)))&lt;&gt;"",INDEX(Kintoneデータ抽出!G:G, _xlfn.AGGREGATE(15, 6, ROW(Kintoneデータ抽出!$K$2:$K$5000) / ((Kintoneデータ抽出!$K$2:$K$5000="院内")), ROW(A119)))&amp;"名",""), "")</f>
        <v/>
      </c>
      <c r="J156" s="76" t="str">
        <f t="array" ref="J156">IFERROR(IF(INDEX(Kintoneデータ抽出!E:E, _xlfn.AGGREGATE(15, 6, ROW(Kintoneデータ抽出!$K$2:$K$5000) / ((Kintoneデータ抽出!$K$2:$K$5000="院内")), ROW(A119)))&lt;&gt;"",
YEAR(INDEX(Kintoneデータ抽出!E:E, _xlfn.AGGREGATE(15, 6, ROW(Kintoneデータ抽出!$K$2:$K$5000) / ((Kintoneデータ抽出!$K$2:$K$5000="院内")), ROW(A119))))&amp;"年"
&amp;MONTH(INDEX(Kintoneデータ抽出!E:E, _xlfn.AGGREGATE(15, 6, ROW(Kintoneデータ抽出!$K$2:$K$5000) / ((Kintoneデータ抽出!$K$2:$K$5000="院内")), ROW(A119))))&amp;"月"
&amp;DAY(INDEX(Kintoneデータ抽出!E:E, _xlfn.AGGREGATE(15, 6, ROW(Kintoneデータ抽出!$K$2:$K$5000) /((Kintoneデータ抽出!$K$2:$K$5000="院内")), ROW(A119))))&amp;"日",""), "")</f>
        <v/>
      </c>
      <c r="K156" s="77" t="str" cm="1">
        <f t="array" ref="K156">IFERROR(IF(INDEX(Kintoneデータ抽出!F:F, _xlfn.AGGREGATE(15, 6, ROW(Kintoneデータ抽出!$K$2:$K$5000) / ((Kintoneデータ抽出!$K$2:$K$5000="院内")), ROW(A119)))&lt;&gt;"",
VLOOKUP(INDEX(Kintoneデータ抽出!F:F, _xlfn.AGGREGATE(15, 6, ROW(Kintoneデータ抽出!$K$2:$K$5000) / ((Kintoneデータ抽出!$K$2:$K$5000="院内")), ROW(A119))),基本開園日の表記!$A$2:$B$13,2,FALSE),""), "")</f>
        <v/>
      </c>
      <c r="L156" s="75" t="str">
        <f t="array" ref="L156">IFERROR(IF(INDEX(Kintoneデータ抽出!F:F, _xlfn.AGGREGATE(15, 6, ROW(Kintoneデータ抽出!$K$2:$K$5000) / ((Kintoneデータ抽出!$K$2:$K$5000="院内")), ROW(A119)))&lt;&gt;"",
IF(COUNTIF(INDEX(Kintoneデータ抽出!F:F, _xlfn.AGGREGATE(15, 6, ROW(Kintoneデータ抽出!$K$2:$K$5000) / ((Kintoneデータ抽出!$K$2:$K$5000="院内")), ROW(A119))),"*あり*"),"夜間",""),""), "")</f>
        <v/>
      </c>
      <c r="M156" s="75" t="str">
        <f t="array" ref="M156">IFERROR(IF(INDEX(Kintoneデータ抽出!I:I, _xlfn.AGGREGATE(15, 6, ROW(Kintoneデータ抽出!$K$2:$K$5000) / ((Kintoneデータ抽出!$K$2:$K$5000="院内")), ROW(A119)))&lt;&gt;"",
IF(COUNTIF(INDEX(Kintoneデータ抽出!I:I, _xlfn.AGGREGATE(15, 6, ROW(Kintoneデータ抽出!$K$2:$K$5000) / ((Kintoneデータ抽出!$K$2:$K$5000="院内")), ROW(A119))),"*あり*"),"学童",""),""), "")</f>
        <v/>
      </c>
      <c r="N156" s="75" t="str">
        <f t="array" ref="N156">IFERROR(IF(INDEX(Kintoneデータ抽出!H:H, _xlfn.AGGREGATE(15, 6, ROW(Kintoneデータ抽出!$K$2:$K$5000) / ((Kintoneデータ抽出!$K$2:$K$5000="院内")), ROW(A119)))&lt;&gt;"",
IF(COUNTIF(INDEX(Kintoneデータ抽出!H:H, _xlfn.AGGREGATE(15, 6, ROW(Kintoneデータ抽出!$K$2:$K$5000) / ((Kintoneデータ抽出!$K$2:$K$5000="院内")), ROW(A119))),"*あり*"),"病児",""),""), "")</f>
        <v/>
      </c>
      <c r="O156" s="94" t="str" cm="1">
        <f t="array" ref="O156">IFERROR(
IF(INDEX(Kintoneデータ抽出!M:M, _xlfn.AGGREGATE(15, 6, ROW(Kintoneデータ抽出!$K$2:$K$5000) / ((Kintoneデータ抽出!$K$2:$K$5000="院内")), ROW(A119)))&lt;&gt;0,INDEX(Kintoneデータ抽出!M:M, _xlfn.AGGREGATE(15, 6, ROW(Kintoneデータ抽出!$K$2:$K$5000) / ((Kintoneデータ抽出!$K$2:$K$5000="院内")), ROW(A119))),""), "")</f>
        <v/>
      </c>
      <c r="P156" s="78" t="str">
        <f t="array" ref="P156">IFERROR(IF(INDEX(Kintoneデータ抽出!L:L, _xlfn.AGGREGATE(15, 6, ROW(Kintoneデータ抽出!$K$2:$K$5000) / ((Kintoneデータ抽出!$K$2:$K$5000="院内")), ROW(A119)))&lt;&gt;"",
IF(COUNTIF(INDEX(Kintoneデータ抽出!L:L, _xlfn.AGGREGATE(15, 6, ROW(Kintoneデータ抽出!$K$2:$K$5000) / ((Kintoneデータ抽出!$K$2:$K$5000="院内")), ROW(A119))),"*企業主導型以外*"),"",
IF(COUNTIF(INDEX(Kintoneデータ抽出!L:L, _xlfn.AGGREGATE(15, 6, ROW(Kintoneデータ抽出!$K$2:$K$5000) / ((Kintoneデータ抽出!$K$2:$K$5000="院内")), ROW(A119))),"*その他*"),"",
IF(COUNTIF(INDEX(Kintoneデータ抽出!L:L, _xlfn.AGGREGATE(15, 6, ROW(Kintoneデータ抽出!$K$2:$K$5000) / ((Kintoneデータ抽出!$K$2:$K$5000="院内")), ROW(A119))),"*新制度*"),"新制度","企業主導型"))),""), "")</f>
        <v/>
      </c>
    </row>
    <row r="157" spans="2:16" ht="34.799999999999997" customHeight="1" x14ac:dyDescent="0.45">
      <c r="B157" s="47"/>
      <c r="C157" s="48"/>
      <c r="D157" s="98" t="str">
        <f t="shared" si="2"/>
        <v/>
      </c>
      <c r="E157" s="99"/>
      <c r="F157" s="75" t="str">
        <f t="array" ref="F157">IFERROR(INDEX(Kintoneデータ抽出!A:A, _xlfn.AGGREGATE(15, 6, ROW(Kintoneデータ抽出!$K$2:$K$5000) / ((Kintoneデータ抽出!$K$2:$K$5000="院内")), ROW(A120))), "")</f>
        <v/>
      </c>
      <c r="G157" s="77" t="str">
        <f t="array" ref="G157">IFERROR(INDEX(Kintoneデータ抽出!D:D, _xlfn.AGGREGATE(15, 6, ROW(Kintoneデータ抽出!$K$2:$K$5000) / ((Kintoneデータ抽出!$K$2:$K$5000="院内")), ROW(A120))), "")</f>
        <v/>
      </c>
      <c r="H157" s="77" t="str">
        <f t="array" ref="H157">IFERROR(INDEX(Kintoneデータ抽出!C:C, _xlfn.AGGREGATE(15, 6, ROW(Kintoneデータ抽出!$K$2:$K$5000) / ((Kintoneデータ抽出!$K$2:$K$5000="院内")), ROW(A120))), "")</f>
        <v/>
      </c>
      <c r="I157" s="75" t="str">
        <f t="array" ref="I157">IFERROR(IF(INDEX(Kintoneデータ抽出!G:G, _xlfn.AGGREGATE(15, 6, ROW(Kintoneデータ抽出!$K$2:$K$5000) / ((Kintoneデータ抽出!$K$2:$K$5000="院内")), ROW(A120)))&lt;&gt;"",INDEX(Kintoneデータ抽出!G:G, _xlfn.AGGREGATE(15, 6, ROW(Kintoneデータ抽出!$K$2:$K$5000) / ((Kintoneデータ抽出!$K$2:$K$5000="院内")), ROW(A120)))&amp;"名",""), "")</f>
        <v/>
      </c>
      <c r="J157" s="76" t="str">
        <f t="array" ref="J157">IFERROR(IF(INDEX(Kintoneデータ抽出!E:E, _xlfn.AGGREGATE(15, 6, ROW(Kintoneデータ抽出!$K$2:$K$5000) / ((Kintoneデータ抽出!$K$2:$K$5000="院内")), ROW(A120)))&lt;&gt;"",
YEAR(INDEX(Kintoneデータ抽出!E:E, _xlfn.AGGREGATE(15, 6, ROW(Kintoneデータ抽出!$K$2:$K$5000) / ((Kintoneデータ抽出!$K$2:$K$5000="院内")), ROW(A120))))&amp;"年"
&amp;MONTH(INDEX(Kintoneデータ抽出!E:E, _xlfn.AGGREGATE(15, 6, ROW(Kintoneデータ抽出!$K$2:$K$5000) / ((Kintoneデータ抽出!$K$2:$K$5000="院内")), ROW(A120))))&amp;"月"
&amp;DAY(INDEX(Kintoneデータ抽出!E:E, _xlfn.AGGREGATE(15, 6, ROW(Kintoneデータ抽出!$K$2:$K$5000) /((Kintoneデータ抽出!$K$2:$K$5000="院内")), ROW(A120))))&amp;"日",""), "")</f>
        <v/>
      </c>
      <c r="K157" s="77" t="str" cm="1">
        <f t="array" ref="K157">IFERROR(IF(INDEX(Kintoneデータ抽出!F:F, _xlfn.AGGREGATE(15, 6, ROW(Kintoneデータ抽出!$K$2:$K$5000) / ((Kintoneデータ抽出!$K$2:$K$5000="院内")), ROW(A120)))&lt;&gt;"",
VLOOKUP(INDEX(Kintoneデータ抽出!F:F, _xlfn.AGGREGATE(15, 6, ROW(Kintoneデータ抽出!$K$2:$K$5000) / ((Kintoneデータ抽出!$K$2:$K$5000="院内")), ROW(A120))),基本開園日の表記!$A$2:$B$13,2,FALSE),""), "")</f>
        <v/>
      </c>
      <c r="L157" s="75" t="str">
        <f t="array" ref="L157">IFERROR(IF(INDEX(Kintoneデータ抽出!F:F, _xlfn.AGGREGATE(15, 6, ROW(Kintoneデータ抽出!$K$2:$K$5000) / ((Kintoneデータ抽出!$K$2:$K$5000="院内")), ROW(A120)))&lt;&gt;"",
IF(COUNTIF(INDEX(Kintoneデータ抽出!F:F, _xlfn.AGGREGATE(15, 6, ROW(Kintoneデータ抽出!$K$2:$K$5000) / ((Kintoneデータ抽出!$K$2:$K$5000="院内")), ROW(A120))),"*あり*"),"夜間",""),""), "")</f>
        <v/>
      </c>
      <c r="M157" s="75" t="str">
        <f t="array" ref="M157">IFERROR(IF(INDEX(Kintoneデータ抽出!I:I, _xlfn.AGGREGATE(15, 6, ROW(Kintoneデータ抽出!$K$2:$K$5000) / ((Kintoneデータ抽出!$K$2:$K$5000="院内")), ROW(A120)))&lt;&gt;"",
IF(COUNTIF(INDEX(Kintoneデータ抽出!I:I, _xlfn.AGGREGATE(15, 6, ROW(Kintoneデータ抽出!$K$2:$K$5000) / ((Kintoneデータ抽出!$K$2:$K$5000="院内")), ROW(A120))),"*あり*"),"学童",""),""), "")</f>
        <v/>
      </c>
      <c r="N157" s="75" t="str">
        <f t="array" ref="N157">IFERROR(IF(INDEX(Kintoneデータ抽出!H:H, _xlfn.AGGREGATE(15, 6, ROW(Kintoneデータ抽出!$K$2:$K$5000) / ((Kintoneデータ抽出!$K$2:$K$5000="院内")), ROW(A120)))&lt;&gt;"",
IF(COUNTIF(INDEX(Kintoneデータ抽出!H:H, _xlfn.AGGREGATE(15, 6, ROW(Kintoneデータ抽出!$K$2:$K$5000) / ((Kintoneデータ抽出!$K$2:$K$5000="院内")), ROW(A120))),"*あり*"),"病児",""),""), "")</f>
        <v/>
      </c>
      <c r="O157" s="94" t="str" cm="1">
        <f t="array" ref="O157">IFERROR(
IF(INDEX(Kintoneデータ抽出!M:M, _xlfn.AGGREGATE(15, 6, ROW(Kintoneデータ抽出!$K$2:$K$5000) / ((Kintoneデータ抽出!$K$2:$K$5000="院内")), ROW(A120)))&lt;&gt;0,INDEX(Kintoneデータ抽出!M:M, _xlfn.AGGREGATE(15, 6, ROW(Kintoneデータ抽出!$K$2:$K$5000) / ((Kintoneデータ抽出!$K$2:$K$5000="院内")), ROW(A120))),""), "")</f>
        <v/>
      </c>
      <c r="P157" s="78" t="str">
        <f t="array" ref="P157">IFERROR(IF(INDEX(Kintoneデータ抽出!L:L, _xlfn.AGGREGATE(15, 6, ROW(Kintoneデータ抽出!$K$2:$K$5000) / ((Kintoneデータ抽出!$K$2:$K$5000="院内")), ROW(A120)))&lt;&gt;"",
IF(COUNTIF(INDEX(Kintoneデータ抽出!L:L, _xlfn.AGGREGATE(15, 6, ROW(Kintoneデータ抽出!$K$2:$K$5000) / ((Kintoneデータ抽出!$K$2:$K$5000="院内")), ROW(A120))),"*企業主導型以外*"),"",
IF(COUNTIF(INDEX(Kintoneデータ抽出!L:L, _xlfn.AGGREGATE(15, 6, ROW(Kintoneデータ抽出!$K$2:$K$5000) / ((Kintoneデータ抽出!$K$2:$K$5000="院内")), ROW(A120))),"*その他*"),"",
IF(COUNTIF(INDEX(Kintoneデータ抽出!L:L, _xlfn.AGGREGATE(15, 6, ROW(Kintoneデータ抽出!$K$2:$K$5000) / ((Kintoneデータ抽出!$K$2:$K$5000="院内")), ROW(A120))),"*新制度*"),"新制度","企業主導型"))),""), "")</f>
        <v/>
      </c>
    </row>
    <row r="158" spans="2:16" ht="34.799999999999997" customHeight="1" x14ac:dyDescent="0.45">
      <c r="B158" s="55" t="s">
        <v>41</v>
      </c>
      <c r="C158" s="50"/>
      <c r="D158" s="98" t="str">
        <f t="shared" si="2"/>
        <v/>
      </c>
      <c r="E158" s="99"/>
      <c r="F158" s="75" t="str">
        <f t="array" ref="F158">IFERROR(INDEX(Kintoneデータ抽出!A:A, _xlfn.AGGREGATE(15, 6, ROW(Kintoneデータ抽出!$K$2:$K$5000) / ((Kintoneデータ抽出!$K$2:$K$5000="院内")), ROW(A121))), "")</f>
        <v/>
      </c>
      <c r="G158" s="77" t="str">
        <f t="array" ref="G158">IFERROR(INDEX(Kintoneデータ抽出!D:D, _xlfn.AGGREGATE(15, 6, ROW(Kintoneデータ抽出!$K$2:$K$5000) / ((Kintoneデータ抽出!$K$2:$K$5000="院内")), ROW(A121))), "")</f>
        <v/>
      </c>
      <c r="H158" s="77" t="str">
        <f t="array" ref="H158">IFERROR(INDEX(Kintoneデータ抽出!C:C, _xlfn.AGGREGATE(15, 6, ROW(Kintoneデータ抽出!$K$2:$K$5000) / ((Kintoneデータ抽出!$K$2:$K$5000="院内")), ROW(A121))), "")</f>
        <v/>
      </c>
      <c r="I158" s="75" t="str">
        <f t="array" ref="I158">IFERROR(IF(INDEX(Kintoneデータ抽出!G:G, _xlfn.AGGREGATE(15, 6, ROW(Kintoneデータ抽出!$K$2:$K$5000) / ((Kintoneデータ抽出!$K$2:$K$5000="院内")), ROW(A121)))&lt;&gt;"",INDEX(Kintoneデータ抽出!G:G, _xlfn.AGGREGATE(15, 6, ROW(Kintoneデータ抽出!$K$2:$K$5000) / ((Kintoneデータ抽出!$K$2:$K$5000="院内")), ROW(A121)))&amp;"名",""), "")</f>
        <v/>
      </c>
      <c r="J158" s="76" t="str">
        <f t="array" ref="J158">IFERROR(IF(INDEX(Kintoneデータ抽出!E:E, _xlfn.AGGREGATE(15, 6, ROW(Kintoneデータ抽出!$K$2:$K$5000) / ((Kintoneデータ抽出!$K$2:$K$5000="院内")), ROW(A121)))&lt;&gt;"",
YEAR(INDEX(Kintoneデータ抽出!E:E, _xlfn.AGGREGATE(15, 6, ROW(Kintoneデータ抽出!$K$2:$K$5000) / ((Kintoneデータ抽出!$K$2:$K$5000="院内")), ROW(A121))))&amp;"年"
&amp;MONTH(INDEX(Kintoneデータ抽出!E:E, _xlfn.AGGREGATE(15, 6, ROW(Kintoneデータ抽出!$K$2:$K$5000) / ((Kintoneデータ抽出!$K$2:$K$5000="院内")), ROW(A121))))&amp;"月"
&amp;DAY(INDEX(Kintoneデータ抽出!E:E, _xlfn.AGGREGATE(15, 6, ROW(Kintoneデータ抽出!$K$2:$K$5000) /((Kintoneデータ抽出!$K$2:$K$5000="院内")), ROW(A121))))&amp;"日",""), "")</f>
        <v/>
      </c>
      <c r="K158" s="77" t="str" cm="1">
        <f t="array" ref="K158">IFERROR(IF(INDEX(Kintoneデータ抽出!F:F, _xlfn.AGGREGATE(15, 6, ROW(Kintoneデータ抽出!$K$2:$K$5000) / ((Kintoneデータ抽出!$K$2:$K$5000="院内")), ROW(A121)))&lt;&gt;"",
VLOOKUP(INDEX(Kintoneデータ抽出!F:F, _xlfn.AGGREGATE(15, 6, ROW(Kintoneデータ抽出!$K$2:$K$5000) / ((Kintoneデータ抽出!$K$2:$K$5000="院内")), ROW(A121))),基本開園日の表記!$A$2:$B$13,2,FALSE),""), "")</f>
        <v/>
      </c>
      <c r="L158" s="75" t="str">
        <f t="array" ref="L158">IFERROR(IF(INDEX(Kintoneデータ抽出!F:F, _xlfn.AGGREGATE(15, 6, ROW(Kintoneデータ抽出!$K$2:$K$5000) / ((Kintoneデータ抽出!$K$2:$K$5000="院内")), ROW(A121)))&lt;&gt;"",
IF(COUNTIF(INDEX(Kintoneデータ抽出!F:F, _xlfn.AGGREGATE(15, 6, ROW(Kintoneデータ抽出!$K$2:$K$5000) / ((Kintoneデータ抽出!$K$2:$K$5000="院内")), ROW(A121))),"*あり*"),"夜間",""),""), "")</f>
        <v/>
      </c>
      <c r="M158" s="75" t="str">
        <f t="array" ref="M158">IFERROR(IF(INDEX(Kintoneデータ抽出!I:I, _xlfn.AGGREGATE(15, 6, ROW(Kintoneデータ抽出!$K$2:$K$5000) / ((Kintoneデータ抽出!$K$2:$K$5000="院内")), ROW(A121)))&lt;&gt;"",
IF(COUNTIF(INDEX(Kintoneデータ抽出!I:I, _xlfn.AGGREGATE(15, 6, ROW(Kintoneデータ抽出!$K$2:$K$5000) / ((Kintoneデータ抽出!$K$2:$K$5000="院内")), ROW(A121))),"*あり*"),"学童",""),""), "")</f>
        <v/>
      </c>
      <c r="N158" s="75" t="str">
        <f t="array" ref="N158">IFERROR(IF(INDEX(Kintoneデータ抽出!H:H, _xlfn.AGGREGATE(15, 6, ROW(Kintoneデータ抽出!$K$2:$K$5000) / ((Kintoneデータ抽出!$K$2:$K$5000="院内")), ROW(A121)))&lt;&gt;"",
IF(COUNTIF(INDEX(Kintoneデータ抽出!H:H, _xlfn.AGGREGATE(15, 6, ROW(Kintoneデータ抽出!$K$2:$K$5000) / ((Kintoneデータ抽出!$K$2:$K$5000="院内")), ROW(A121))),"*あり*"),"病児",""),""), "")</f>
        <v/>
      </c>
      <c r="O158" s="94" t="str" cm="1">
        <f t="array" ref="O158">IFERROR(
IF(INDEX(Kintoneデータ抽出!M:M, _xlfn.AGGREGATE(15, 6, ROW(Kintoneデータ抽出!$K$2:$K$5000) / ((Kintoneデータ抽出!$K$2:$K$5000="院内")), ROW(A121)))&lt;&gt;0,INDEX(Kintoneデータ抽出!M:M, _xlfn.AGGREGATE(15, 6, ROW(Kintoneデータ抽出!$K$2:$K$5000) / ((Kintoneデータ抽出!$K$2:$K$5000="院内")), ROW(A121))),""), "")</f>
        <v/>
      </c>
      <c r="P158" s="78" t="str">
        <f t="array" ref="P158">IFERROR(IF(INDEX(Kintoneデータ抽出!L:L, _xlfn.AGGREGATE(15, 6, ROW(Kintoneデータ抽出!$K$2:$K$5000) / ((Kintoneデータ抽出!$K$2:$K$5000="院内")), ROW(A121)))&lt;&gt;"",
IF(COUNTIF(INDEX(Kintoneデータ抽出!L:L, _xlfn.AGGREGATE(15, 6, ROW(Kintoneデータ抽出!$K$2:$K$5000) / ((Kintoneデータ抽出!$K$2:$K$5000="院内")), ROW(A121))),"*企業主導型以外*"),"",
IF(COUNTIF(INDEX(Kintoneデータ抽出!L:L, _xlfn.AGGREGATE(15, 6, ROW(Kintoneデータ抽出!$K$2:$K$5000) / ((Kintoneデータ抽出!$K$2:$K$5000="院内")), ROW(A121))),"*その他*"),"",
IF(COUNTIF(INDEX(Kintoneデータ抽出!L:L, _xlfn.AGGREGATE(15, 6, ROW(Kintoneデータ抽出!$K$2:$K$5000) / ((Kintoneデータ抽出!$K$2:$K$5000="院内")), ROW(A121))),"*新制度*"),"新制度","企業主導型"))),""), "")</f>
        <v/>
      </c>
    </row>
    <row r="159" spans="2:16" ht="34.799999999999997" customHeight="1" x14ac:dyDescent="0.45">
      <c r="B159" s="45"/>
      <c r="C159" s="46"/>
      <c r="D159" s="98" t="str">
        <f t="shared" si="2"/>
        <v/>
      </c>
      <c r="E159" s="99"/>
      <c r="F159" s="75" t="str">
        <f t="array" ref="F159">IFERROR(INDEX(Kintoneデータ抽出!A:A, _xlfn.AGGREGATE(15, 6, ROW(Kintoneデータ抽出!$K$2:$K$5000) / ((Kintoneデータ抽出!$K$2:$K$5000="院内")), ROW(A122))), "")</f>
        <v/>
      </c>
      <c r="G159" s="77" t="str">
        <f t="array" ref="G159">IFERROR(INDEX(Kintoneデータ抽出!D:D, _xlfn.AGGREGATE(15, 6, ROW(Kintoneデータ抽出!$K$2:$K$5000) / ((Kintoneデータ抽出!$K$2:$K$5000="院内")), ROW(A122))), "")</f>
        <v/>
      </c>
      <c r="H159" s="77" t="str">
        <f t="array" ref="H159">IFERROR(INDEX(Kintoneデータ抽出!C:C, _xlfn.AGGREGATE(15, 6, ROW(Kintoneデータ抽出!$K$2:$K$5000) / ((Kintoneデータ抽出!$K$2:$K$5000="院内")), ROW(A122))), "")</f>
        <v/>
      </c>
      <c r="I159" s="75" t="str">
        <f t="array" ref="I159">IFERROR(IF(INDEX(Kintoneデータ抽出!G:G, _xlfn.AGGREGATE(15, 6, ROW(Kintoneデータ抽出!$K$2:$K$5000) / ((Kintoneデータ抽出!$K$2:$K$5000="院内")), ROW(A122)))&lt;&gt;"",INDEX(Kintoneデータ抽出!G:G, _xlfn.AGGREGATE(15, 6, ROW(Kintoneデータ抽出!$K$2:$K$5000) / ((Kintoneデータ抽出!$K$2:$K$5000="院内")), ROW(A122)))&amp;"名",""), "")</f>
        <v/>
      </c>
      <c r="J159" s="76" t="str">
        <f t="array" ref="J159">IFERROR(IF(INDEX(Kintoneデータ抽出!E:E, _xlfn.AGGREGATE(15, 6, ROW(Kintoneデータ抽出!$K$2:$K$5000) / ((Kintoneデータ抽出!$K$2:$K$5000="院内")), ROW(A122)))&lt;&gt;"",
YEAR(INDEX(Kintoneデータ抽出!E:E, _xlfn.AGGREGATE(15, 6, ROW(Kintoneデータ抽出!$K$2:$K$5000) / ((Kintoneデータ抽出!$K$2:$K$5000="院内")), ROW(A122))))&amp;"年"
&amp;MONTH(INDEX(Kintoneデータ抽出!E:E, _xlfn.AGGREGATE(15, 6, ROW(Kintoneデータ抽出!$K$2:$K$5000) / ((Kintoneデータ抽出!$K$2:$K$5000="院内")), ROW(A122))))&amp;"月"
&amp;DAY(INDEX(Kintoneデータ抽出!E:E, _xlfn.AGGREGATE(15, 6, ROW(Kintoneデータ抽出!$K$2:$K$5000) /((Kintoneデータ抽出!$K$2:$K$5000="院内")), ROW(A122))))&amp;"日",""), "")</f>
        <v/>
      </c>
      <c r="K159" s="77" t="str" cm="1">
        <f t="array" ref="K159">IFERROR(IF(INDEX(Kintoneデータ抽出!F:F, _xlfn.AGGREGATE(15, 6, ROW(Kintoneデータ抽出!$K$2:$K$5000) / ((Kintoneデータ抽出!$K$2:$K$5000="院内")), ROW(A122)))&lt;&gt;"",
VLOOKUP(INDEX(Kintoneデータ抽出!F:F, _xlfn.AGGREGATE(15, 6, ROW(Kintoneデータ抽出!$K$2:$K$5000) / ((Kintoneデータ抽出!$K$2:$K$5000="院内")), ROW(A122))),基本開園日の表記!$A$2:$B$13,2,FALSE),""), "")</f>
        <v/>
      </c>
      <c r="L159" s="75" t="str">
        <f t="array" ref="L159">IFERROR(IF(INDEX(Kintoneデータ抽出!F:F, _xlfn.AGGREGATE(15, 6, ROW(Kintoneデータ抽出!$K$2:$K$5000) / ((Kintoneデータ抽出!$K$2:$K$5000="院内")), ROW(A122)))&lt;&gt;"",
IF(COUNTIF(INDEX(Kintoneデータ抽出!F:F, _xlfn.AGGREGATE(15, 6, ROW(Kintoneデータ抽出!$K$2:$K$5000) / ((Kintoneデータ抽出!$K$2:$K$5000="院内")), ROW(A122))),"*あり*"),"夜間",""),""), "")</f>
        <v/>
      </c>
      <c r="M159" s="75" t="str">
        <f t="array" ref="M159">IFERROR(IF(INDEX(Kintoneデータ抽出!I:I, _xlfn.AGGREGATE(15, 6, ROW(Kintoneデータ抽出!$K$2:$K$5000) / ((Kintoneデータ抽出!$K$2:$K$5000="院内")), ROW(A122)))&lt;&gt;"",
IF(COUNTIF(INDEX(Kintoneデータ抽出!I:I, _xlfn.AGGREGATE(15, 6, ROW(Kintoneデータ抽出!$K$2:$K$5000) / ((Kintoneデータ抽出!$K$2:$K$5000="院内")), ROW(A122))),"*あり*"),"学童",""),""), "")</f>
        <v/>
      </c>
      <c r="N159" s="75" t="str">
        <f t="array" ref="N159">IFERROR(IF(INDEX(Kintoneデータ抽出!H:H, _xlfn.AGGREGATE(15, 6, ROW(Kintoneデータ抽出!$K$2:$K$5000) / ((Kintoneデータ抽出!$K$2:$K$5000="院内")), ROW(A122)))&lt;&gt;"",
IF(COUNTIF(INDEX(Kintoneデータ抽出!H:H, _xlfn.AGGREGATE(15, 6, ROW(Kintoneデータ抽出!$K$2:$K$5000) / ((Kintoneデータ抽出!$K$2:$K$5000="院内")), ROW(A122))),"*あり*"),"病児",""),""), "")</f>
        <v/>
      </c>
      <c r="O159" s="94" t="str" cm="1">
        <f t="array" ref="O159">IFERROR(
IF(INDEX(Kintoneデータ抽出!M:M, _xlfn.AGGREGATE(15, 6, ROW(Kintoneデータ抽出!$K$2:$K$5000) / ((Kintoneデータ抽出!$K$2:$K$5000="院内")), ROW(A122)))&lt;&gt;0,INDEX(Kintoneデータ抽出!M:M, _xlfn.AGGREGATE(15, 6, ROW(Kintoneデータ抽出!$K$2:$K$5000) / ((Kintoneデータ抽出!$K$2:$K$5000="院内")), ROW(A122))),""), "")</f>
        <v/>
      </c>
      <c r="P159" s="78" t="str">
        <f t="array" ref="P159">IFERROR(IF(INDEX(Kintoneデータ抽出!L:L, _xlfn.AGGREGATE(15, 6, ROW(Kintoneデータ抽出!$K$2:$K$5000) / ((Kintoneデータ抽出!$K$2:$K$5000="院内")), ROW(A122)))&lt;&gt;"",
IF(COUNTIF(INDEX(Kintoneデータ抽出!L:L, _xlfn.AGGREGATE(15, 6, ROW(Kintoneデータ抽出!$K$2:$K$5000) / ((Kintoneデータ抽出!$K$2:$K$5000="院内")), ROW(A122))),"*企業主導型以外*"),"",
IF(COUNTIF(INDEX(Kintoneデータ抽出!L:L, _xlfn.AGGREGATE(15, 6, ROW(Kintoneデータ抽出!$K$2:$K$5000) / ((Kintoneデータ抽出!$K$2:$K$5000="院内")), ROW(A122))),"*その他*"),"",
IF(COUNTIF(INDEX(Kintoneデータ抽出!L:L, _xlfn.AGGREGATE(15, 6, ROW(Kintoneデータ抽出!$K$2:$K$5000) / ((Kintoneデータ抽出!$K$2:$K$5000="院内")), ROW(A122))),"*新制度*"),"新制度","企業主導型"))),""), "")</f>
        <v/>
      </c>
    </row>
    <row r="160" spans="2:16" ht="34.799999999999997" customHeight="1" x14ac:dyDescent="0.45">
      <c r="B160" s="45"/>
      <c r="C160" s="46"/>
      <c r="D160" s="98" t="str">
        <f t="shared" si="2"/>
        <v/>
      </c>
      <c r="E160" s="99"/>
      <c r="F160" s="75" t="str">
        <f t="array" ref="F160">IFERROR(INDEX(Kintoneデータ抽出!A:A, _xlfn.AGGREGATE(15, 6, ROW(Kintoneデータ抽出!$K$2:$K$5000) / ((Kintoneデータ抽出!$K$2:$K$5000="院内")), ROW(A123))), "")</f>
        <v/>
      </c>
      <c r="G160" s="77" t="str">
        <f t="array" ref="G160">IFERROR(INDEX(Kintoneデータ抽出!D:D, _xlfn.AGGREGATE(15, 6, ROW(Kintoneデータ抽出!$K$2:$K$5000) / ((Kintoneデータ抽出!$K$2:$K$5000="院内")), ROW(A123))), "")</f>
        <v/>
      </c>
      <c r="H160" s="77" t="str">
        <f t="array" ref="H160">IFERROR(INDEX(Kintoneデータ抽出!C:C, _xlfn.AGGREGATE(15, 6, ROW(Kintoneデータ抽出!$K$2:$K$5000) / ((Kintoneデータ抽出!$K$2:$K$5000="院内")), ROW(A123))), "")</f>
        <v/>
      </c>
      <c r="I160" s="75" t="str">
        <f t="array" ref="I160">IFERROR(IF(INDEX(Kintoneデータ抽出!G:G, _xlfn.AGGREGATE(15, 6, ROW(Kintoneデータ抽出!$K$2:$K$5000) / ((Kintoneデータ抽出!$K$2:$K$5000="院内")), ROW(A123)))&lt;&gt;"",INDEX(Kintoneデータ抽出!G:G, _xlfn.AGGREGATE(15, 6, ROW(Kintoneデータ抽出!$K$2:$K$5000) / ((Kintoneデータ抽出!$K$2:$K$5000="院内")), ROW(A123)))&amp;"名",""), "")</f>
        <v/>
      </c>
      <c r="J160" s="76" t="str">
        <f t="array" ref="J160">IFERROR(IF(INDEX(Kintoneデータ抽出!E:E, _xlfn.AGGREGATE(15, 6, ROW(Kintoneデータ抽出!$K$2:$K$5000) / ((Kintoneデータ抽出!$K$2:$K$5000="院内")), ROW(A123)))&lt;&gt;"",
YEAR(INDEX(Kintoneデータ抽出!E:E, _xlfn.AGGREGATE(15, 6, ROW(Kintoneデータ抽出!$K$2:$K$5000) / ((Kintoneデータ抽出!$K$2:$K$5000="院内")), ROW(A123))))&amp;"年"
&amp;MONTH(INDEX(Kintoneデータ抽出!E:E, _xlfn.AGGREGATE(15, 6, ROW(Kintoneデータ抽出!$K$2:$K$5000) / ((Kintoneデータ抽出!$K$2:$K$5000="院内")), ROW(A123))))&amp;"月"
&amp;DAY(INDEX(Kintoneデータ抽出!E:E, _xlfn.AGGREGATE(15, 6, ROW(Kintoneデータ抽出!$K$2:$K$5000) /((Kintoneデータ抽出!$K$2:$K$5000="院内")), ROW(A123))))&amp;"日",""), "")</f>
        <v/>
      </c>
      <c r="K160" s="77" t="str" cm="1">
        <f t="array" ref="K160">IFERROR(IF(INDEX(Kintoneデータ抽出!F:F, _xlfn.AGGREGATE(15, 6, ROW(Kintoneデータ抽出!$K$2:$K$5000) / ((Kintoneデータ抽出!$K$2:$K$5000="院内")), ROW(A123)))&lt;&gt;"",
VLOOKUP(INDEX(Kintoneデータ抽出!F:F, _xlfn.AGGREGATE(15, 6, ROW(Kintoneデータ抽出!$K$2:$K$5000) / ((Kintoneデータ抽出!$K$2:$K$5000="院内")), ROW(A123))),基本開園日の表記!$A$2:$B$13,2,FALSE),""), "")</f>
        <v/>
      </c>
      <c r="L160" s="75" t="str">
        <f t="array" ref="L160">IFERROR(IF(INDEX(Kintoneデータ抽出!F:F, _xlfn.AGGREGATE(15, 6, ROW(Kintoneデータ抽出!$K$2:$K$5000) / ((Kintoneデータ抽出!$K$2:$K$5000="院内")), ROW(A123)))&lt;&gt;"",
IF(COUNTIF(INDEX(Kintoneデータ抽出!F:F, _xlfn.AGGREGATE(15, 6, ROW(Kintoneデータ抽出!$K$2:$K$5000) / ((Kintoneデータ抽出!$K$2:$K$5000="院内")), ROW(A123))),"*あり*"),"夜間",""),""), "")</f>
        <v/>
      </c>
      <c r="M160" s="75" t="str">
        <f t="array" ref="M160">IFERROR(IF(INDEX(Kintoneデータ抽出!I:I, _xlfn.AGGREGATE(15, 6, ROW(Kintoneデータ抽出!$K$2:$K$5000) / ((Kintoneデータ抽出!$K$2:$K$5000="院内")), ROW(A123)))&lt;&gt;"",
IF(COUNTIF(INDEX(Kintoneデータ抽出!I:I, _xlfn.AGGREGATE(15, 6, ROW(Kintoneデータ抽出!$K$2:$K$5000) / ((Kintoneデータ抽出!$K$2:$K$5000="院内")), ROW(A123))),"*あり*"),"学童",""),""), "")</f>
        <v/>
      </c>
      <c r="N160" s="75" t="str">
        <f t="array" ref="N160">IFERROR(IF(INDEX(Kintoneデータ抽出!H:H, _xlfn.AGGREGATE(15, 6, ROW(Kintoneデータ抽出!$K$2:$K$5000) / ((Kintoneデータ抽出!$K$2:$K$5000="院内")), ROW(A123)))&lt;&gt;"",
IF(COUNTIF(INDEX(Kintoneデータ抽出!H:H, _xlfn.AGGREGATE(15, 6, ROW(Kintoneデータ抽出!$K$2:$K$5000) / ((Kintoneデータ抽出!$K$2:$K$5000="院内")), ROW(A123))),"*あり*"),"病児",""),""), "")</f>
        <v/>
      </c>
      <c r="O160" s="94" t="str" cm="1">
        <f t="array" ref="O160">IFERROR(
IF(INDEX(Kintoneデータ抽出!M:M, _xlfn.AGGREGATE(15, 6, ROW(Kintoneデータ抽出!$K$2:$K$5000) / ((Kintoneデータ抽出!$K$2:$K$5000="院内")), ROW(A123)))&lt;&gt;0,INDEX(Kintoneデータ抽出!M:M, _xlfn.AGGREGATE(15, 6, ROW(Kintoneデータ抽出!$K$2:$K$5000) / ((Kintoneデータ抽出!$K$2:$K$5000="院内")), ROW(A123))),""), "")</f>
        <v/>
      </c>
      <c r="P160" s="78" t="str">
        <f t="array" ref="P160">IFERROR(IF(INDEX(Kintoneデータ抽出!L:L, _xlfn.AGGREGATE(15, 6, ROW(Kintoneデータ抽出!$K$2:$K$5000) / ((Kintoneデータ抽出!$K$2:$K$5000="院内")), ROW(A123)))&lt;&gt;"",
IF(COUNTIF(INDEX(Kintoneデータ抽出!L:L, _xlfn.AGGREGATE(15, 6, ROW(Kintoneデータ抽出!$K$2:$K$5000) / ((Kintoneデータ抽出!$K$2:$K$5000="院内")), ROW(A123))),"*企業主導型以外*"),"",
IF(COUNTIF(INDEX(Kintoneデータ抽出!L:L, _xlfn.AGGREGATE(15, 6, ROW(Kintoneデータ抽出!$K$2:$K$5000) / ((Kintoneデータ抽出!$K$2:$K$5000="院内")), ROW(A123))),"*その他*"),"",
IF(COUNTIF(INDEX(Kintoneデータ抽出!L:L, _xlfn.AGGREGATE(15, 6, ROW(Kintoneデータ抽出!$K$2:$K$5000) / ((Kintoneデータ抽出!$K$2:$K$5000="院内")), ROW(A123))),"*新制度*"),"新制度","企業主導型"))),""), "")</f>
        <v/>
      </c>
    </row>
    <row r="161" spans="2:16" ht="34.799999999999997" customHeight="1" x14ac:dyDescent="0.45">
      <c r="B161" s="45"/>
      <c r="C161" s="46"/>
      <c r="D161" s="98" t="str">
        <f t="shared" si="2"/>
        <v/>
      </c>
      <c r="E161" s="99"/>
      <c r="F161" s="75" t="str">
        <f t="array" ref="F161">IFERROR(INDEX(Kintoneデータ抽出!A:A, _xlfn.AGGREGATE(15, 6, ROW(Kintoneデータ抽出!$K$2:$K$5000) / ((Kintoneデータ抽出!$K$2:$K$5000="院内")), ROW(A124))), "")</f>
        <v/>
      </c>
      <c r="G161" s="77" t="str">
        <f t="array" ref="G161">IFERROR(INDEX(Kintoneデータ抽出!D:D, _xlfn.AGGREGATE(15, 6, ROW(Kintoneデータ抽出!$K$2:$K$5000) / ((Kintoneデータ抽出!$K$2:$K$5000="院内")), ROW(A124))), "")</f>
        <v/>
      </c>
      <c r="H161" s="77" t="str">
        <f t="array" ref="H161">IFERROR(INDEX(Kintoneデータ抽出!C:C, _xlfn.AGGREGATE(15, 6, ROW(Kintoneデータ抽出!$K$2:$K$5000) / ((Kintoneデータ抽出!$K$2:$K$5000="院内")), ROW(A124))), "")</f>
        <v/>
      </c>
      <c r="I161" s="75" t="str">
        <f t="array" ref="I161">IFERROR(IF(INDEX(Kintoneデータ抽出!G:G, _xlfn.AGGREGATE(15, 6, ROW(Kintoneデータ抽出!$K$2:$K$5000) / ((Kintoneデータ抽出!$K$2:$K$5000="院内")), ROW(A124)))&lt;&gt;"",INDEX(Kintoneデータ抽出!G:G, _xlfn.AGGREGATE(15, 6, ROW(Kintoneデータ抽出!$K$2:$K$5000) / ((Kintoneデータ抽出!$K$2:$K$5000="院内")), ROW(A124)))&amp;"名",""), "")</f>
        <v/>
      </c>
      <c r="J161" s="76" t="str">
        <f t="array" ref="J161">IFERROR(IF(INDEX(Kintoneデータ抽出!E:E, _xlfn.AGGREGATE(15, 6, ROW(Kintoneデータ抽出!$K$2:$K$5000) / ((Kintoneデータ抽出!$K$2:$K$5000="院内")), ROW(A124)))&lt;&gt;"",
YEAR(INDEX(Kintoneデータ抽出!E:E, _xlfn.AGGREGATE(15, 6, ROW(Kintoneデータ抽出!$K$2:$K$5000) / ((Kintoneデータ抽出!$K$2:$K$5000="院内")), ROW(A124))))&amp;"年"
&amp;MONTH(INDEX(Kintoneデータ抽出!E:E, _xlfn.AGGREGATE(15, 6, ROW(Kintoneデータ抽出!$K$2:$K$5000) / ((Kintoneデータ抽出!$K$2:$K$5000="院内")), ROW(A124))))&amp;"月"
&amp;DAY(INDEX(Kintoneデータ抽出!E:E, _xlfn.AGGREGATE(15, 6, ROW(Kintoneデータ抽出!$K$2:$K$5000) /((Kintoneデータ抽出!$K$2:$K$5000="院内")), ROW(A124))))&amp;"日",""), "")</f>
        <v/>
      </c>
      <c r="K161" s="77" t="str" cm="1">
        <f t="array" ref="K161">IFERROR(IF(INDEX(Kintoneデータ抽出!F:F, _xlfn.AGGREGATE(15, 6, ROW(Kintoneデータ抽出!$K$2:$K$5000) / ((Kintoneデータ抽出!$K$2:$K$5000="院内")), ROW(A124)))&lt;&gt;"",
VLOOKUP(INDEX(Kintoneデータ抽出!F:F, _xlfn.AGGREGATE(15, 6, ROW(Kintoneデータ抽出!$K$2:$K$5000) / ((Kintoneデータ抽出!$K$2:$K$5000="院内")), ROW(A124))),基本開園日の表記!$A$2:$B$13,2,FALSE),""), "")</f>
        <v/>
      </c>
      <c r="L161" s="75" t="str">
        <f t="array" ref="L161">IFERROR(IF(INDEX(Kintoneデータ抽出!F:F, _xlfn.AGGREGATE(15, 6, ROW(Kintoneデータ抽出!$K$2:$K$5000) / ((Kintoneデータ抽出!$K$2:$K$5000="院内")), ROW(A124)))&lt;&gt;"",
IF(COUNTIF(INDEX(Kintoneデータ抽出!F:F, _xlfn.AGGREGATE(15, 6, ROW(Kintoneデータ抽出!$K$2:$K$5000) / ((Kintoneデータ抽出!$K$2:$K$5000="院内")), ROW(A124))),"*あり*"),"夜間",""),""), "")</f>
        <v/>
      </c>
      <c r="M161" s="75" t="str">
        <f t="array" ref="M161">IFERROR(IF(INDEX(Kintoneデータ抽出!I:I, _xlfn.AGGREGATE(15, 6, ROW(Kintoneデータ抽出!$K$2:$K$5000) / ((Kintoneデータ抽出!$K$2:$K$5000="院内")), ROW(A124)))&lt;&gt;"",
IF(COUNTIF(INDEX(Kintoneデータ抽出!I:I, _xlfn.AGGREGATE(15, 6, ROW(Kintoneデータ抽出!$K$2:$K$5000) / ((Kintoneデータ抽出!$K$2:$K$5000="院内")), ROW(A124))),"*あり*"),"学童",""),""), "")</f>
        <v/>
      </c>
      <c r="N161" s="75" t="str">
        <f t="array" ref="N161">IFERROR(IF(INDEX(Kintoneデータ抽出!H:H, _xlfn.AGGREGATE(15, 6, ROW(Kintoneデータ抽出!$K$2:$K$5000) / ((Kintoneデータ抽出!$K$2:$K$5000="院内")), ROW(A124)))&lt;&gt;"",
IF(COUNTIF(INDEX(Kintoneデータ抽出!H:H, _xlfn.AGGREGATE(15, 6, ROW(Kintoneデータ抽出!$K$2:$K$5000) / ((Kintoneデータ抽出!$K$2:$K$5000="院内")), ROW(A124))),"*あり*"),"病児",""),""), "")</f>
        <v/>
      </c>
      <c r="O161" s="94" t="str" cm="1">
        <f t="array" ref="O161">IFERROR(
IF(INDEX(Kintoneデータ抽出!M:M, _xlfn.AGGREGATE(15, 6, ROW(Kintoneデータ抽出!$K$2:$K$5000) / ((Kintoneデータ抽出!$K$2:$K$5000="院内")), ROW(A124)))&lt;&gt;0,INDEX(Kintoneデータ抽出!M:M, _xlfn.AGGREGATE(15, 6, ROW(Kintoneデータ抽出!$K$2:$K$5000) / ((Kintoneデータ抽出!$K$2:$K$5000="院内")), ROW(A124))),""), "")</f>
        <v/>
      </c>
      <c r="P161" s="78" t="str">
        <f t="array" ref="P161">IFERROR(IF(INDEX(Kintoneデータ抽出!L:L, _xlfn.AGGREGATE(15, 6, ROW(Kintoneデータ抽出!$K$2:$K$5000) / ((Kintoneデータ抽出!$K$2:$K$5000="院内")), ROW(A124)))&lt;&gt;"",
IF(COUNTIF(INDEX(Kintoneデータ抽出!L:L, _xlfn.AGGREGATE(15, 6, ROW(Kintoneデータ抽出!$K$2:$K$5000) / ((Kintoneデータ抽出!$K$2:$K$5000="院内")), ROW(A124))),"*企業主導型以外*"),"",
IF(COUNTIF(INDEX(Kintoneデータ抽出!L:L, _xlfn.AGGREGATE(15, 6, ROW(Kintoneデータ抽出!$K$2:$K$5000) / ((Kintoneデータ抽出!$K$2:$K$5000="院内")), ROW(A124))),"*その他*"),"",
IF(COUNTIF(INDEX(Kintoneデータ抽出!L:L, _xlfn.AGGREGATE(15, 6, ROW(Kintoneデータ抽出!$K$2:$K$5000) / ((Kintoneデータ抽出!$K$2:$K$5000="院内")), ROW(A124))),"*新制度*"),"新制度","企業主導型"))),""), "")</f>
        <v/>
      </c>
    </row>
    <row r="162" spans="2:16" ht="34.799999999999997" customHeight="1" x14ac:dyDescent="0.45">
      <c r="B162" s="45"/>
      <c r="C162" s="46"/>
      <c r="D162" s="98" t="str">
        <f t="shared" si="2"/>
        <v/>
      </c>
      <c r="E162" s="99"/>
      <c r="F162" s="75" t="str">
        <f t="array" ref="F162">IFERROR(INDEX(Kintoneデータ抽出!A:A, _xlfn.AGGREGATE(15, 6, ROW(Kintoneデータ抽出!$K$2:$K$5000) / ((Kintoneデータ抽出!$K$2:$K$5000="院内")), ROW(A125))), "")</f>
        <v/>
      </c>
      <c r="G162" s="77" t="str">
        <f t="array" ref="G162">IFERROR(INDEX(Kintoneデータ抽出!D:D, _xlfn.AGGREGATE(15, 6, ROW(Kintoneデータ抽出!$K$2:$K$5000) / ((Kintoneデータ抽出!$K$2:$K$5000="院内")), ROW(A125))), "")</f>
        <v/>
      </c>
      <c r="H162" s="77" t="str">
        <f t="array" ref="H162">IFERROR(INDEX(Kintoneデータ抽出!C:C, _xlfn.AGGREGATE(15, 6, ROW(Kintoneデータ抽出!$K$2:$K$5000) / ((Kintoneデータ抽出!$K$2:$K$5000="院内")), ROW(A125))), "")</f>
        <v/>
      </c>
      <c r="I162" s="75" t="str">
        <f t="array" ref="I162">IFERROR(IF(INDEX(Kintoneデータ抽出!G:G, _xlfn.AGGREGATE(15, 6, ROW(Kintoneデータ抽出!$K$2:$K$5000) / ((Kintoneデータ抽出!$K$2:$K$5000="院内")), ROW(A125)))&lt;&gt;"",INDEX(Kintoneデータ抽出!G:G, _xlfn.AGGREGATE(15, 6, ROW(Kintoneデータ抽出!$K$2:$K$5000) / ((Kintoneデータ抽出!$K$2:$K$5000="院内")), ROW(A125)))&amp;"名",""), "")</f>
        <v/>
      </c>
      <c r="J162" s="76" t="str">
        <f t="array" ref="J162">IFERROR(IF(INDEX(Kintoneデータ抽出!E:E, _xlfn.AGGREGATE(15, 6, ROW(Kintoneデータ抽出!$K$2:$K$5000) / ((Kintoneデータ抽出!$K$2:$K$5000="院内")), ROW(A125)))&lt;&gt;"",
YEAR(INDEX(Kintoneデータ抽出!E:E, _xlfn.AGGREGATE(15, 6, ROW(Kintoneデータ抽出!$K$2:$K$5000) / ((Kintoneデータ抽出!$K$2:$K$5000="院内")), ROW(A125))))&amp;"年"
&amp;MONTH(INDEX(Kintoneデータ抽出!E:E, _xlfn.AGGREGATE(15, 6, ROW(Kintoneデータ抽出!$K$2:$K$5000) / ((Kintoneデータ抽出!$K$2:$K$5000="院内")), ROW(A125))))&amp;"月"
&amp;DAY(INDEX(Kintoneデータ抽出!E:E, _xlfn.AGGREGATE(15, 6, ROW(Kintoneデータ抽出!$K$2:$K$5000) /((Kintoneデータ抽出!$K$2:$K$5000="院内")), ROW(A125))))&amp;"日",""), "")</f>
        <v/>
      </c>
      <c r="K162" s="77" t="str" cm="1">
        <f t="array" ref="K162">IFERROR(IF(INDEX(Kintoneデータ抽出!F:F, _xlfn.AGGREGATE(15, 6, ROW(Kintoneデータ抽出!$K$2:$K$5000) / ((Kintoneデータ抽出!$K$2:$K$5000="院内")), ROW(A125)))&lt;&gt;"",
VLOOKUP(INDEX(Kintoneデータ抽出!F:F, _xlfn.AGGREGATE(15, 6, ROW(Kintoneデータ抽出!$K$2:$K$5000) / ((Kintoneデータ抽出!$K$2:$K$5000="院内")), ROW(A125))),基本開園日の表記!$A$2:$B$13,2,FALSE),""), "")</f>
        <v/>
      </c>
      <c r="L162" s="75" t="str">
        <f t="array" ref="L162">IFERROR(IF(INDEX(Kintoneデータ抽出!F:F, _xlfn.AGGREGATE(15, 6, ROW(Kintoneデータ抽出!$K$2:$K$5000) / ((Kintoneデータ抽出!$K$2:$K$5000="院内")), ROW(A125)))&lt;&gt;"",
IF(COUNTIF(INDEX(Kintoneデータ抽出!F:F, _xlfn.AGGREGATE(15, 6, ROW(Kintoneデータ抽出!$K$2:$K$5000) / ((Kintoneデータ抽出!$K$2:$K$5000="院内")), ROW(A125))),"*あり*"),"夜間",""),""), "")</f>
        <v/>
      </c>
      <c r="M162" s="75" t="str">
        <f t="array" ref="M162">IFERROR(IF(INDEX(Kintoneデータ抽出!I:I, _xlfn.AGGREGATE(15, 6, ROW(Kintoneデータ抽出!$K$2:$K$5000) / ((Kintoneデータ抽出!$K$2:$K$5000="院内")), ROW(A125)))&lt;&gt;"",
IF(COUNTIF(INDEX(Kintoneデータ抽出!I:I, _xlfn.AGGREGATE(15, 6, ROW(Kintoneデータ抽出!$K$2:$K$5000) / ((Kintoneデータ抽出!$K$2:$K$5000="院内")), ROW(A125))),"*あり*"),"学童",""),""), "")</f>
        <v/>
      </c>
      <c r="N162" s="75" t="str">
        <f t="array" ref="N162">IFERROR(IF(INDEX(Kintoneデータ抽出!H:H, _xlfn.AGGREGATE(15, 6, ROW(Kintoneデータ抽出!$K$2:$K$5000) / ((Kintoneデータ抽出!$K$2:$K$5000="院内")), ROW(A125)))&lt;&gt;"",
IF(COUNTIF(INDEX(Kintoneデータ抽出!H:H, _xlfn.AGGREGATE(15, 6, ROW(Kintoneデータ抽出!$K$2:$K$5000) / ((Kintoneデータ抽出!$K$2:$K$5000="院内")), ROW(A125))),"*あり*"),"病児",""),""), "")</f>
        <v/>
      </c>
      <c r="O162" s="94" t="str" cm="1">
        <f t="array" ref="O162">IFERROR(
IF(INDEX(Kintoneデータ抽出!M:M, _xlfn.AGGREGATE(15, 6, ROW(Kintoneデータ抽出!$K$2:$K$5000) / ((Kintoneデータ抽出!$K$2:$K$5000="院内")), ROW(A125)))&lt;&gt;0,INDEX(Kintoneデータ抽出!M:M, _xlfn.AGGREGATE(15, 6, ROW(Kintoneデータ抽出!$K$2:$K$5000) / ((Kintoneデータ抽出!$K$2:$K$5000="院内")), ROW(A125))),""), "")</f>
        <v/>
      </c>
      <c r="P162" s="78" t="str">
        <f t="array" ref="P162">IFERROR(IF(INDEX(Kintoneデータ抽出!L:L, _xlfn.AGGREGATE(15, 6, ROW(Kintoneデータ抽出!$K$2:$K$5000) / ((Kintoneデータ抽出!$K$2:$K$5000="院内")), ROW(A125)))&lt;&gt;"",
IF(COUNTIF(INDEX(Kintoneデータ抽出!L:L, _xlfn.AGGREGATE(15, 6, ROW(Kintoneデータ抽出!$K$2:$K$5000) / ((Kintoneデータ抽出!$K$2:$K$5000="院内")), ROW(A125))),"*企業主導型以外*"),"",
IF(COUNTIF(INDEX(Kintoneデータ抽出!L:L, _xlfn.AGGREGATE(15, 6, ROW(Kintoneデータ抽出!$K$2:$K$5000) / ((Kintoneデータ抽出!$K$2:$K$5000="院内")), ROW(A125))),"*その他*"),"",
IF(COUNTIF(INDEX(Kintoneデータ抽出!L:L, _xlfn.AGGREGATE(15, 6, ROW(Kintoneデータ抽出!$K$2:$K$5000) / ((Kintoneデータ抽出!$K$2:$K$5000="院内")), ROW(A125))),"*新制度*"),"新制度","企業主導型"))),""), "")</f>
        <v/>
      </c>
    </row>
    <row r="163" spans="2:16" ht="34.799999999999997" customHeight="1" x14ac:dyDescent="0.45">
      <c r="B163" s="45"/>
      <c r="C163" s="46"/>
      <c r="D163" s="98" t="str">
        <f t="shared" si="2"/>
        <v/>
      </c>
      <c r="E163" s="99"/>
      <c r="F163" s="75" t="str">
        <f t="array" ref="F163">IFERROR(INDEX(Kintoneデータ抽出!A:A, _xlfn.AGGREGATE(15, 6, ROW(Kintoneデータ抽出!$K$2:$K$5000) / ((Kintoneデータ抽出!$K$2:$K$5000="院内")), ROW(A126))), "")</f>
        <v/>
      </c>
      <c r="G163" s="77" t="str">
        <f t="array" ref="G163">IFERROR(INDEX(Kintoneデータ抽出!D:D, _xlfn.AGGREGATE(15, 6, ROW(Kintoneデータ抽出!$K$2:$K$5000) / ((Kintoneデータ抽出!$K$2:$K$5000="院内")), ROW(A126))), "")</f>
        <v/>
      </c>
      <c r="H163" s="77" t="str">
        <f t="array" ref="H163">IFERROR(INDEX(Kintoneデータ抽出!C:C, _xlfn.AGGREGATE(15, 6, ROW(Kintoneデータ抽出!$K$2:$K$5000) / ((Kintoneデータ抽出!$K$2:$K$5000="院内")), ROW(A126))), "")</f>
        <v/>
      </c>
      <c r="I163" s="75" t="str">
        <f t="array" ref="I163">IFERROR(IF(INDEX(Kintoneデータ抽出!G:G, _xlfn.AGGREGATE(15, 6, ROW(Kintoneデータ抽出!$K$2:$K$5000) / ((Kintoneデータ抽出!$K$2:$K$5000="院内")), ROW(A126)))&lt;&gt;"",INDEX(Kintoneデータ抽出!G:G, _xlfn.AGGREGATE(15, 6, ROW(Kintoneデータ抽出!$K$2:$K$5000) / ((Kintoneデータ抽出!$K$2:$K$5000="院内")), ROW(A126)))&amp;"名",""), "")</f>
        <v/>
      </c>
      <c r="J163" s="76" t="str">
        <f t="array" ref="J163">IFERROR(IF(INDEX(Kintoneデータ抽出!E:E, _xlfn.AGGREGATE(15, 6, ROW(Kintoneデータ抽出!$K$2:$K$5000) / ((Kintoneデータ抽出!$K$2:$K$5000="院内")), ROW(A126)))&lt;&gt;"",
YEAR(INDEX(Kintoneデータ抽出!E:E, _xlfn.AGGREGATE(15, 6, ROW(Kintoneデータ抽出!$K$2:$K$5000) / ((Kintoneデータ抽出!$K$2:$K$5000="院内")), ROW(A126))))&amp;"年"
&amp;MONTH(INDEX(Kintoneデータ抽出!E:E, _xlfn.AGGREGATE(15, 6, ROW(Kintoneデータ抽出!$K$2:$K$5000) / ((Kintoneデータ抽出!$K$2:$K$5000="院内")), ROW(A126))))&amp;"月"
&amp;DAY(INDEX(Kintoneデータ抽出!E:E, _xlfn.AGGREGATE(15, 6, ROW(Kintoneデータ抽出!$K$2:$K$5000) /((Kintoneデータ抽出!$K$2:$K$5000="院内")), ROW(A126))))&amp;"日",""), "")</f>
        <v/>
      </c>
      <c r="K163" s="77" t="str" cm="1">
        <f t="array" ref="K163">IFERROR(IF(INDEX(Kintoneデータ抽出!F:F, _xlfn.AGGREGATE(15, 6, ROW(Kintoneデータ抽出!$K$2:$K$5000) / ((Kintoneデータ抽出!$K$2:$K$5000="院内")), ROW(A126)))&lt;&gt;"",
VLOOKUP(INDEX(Kintoneデータ抽出!F:F, _xlfn.AGGREGATE(15, 6, ROW(Kintoneデータ抽出!$K$2:$K$5000) / ((Kintoneデータ抽出!$K$2:$K$5000="院内")), ROW(A126))),基本開園日の表記!$A$2:$B$13,2,FALSE),""), "")</f>
        <v/>
      </c>
      <c r="L163" s="75" t="str">
        <f t="array" ref="L163">IFERROR(IF(INDEX(Kintoneデータ抽出!F:F, _xlfn.AGGREGATE(15, 6, ROW(Kintoneデータ抽出!$K$2:$K$5000) / ((Kintoneデータ抽出!$K$2:$K$5000="院内")), ROW(A126)))&lt;&gt;"",
IF(COUNTIF(INDEX(Kintoneデータ抽出!F:F, _xlfn.AGGREGATE(15, 6, ROW(Kintoneデータ抽出!$K$2:$K$5000) / ((Kintoneデータ抽出!$K$2:$K$5000="院内")), ROW(A126))),"*あり*"),"夜間",""),""), "")</f>
        <v/>
      </c>
      <c r="M163" s="75" t="str">
        <f t="array" ref="M163">IFERROR(IF(INDEX(Kintoneデータ抽出!I:I, _xlfn.AGGREGATE(15, 6, ROW(Kintoneデータ抽出!$K$2:$K$5000) / ((Kintoneデータ抽出!$K$2:$K$5000="院内")), ROW(A126)))&lt;&gt;"",
IF(COUNTIF(INDEX(Kintoneデータ抽出!I:I, _xlfn.AGGREGATE(15, 6, ROW(Kintoneデータ抽出!$K$2:$K$5000) / ((Kintoneデータ抽出!$K$2:$K$5000="院内")), ROW(A126))),"*あり*"),"学童",""),""), "")</f>
        <v/>
      </c>
      <c r="N163" s="75" t="str">
        <f t="array" ref="N163">IFERROR(IF(INDEX(Kintoneデータ抽出!H:H, _xlfn.AGGREGATE(15, 6, ROW(Kintoneデータ抽出!$K$2:$K$5000) / ((Kintoneデータ抽出!$K$2:$K$5000="院内")), ROW(A126)))&lt;&gt;"",
IF(COUNTIF(INDEX(Kintoneデータ抽出!H:H, _xlfn.AGGREGATE(15, 6, ROW(Kintoneデータ抽出!$K$2:$K$5000) / ((Kintoneデータ抽出!$K$2:$K$5000="院内")), ROW(A126))),"*あり*"),"病児",""),""), "")</f>
        <v/>
      </c>
      <c r="O163" s="94" t="str" cm="1">
        <f t="array" ref="O163">IFERROR(
IF(INDEX(Kintoneデータ抽出!M:M, _xlfn.AGGREGATE(15, 6, ROW(Kintoneデータ抽出!$K$2:$K$5000) / ((Kintoneデータ抽出!$K$2:$K$5000="院内")), ROW(A126)))&lt;&gt;0,INDEX(Kintoneデータ抽出!M:M, _xlfn.AGGREGATE(15, 6, ROW(Kintoneデータ抽出!$K$2:$K$5000) / ((Kintoneデータ抽出!$K$2:$K$5000="院内")), ROW(A126))),""), "")</f>
        <v/>
      </c>
      <c r="P163" s="78" t="str">
        <f t="array" ref="P163">IFERROR(IF(INDEX(Kintoneデータ抽出!L:L, _xlfn.AGGREGATE(15, 6, ROW(Kintoneデータ抽出!$K$2:$K$5000) / ((Kintoneデータ抽出!$K$2:$K$5000="院内")), ROW(A126)))&lt;&gt;"",
IF(COUNTIF(INDEX(Kintoneデータ抽出!L:L, _xlfn.AGGREGATE(15, 6, ROW(Kintoneデータ抽出!$K$2:$K$5000) / ((Kintoneデータ抽出!$K$2:$K$5000="院内")), ROW(A126))),"*企業主導型以外*"),"",
IF(COUNTIF(INDEX(Kintoneデータ抽出!L:L, _xlfn.AGGREGATE(15, 6, ROW(Kintoneデータ抽出!$K$2:$K$5000) / ((Kintoneデータ抽出!$K$2:$K$5000="院内")), ROW(A126))),"*その他*"),"",
IF(COUNTIF(INDEX(Kintoneデータ抽出!L:L, _xlfn.AGGREGATE(15, 6, ROW(Kintoneデータ抽出!$K$2:$K$5000) / ((Kintoneデータ抽出!$K$2:$K$5000="院内")), ROW(A126))),"*新制度*"),"新制度","企業主導型"))),""), "")</f>
        <v/>
      </c>
    </row>
    <row r="164" spans="2:16" ht="34.799999999999997" customHeight="1" x14ac:dyDescent="0.45">
      <c r="B164" s="45"/>
      <c r="C164" s="46"/>
      <c r="D164" s="98" t="str">
        <f t="shared" si="2"/>
        <v/>
      </c>
      <c r="E164" s="99"/>
      <c r="F164" s="75" t="str">
        <f t="array" ref="F164">IFERROR(INDEX(Kintoneデータ抽出!A:A, _xlfn.AGGREGATE(15, 6, ROW(Kintoneデータ抽出!$K$2:$K$5000) / ((Kintoneデータ抽出!$K$2:$K$5000="院内")), ROW(A127))), "")</f>
        <v/>
      </c>
      <c r="G164" s="77" t="str">
        <f t="array" ref="G164">IFERROR(INDEX(Kintoneデータ抽出!D:D, _xlfn.AGGREGATE(15, 6, ROW(Kintoneデータ抽出!$K$2:$K$5000) / ((Kintoneデータ抽出!$K$2:$K$5000="院内")), ROW(A127))), "")</f>
        <v/>
      </c>
      <c r="H164" s="77" t="str">
        <f t="array" ref="H164">IFERROR(INDEX(Kintoneデータ抽出!C:C, _xlfn.AGGREGATE(15, 6, ROW(Kintoneデータ抽出!$K$2:$K$5000) / ((Kintoneデータ抽出!$K$2:$K$5000="院内")), ROW(A127))), "")</f>
        <v/>
      </c>
      <c r="I164" s="75" t="str">
        <f t="array" ref="I164">IFERROR(IF(INDEX(Kintoneデータ抽出!G:G, _xlfn.AGGREGATE(15, 6, ROW(Kintoneデータ抽出!$K$2:$K$5000) / ((Kintoneデータ抽出!$K$2:$K$5000="院内")), ROW(A127)))&lt;&gt;"",INDEX(Kintoneデータ抽出!G:G, _xlfn.AGGREGATE(15, 6, ROW(Kintoneデータ抽出!$K$2:$K$5000) / ((Kintoneデータ抽出!$K$2:$K$5000="院内")), ROW(A127)))&amp;"名",""), "")</f>
        <v/>
      </c>
      <c r="J164" s="76" t="str">
        <f t="array" ref="J164">IFERROR(IF(INDEX(Kintoneデータ抽出!E:E, _xlfn.AGGREGATE(15, 6, ROW(Kintoneデータ抽出!$K$2:$K$5000) / ((Kintoneデータ抽出!$K$2:$K$5000="院内")), ROW(A127)))&lt;&gt;"",
YEAR(INDEX(Kintoneデータ抽出!E:E, _xlfn.AGGREGATE(15, 6, ROW(Kintoneデータ抽出!$K$2:$K$5000) / ((Kintoneデータ抽出!$K$2:$K$5000="院内")), ROW(A127))))&amp;"年"
&amp;MONTH(INDEX(Kintoneデータ抽出!E:E, _xlfn.AGGREGATE(15, 6, ROW(Kintoneデータ抽出!$K$2:$K$5000) / ((Kintoneデータ抽出!$K$2:$K$5000="院内")), ROW(A127))))&amp;"月"
&amp;DAY(INDEX(Kintoneデータ抽出!E:E, _xlfn.AGGREGATE(15, 6, ROW(Kintoneデータ抽出!$K$2:$K$5000) /((Kintoneデータ抽出!$K$2:$K$5000="院内")), ROW(A127))))&amp;"日",""), "")</f>
        <v/>
      </c>
      <c r="K164" s="77" t="str" cm="1">
        <f t="array" ref="K164">IFERROR(IF(INDEX(Kintoneデータ抽出!F:F, _xlfn.AGGREGATE(15, 6, ROW(Kintoneデータ抽出!$K$2:$K$5000) / ((Kintoneデータ抽出!$K$2:$K$5000="院内")), ROW(A127)))&lt;&gt;"",
VLOOKUP(INDEX(Kintoneデータ抽出!F:F, _xlfn.AGGREGATE(15, 6, ROW(Kintoneデータ抽出!$K$2:$K$5000) / ((Kintoneデータ抽出!$K$2:$K$5000="院内")), ROW(A127))),基本開園日の表記!$A$2:$B$13,2,FALSE),""), "")</f>
        <v/>
      </c>
      <c r="L164" s="75" t="str">
        <f t="array" ref="L164">IFERROR(IF(INDEX(Kintoneデータ抽出!F:F, _xlfn.AGGREGATE(15, 6, ROW(Kintoneデータ抽出!$K$2:$K$5000) / ((Kintoneデータ抽出!$K$2:$K$5000="院内")), ROW(A127)))&lt;&gt;"",
IF(COUNTIF(INDEX(Kintoneデータ抽出!F:F, _xlfn.AGGREGATE(15, 6, ROW(Kintoneデータ抽出!$K$2:$K$5000) / ((Kintoneデータ抽出!$K$2:$K$5000="院内")), ROW(A127))),"*あり*"),"夜間",""),""), "")</f>
        <v/>
      </c>
      <c r="M164" s="75" t="str">
        <f t="array" ref="M164">IFERROR(IF(INDEX(Kintoneデータ抽出!I:I, _xlfn.AGGREGATE(15, 6, ROW(Kintoneデータ抽出!$K$2:$K$5000) / ((Kintoneデータ抽出!$K$2:$K$5000="院内")), ROW(A127)))&lt;&gt;"",
IF(COUNTIF(INDEX(Kintoneデータ抽出!I:I, _xlfn.AGGREGATE(15, 6, ROW(Kintoneデータ抽出!$K$2:$K$5000) / ((Kintoneデータ抽出!$K$2:$K$5000="院内")), ROW(A127))),"*あり*"),"学童",""),""), "")</f>
        <v/>
      </c>
      <c r="N164" s="75" t="str">
        <f t="array" ref="N164">IFERROR(IF(INDEX(Kintoneデータ抽出!H:H, _xlfn.AGGREGATE(15, 6, ROW(Kintoneデータ抽出!$K$2:$K$5000) / ((Kintoneデータ抽出!$K$2:$K$5000="院内")), ROW(A127)))&lt;&gt;"",
IF(COUNTIF(INDEX(Kintoneデータ抽出!H:H, _xlfn.AGGREGATE(15, 6, ROW(Kintoneデータ抽出!$K$2:$K$5000) / ((Kintoneデータ抽出!$K$2:$K$5000="院内")), ROW(A127))),"*あり*"),"病児",""),""), "")</f>
        <v/>
      </c>
      <c r="O164" s="94" t="str" cm="1">
        <f t="array" ref="O164">IFERROR(
IF(INDEX(Kintoneデータ抽出!M:M, _xlfn.AGGREGATE(15, 6, ROW(Kintoneデータ抽出!$K$2:$K$5000) / ((Kintoneデータ抽出!$K$2:$K$5000="院内")), ROW(A127)))&lt;&gt;0,INDEX(Kintoneデータ抽出!M:M, _xlfn.AGGREGATE(15, 6, ROW(Kintoneデータ抽出!$K$2:$K$5000) / ((Kintoneデータ抽出!$K$2:$K$5000="院内")), ROW(A127))),""), "")</f>
        <v/>
      </c>
      <c r="P164" s="78" t="str">
        <f t="array" ref="P164">IFERROR(IF(INDEX(Kintoneデータ抽出!L:L, _xlfn.AGGREGATE(15, 6, ROW(Kintoneデータ抽出!$K$2:$K$5000) / ((Kintoneデータ抽出!$K$2:$K$5000="院内")), ROW(A127)))&lt;&gt;"",
IF(COUNTIF(INDEX(Kintoneデータ抽出!L:L, _xlfn.AGGREGATE(15, 6, ROW(Kintoneデータ抽出!$K$2:$K$5000) / ((Kintoneデータ抽出!$K$2:$K$5000="院内")), ROW(A127))),"*企業主導型以外*"),"",
IF(COUNTIF(INDEX(Kintoneデータ抽出!L:L, _xlfn.AGGREGATE(15, 6, ROW(Kintoneデータ抽出!$K$2:$K$5000) / ((Kintoneデータ抽出!$K$2:$K$5000="院内")), ROW(A127))),"*その他*"),"",
IF(COUNTIF(INDEX(Kintoneデータ抽出!L:L, _xlfn.AGGREGATE(15, 6, ROW(Kintoneデータ抽出!$K$2:$K$5000) / ((Kintoneデータ抽出!$K$2:$K$5000="院内")), ROW(A127))),"*新制度*"),"新制度","企業主導型"))),""), "")</f>
        <v/>
      </c>
    </row>
    <row r="165" spans="2:16" ht="34.799999999999997" customHeight="1" x14ac:dyDescent="0.45">
      <c r="B165" s="45"/>
      <c r="C165" s="46"/>
      <c r="D165" s="98" t="str">
        <f t="shared" si="2"/>
        <v/>
      </c>
      <c r="E165" s="99"/>
      <c r="F165" s="75" t="str">
        <f t="array" ref="F165">IFERROR(INDEX(Kintoneデータ抽出!A:A, _xlfn.AGGREGATE(15, 6, ROW(Kintoneデータ抽出!$K$2:$K$5000) / ((Kintoneデータ抽出!$K$2:$K$5000="院内")), ROW(A128))), "")</f>
        <v/>
      </c>
      <c r="G165" s="77" t="str">
        <f t="array" ref="G165">IFERROR(INDEX(Kintoneデータ抽出!D:D, _xlfn.AGGREGATE(15, 6, ROW(Kintoneデータ抽出!$K$2:$K$5000) / ((Kintoneデータ抽出!$K$2:$K$5000="院内")), ROW(A128))), "")</f>
        <v/>
      </c>
      <c r="H165" s="77" t="str">
        <f t="array" ref="H165">IFERROR(INDEX(Kintoneデータ抽出!C:C, _xlfn.AGGREGATE(15, 6, ROW(Kintoneデータ抽出!$K$2:$K$5000) / ((Kintoneデータ抽出!$K$2:$K$5000="院内")), ROW(A128))), "")</f>
        <v/>
      </c>
      <c r="I165" s="75" t="str">
        <f t="array" ref="I165">IFERROR(IF(INDEX(Kintoneデータ抽出!G:G, _xlfn.AGGREGATE(15, 6, ROW(Kintoneデータ抽出!$K$2:$K$5000) / ((Kintoneデータ抽出!$K$2:$K$5000="院内")), ROW(A128)))&lt;&gt;"",INDEX(Kintoneデータ抽出!G:G, _xlfn.AGGREGATE(15, 6, ROW(Kintoneデータ抽出!$K$2:$K$5000) / ((Kintoneデータ抽出!$K$2:$K$5000="院内")), ROW(A128)))&amp;"名",""), "")</f>
        <v/>
      </c>
      <c r="J165" s="76" t="str">
        <f t="array" ref="J165">IFERROR(IF(INDEX(Kintoneデータ抽出!E:E, _xlfn.AGGREGATE(15, 6, ROW(Kintoneデータ抽出!$K$2:$K$5000) / ((Kintoneデータ抽出!$K$2:$K$5000="院内")), ROW(A128)))&lt;&gt;"",
YEAR(INDEX(Kintoneデータ抽出!E:E, _xlfn.AGGREGATE(15, 6, ROW(Kintoneデータ抽出!$K$2:$K$5000) / ((Kintoneデータ抽出!$K$2:$K$5000="院内")), ROW(A128))))&amp;"年"
&amp;MONTH(INDEX(Kintoneデータ抽出!E:E, _xlfn.AGGREGATE(15, 6, ROW(Kintoneデータ抽出!$K$2:$K$5000) / ((Kintoneデータ抽出!$K$2:$K$5000="院内")), ROW(A128))))&amp;"月"
&amp;DAY(INDEX(Kintoneデータ抽出!E:E, _xlfn.AGGREGATE(15, 6, ROW(Kintoneデータ抽出!$K$2:$K$5000) /((Kintoneデータ抽出!$K$2:$K$5000="院内")), ROW(A128))))&amp;"日",""), "")</f>
        <v/>
      </c>
      <c r="K165" s="77" t="str" cm="1">
        <f t="array" ref="K165">IFERROR(IF(INDEX(Kintoneデータ抽出!F:F, _xlfn.AGGREGATE(15, 6, ROW(Kintoneデータ抽出!$K$2:$K$5000) / ((Kintoneデータ抽出!$K$2:$K$5000="院内")), ROW(A128)))&lt;&gt;"",
VLOOKUP(INDEX(Kintoneデータ抽出!F:F, _xlfn.AGGREGATE(15, 6, ROW(Kintoneデータ抽出!$K$2:$K$5000) / ((Kintoneデータ抽出!$K$2:$K$5000="院内")), ROW(A128))),基本開園日の表記!$A$2:$B$13,2,FALSE),""), "")</f>
        <v/>
      </c>
      <c r="L165" s="75" t="str">
        <f t="array" ref="L165">IFERROR(IF(INDEX(Kintoneデータ抽出!F:F, _xlfn.AGGREGATE(15, 6, ROW(Kintoneデータ抽出!$K$2:$K$5000) / ((Kintoneデータ抽出!$K$2:$K$5000="院内")), ROW(A128)))&lt;&gt;"",
IF(COUNTIF(INDEX(Kintoneデータ抽出!F:F, _xlfn.AGGREGATE(15, 6, ROW(Kintoneデータ抽出!$K$2:$K$5000) / ((Kintoneデータ抽出!$K$2:$K$5000="院内")), ROW(A128))),"*あり*"),"夜間",""),""), "")</f>
        <v/>
      </c>
      <c r="M165" s="75" t="str">
        <f t="array" ref="M165">IFERROR(IF(INDEX(Kintoneデータ抽出!I:I, _xlfn.AGGREGATE(15, 6, ROW(Kintoneデータ抽出!$K$2:$K$5000) / ((Kintoneデータ抽出!$K$2:$K$5000="院内")), ROW(A128)))&lt;&gt;"",
IF(COUNTIF(INDEX(Kintoneデータ抽出!I:I, _xlfn.AGGREGATE(15, 6, ROW(Kintoneデータ抽出!$K$2:$K$5000) / ((Kintoneデータ抽出!$K$2:$K$5000="院内")), ROW(A128))),"*あり*"),"学童",""),""), "")</f>
        <v/>
      </c>
      <c r="N165" s="75" t="str">
        <f t="array" ref="N165">IFERROR(IF(INDEX(Kintoneデータ抽出!H:H, _xlfn.AGGREGATE(15, 6, ROW(Kintoneデータ抽出!$K$2:$K$5000) / ((Kintoneデータ抽出!$K$2:$K$5000="院内")), ROW(A128)))&lt;&gt;"",
IF(COUNTIF(INDEX(Kintoneデータ抽出!H:H, _xlfn.AGGREGATE(15, 6, ROW(Kintoneデータ抽出!$K$2:$K$5000) / ((Kintoneデータ抽出!$K$2:$K$5000="院内")), ROW(A128))),"*あり*"),"病児",""),""), "")</f>
        <v/>
      </c>
      <c r="O165" s="94" t="str" cm="1">
        <f t="array" ref="O165">IFERROR(
IF(INDEX(Kintoneデータ抽出!M:M, _xlfn.AGGREGATE(15, 6, ROW(Kintoneデータ抽出!$K$2:$K$5000) / ((Kintoneデータ抽出!$K$2:$K$5000="院内")), ROW(A128)))&lt;&gt;0,INDEX(Kintoneデータ抽出!M:M, _xlfn.AGGREGATE(15, 6, ROW(Kintoneデータ抽出!$K$2:$K$5000) / ((Kintoneデータ抽出!$K$2:$K$5000="院内")), ROW(A128))),""), "")</f>
        <v/>
      </c>
      <c r="P165" s="78" t="str">
        <f t="array" ref="P165">IFERROR(IF(INDEX(Kintoneデータ抽出!L:L, _xlfn.AGGREGATE(15, 6, ROW(Kintoneデータ抽出!$K$2:$K$5000) / ((Kintoneデータ抽出!$K$2:$K$5000="院内")), ROW(A128)))&lt;&gt;"",
IF(COUNTIF(INDEX(Kintoneデータ抽出!L:L, _xlfn.AGGREGATE(15, 6, ROW(Kintoneデータ抽出!$K$2:$K$5000) / ((Kintoneデータ抽出!$K$2:$K$5000="院内")), ROW(A128))),"*企業主導型以外*"),"",
IF(COUNTIF(INDEX(Kintoneデータ抽出!L:L, _xlfn.AGGREGATE(15, 6, ROW(Kintoneデータ抽出!$K$2:$K$5000) / ((Kintoneデータ抽出!$K$2:$K$5000="院内")), ROW(A128))),"*その他*"),"",
IF(COUNTIF(INDEX(Kintoneデータ抽出!L:L, _xlfn.AGGREGATE(15, 6, ROW(Kintoneデータ抽出!$K$2:$K$5000) / ((Kintoneデータ抽出!$K$2:$K$5000="院内")), ROW(A128))),"*新制度*"),"新制度","企業主導型"))),""), "")</f>
        <v/>
      </c>
    </row>
    <row r="166" spans="2:16" ht="34.799999999999997" customHeight="1" x14ac:dyDescent="0.45">
      <c r="B166" s="45"/>
      <c r="C166" s="46"/>
      <c r="D166" s="98" t="str">
        <f t="shared" si="2"/>
        <v/>
      </c>
      <c r="E166" s="99"/>
      <c r="F166" s="75" t="str">
        <f t="array" ref="F166">IFERROR(INDEX(Kintoneデータ抽出!A:A, _xlfn.AGGREGATE(15, 6, ROW(Kintoneデータ抽出!$K$2:$K$5000) / ((Kintoneデータ抽出!$K$2:$K$5000="院内")), ROW(A129))), "")</f>
        <v/>
      </c>
      <c r="G166" s="77" t="str">
        <f t="array" ref="G166">IFERROR(INDEX(Kintoneデータ抽出!D:D, _xlfn.AGGREGATE(15, 6, ROW(Kintoneデータ抽出!$K$2:$K$5000) / ((Kintoneデータ抽出!$K$2:$K$5000="院内")), ROW(A129))), "")</f>
        <v/>
      </c>
      <c r="H166" s="77" t="str">
        <f t="array" ref="H166">IFERROR(INDEX(Kintoneデータ抽出!C:C, _xlfn.AGGREGATE(15, 6, ROW(Kintoneデータ抽出!$K$2:$K$5000) / ((Kintoneデータ抽出!$K$2:$K$5000="院内")), ROW(A129))), "")</f>
        <v/>
      </c>
      <c r="I166" s="75" t="str">
        <f t="array" ref="I166">IFERROR(IF(INDEX(Kintoneデータ抽出!G:G, _xlfn.AGGREGATE(15, 6, ROW(Kintoneデータ抽出!$K$2:$K$5000) / ((Kintoneデータ抽出!$K$2:$K$5000="院内")), ROW(A129)))&lt;&gt;"",INDEX(Kintoneデータ抽出!G:G, _xlfn.AGGREGATE(15, 6, ROW(Kintoneデータ抽出!$K$2:$K$5000) / ((Kintoneデータ抽出!$K$2:$K$5000="院内")), ROW(A129)))&amp;"名",""), "")</f>
        <v/>
      </c>
      <c r="J166" s="76" t="str">
        <f t="array" ref="J166">IFERROR(IF(INDEX(Kintoneデータ抽出!E:E, _xlfn.AGGREGATE(15, 6, ROW(Kintoneデータ抽出!$K$2:$K$5000) / ((Kintoneデータ抽出!$K$2:$K$5000="院内")), ROW(A129)))&lt;&gt;"",
YEAR(INDEX(Kintoneデータ抽出!E:E, _xlfn.AGGREGATE(15, 6, ROW(Kintoneデータ抽出!$K$2:$K$5000) / ((Kintoneデータ抽出!$K$2:$K$5000="院内")), ROW(A129))))&amp;"年"
&amp;MONTH(INDEX(Kintoneデータ抽出!E:E, _xlfn.AGGREGATE(15, 6, ROW(Kintoneデータ抽出!$K$2:$K$5000) / ((Kintoneデータ抽出!$K$2:$K$5000="院内")), ROW(A129))))&amp;"月"
&amp;DAY(INDEX(Kintoneデータ抽出!E:E, _xlfn.AGGREGATE(15, 6, ROW(Kintoneデータ抽出!$K$2:$K$5000) /((Kintoneデータ抽出!$K$2:$K$5000="院内")), ROW(A129))))&amp;"日",""), "")</f>
        <v/>
      </c>
      <c r="K166" s="77" t="str" cm="1">
        <f t="array" ref="K166">IFERROR(IF(INDEX(Kintoneデータ抽出!F:F, _xlfn.AGGREGATE(15, 6, ROW(Kintoneデータ抽出!$K$2:$K$5000) / ((Kintoneデータ抽出!$K$2:$K$5000="院内")), ROW(A129)))&lt;&gt;"",
VLOOKUP(INDEX(Kintoneデータ抽出!F:F, _xlfn.AGGREGATE(15, 6, ROW(Kintoneデータ抽出!$K$2:$K$5000) / ((Kintoneデータ抽出!$K$2:$K$5000="院内")), ROW(A129))),基本開園日の表記!$A$2:$B$13,2,FALSE),""), "")</f>
        <v/>
      </c>
      <c r="L166" s="75" t="str">
        <f t="array" ref="L166">IFERROR(IF(INDEX(Kintoneデータ抽出!F:F, _xlfn.AGGREGATE(15, 6, ROW(Kintoneデータ抽出!$K$2:$K$5000) / ((Kintoneデータ抽出!$K$2:$K$5000="院内")), ROW(A129)))&lt;&gt;"",
IF(COUNTIF(INDEX(Kintoneデータ抽出!F:F, _xlfn.AGGREGATE(15, 6, ROW(Kintoneデータ抽出!$K$2:$K$5000) / ((Kintoneデータ抽出!$K$2:$K$5000="院内")), ROW(A129))),"*あり*"),"夜間",""),""), "")</f>
        <v/>
      </c>
      <c r="M166" s="75" t="str">
        <f t="array" ref="M166">IFERROR(IF(INDEX(Kintoneデータ抽出!I:I, _xlfn.AGGREGATE(15, 6, ROW(Kintoneデータ抽出!$K$2:$K$5000) / ((Kintoneデータ抽出!$K$2:$K$5000="院内")), ROW(A129)))&lt;&gt;"",
IF(COUNTIF(INDEX(Kintoneデータ抽出!I:I, _xlfn.AGGREGATE(15, 6, ROW(Kintoneデータ抽出!$K$2:$K$5000) / ((Kintoneデータ抽出!$K$2:$K$5000="院内")), ROW(A129))),"*あり*"),"学童",""),""), "")</f>
        <v/>
      </c>
      <c r="N166" s="75" t="str">
        <f t="array" ref="N166">IFERROR(IF(INDEX(Kintoneデータ抽出!H:H, _xlfn.AGGREGATE(15, 6, ROW(Kintoneデータ抽出!$K$2:$K$5000) / ((Kintoneデータ抽出!$K$2:$K$5000="院内")), ROW(A129)))&lt;&gt;"",
IF(COUNTIF(INDEX(Kintoneデータ抽出!H:H, _xlfn.AGGREGATE(15, 6, ROW(Kintoneデータ抽出!$K$2:$K$5000) / ((Kintoneデータ抽出!$K$2:$K$5000="院内")), ROW(A129))),"*あり*"),"病児",""),""), "")</f>
        <v/>
      </c>
      <c r="O166" s="94" t="str" cm="1">
        <f t="array" ref="O166">IFERROR(
IF(INDEX(Kintoneデータ抽出!M:M, _xlfn.AGGREGATE(15, 6, ROW(Kintoneデータ抽出!$K$2:$K$5000) / ((Kintoneデータ抽出!$K$2:$K$5000="院内")), ROW(A129)))&lt;&gt;0,INDEX(Kintoneデータ抽出!M:M, _xlfn.AGGREGATE(15, 6, ROW(Kintoneデータ抽出!$K$2:$K$5000) / ((Kintoneデータ抽出!$K$2:$K$5000="院内")), ROW(A129))),""), "")</f>
        <v/>
      </c>
      <c r="P166" s="78" t="str">
        <f t="array" ref="P166">IFERROR(IF(INDEX(Kintoneデータ抽出!L:L, _xlfn.AGGREGATE(15, 6, ROW(Kintoneデータ抽出!$K$2:$K$5000) / ((Kintoneデータ抽出!$K$2:$K$5000="院内")), ROW(A129)))&lt;&gt;"",
IF(COUNTIF(INDEX(Kintoneデータ抽出!L:L, _xlfn.AGGREGATE(15, 6, ROW(Kintoneデータ抽出!$K$2:$K$5000) / ((Kintoneデータ抽出!$K$2:$K$5000="院内")), ROW(A129))),"*企業主導型以外*"),"",
IF(COUNTIF(INDEX(Kintoneデータ抽出!L:L, _xlfn.AGGREGATE(15, 6, ROW(Kintoneデータ抽出!$K$2:$K$5000) / ((Kintoneデータ抽出!$K$2:$K$5000="院内")), ROW(A129))),"*その他*"),"",
IF(COUNTIF(INDEX(Kintoneデータ抽出!L:L, _xlfn.AGGREGATE(15, 6, ROW(Kintoneデータ抽出!$K$2:$K$5000) / ((Kintoneデータ抽出!$K$2:$K$5000="院内")), ROW(A129))),"*新制度*"),"新制度","企業主導型"))),""), "")</f>
        <v/>
      </c>
    </row>
    <row r="167" spans="2:16" ht="34.799999999999997" customHeight="1" x14ac:dyDescent="0.45">
      <c r="B167" s="45"/>
      <c r="C167" s="46"/>
      <c r="D167" s="98" t="str">
        <f t="shared" ref="D167:D230" si="3">IF(H167&lt;&gt;"",D166+1,D166)</f>
        <v/>
      </c>
      <c r="E167" s="99"/>
      <c r="F167" s="75" t="str">
        <f t="array" ref="F167">IFERROR(INDEX(Kintoneデータ抽出!A:A, _xlfn.AGGREGATE(15, 6, ROW(Kintoneデータ抽出!$K$2:$K$5000) / ((Kintoneデータ抽出!$K$2:$K$5000="院内")), ROW(A130))), "")</f>
        <v/>
      </c>
      <c r="G167" s="77" t="str">
        <f t="array" ref="G167">IFERROR(INDEX(Kintoneデータ抽出!D:D, _xlfn.AGGREGATE(15, 6, ROW(Kintoneデータ抽出!$K$2:$K$5000) / ((Kintoneデータ抽出!$K$2:$K$5000="院内")), ROW(A130))), "")</f>
        <v/>
      </c>
      <c r="H167" s="77" t="str">
        <f t="array" ref="H167">IFERROR(INDEX(Kintoneデータ抽出!C:C, _xlfn.AGGREGATE(15, 6, ROW(Kintoneデータ抽出!$K$2:$K$5000) / ((Kintoneデータ抽出!$K$2:$K$5000="院内")), ROW(A130))), "")</f>
        <v/>
      </c>
      <c r="I167" s="75" t="str">
        <f t="array" ref="I167">IFERROR(IF(INDEX(Kintoneデータ抽出!G:G, _xlfn.AGGREGATE(15, 6, ROW(Kintoneデータ抽出!$K$2:$K$5000) / ((Kintoneデータ抽出!$K$2:$K$5000="院内")), ROW(A130)))&lt;&gt;"",INDEX(Kintoneデータ抽出!G:G, _xlfn.AGGREGATE(15, 6, ROW(Kintoneデータ抽出!$K$2:$K$5000) / ((Kintoneデータ抽出!$K$2:$K$5000="院内")), ROW(A130)))&amp;"名",""), "")</f>
        <v/>
      </c>
      <c r="J167" s="76" t="str">
        <f t="array" ref="J167">IFERROR(IF(INDEX(Kintoneデータ抽出!E:E, _xlfn.AGGREGATE(15, 6, ROW(Kintoneデータ抽出!$K$2:$K$5000) / ((Kintoneデータ抽出!$K$2:$K$5000="院内")), ROW(A130)))&lt;&gt;"",
YEAR(INDEX(Kintoneデータ抽出!E:E, _xlfn.AGGREGATE(15, 6, ROW(Kintoneデータ抽出!$K$2:$K$5000) / ((Kintoneデータ抽出!$K$2:$K$5000="院内")), ROW(A130))))&amp;"年"
&amp;MONTH(INDEX(Kintoneデータ抽出!E:E, _xlfn.AGGREGATE(15, 6, ROW(Kintoneデータ抽出!$K$2:$K$5000) / ((Kintoneデータ抽出!$K$2:$K$5000="院内")), ROW(A130))))&amp;"月"
&amp;DAY(INDEX(Kintoneデータ抽出!E:E, _xlfn.AGGREGATE(15, 6, ROW(Kintoneデータ抽出!$K$2:$K$5000) /((Kintoneデータ抽出!$K$2:$K$5000="院内")), ROW(A130))))&amp;"日",""), "")</f>
        <v/>
      </c>
      <c r="K167" s="77" t="str" cm="1">
        <f t="array" ref="K167">IFERROR(IF(INDEX(Kintoneデータ抽出!F:F, _xlfn.AGGREGATE(15, 6, ROW(Kintoneデータ抽出!$K$2:$K$5000) / ((Kintoneデータ抽出!$K$2:$K$5000="院内")), ROW(A130)))&lt;&gt;"",
VLOOKUP(INDEX(Kintoneデータ抽出!F:F, _xlfn.AGGREGATE(15, 6, ROW(Kintoneデータ抽出!$K$2:$K$5000) / ((Kintoneデータ抽出!$K$2:$K$5000="院内")), ROW(A130))),基本開園日の表記!$A$2:$B$13,2,FALSE),""), "")</f>
        <v/>
      </c>
      <c r="L167" s="75" t="str">
        <f t="array" ref="L167">IFERROR(IF(INDEX(Kintoneデータ抽出!F:F, _xlfn.AGGREGATE(15, 6, ROW(Kintoneデータ抽出!$K$2:$K$5000) / ((Kintoneデータ抽出!$K$2:$K$5000="院内")), ROW(A130)))&lt;&gt;"",
IF(COUNTIF(INDEX(Kintoneデータ抽出!F:F, _xlfn.AGGREGATE(15, 6, ROW(Kintoneデータ抽出!$K$2:$K$5000) / ((Kintoneデータ抽出!$K$2:$K$5000="院内")), ROW(A130))),"*あり*"),"夜間",""),""), "")</f>
        <v/>
      </c>
      <c r="M167" s="75" t="str">
        <f t="array" ref="M167">IFERROR(IF(INDEX(Kintoneデータ抽出!I:I, _xlfn.AGGREGATE(15, 6, ROW(Kintoneデータ抽出!$K$2:$K$5000) / ((Kintoneデータ抽出!$K$2:$K$5000="院内")), ROW(A130)))&lt;&gt;"",
IF(COUNTIF(INDEX(Kintoneデータ抽出!I:I, _xlfn.AGGREGATE(15, 6, ROW(Kintoneデータ抽出!$K$2:$K$5000) / ((Kintoneデータ抽出!$K$2:$K$5000="院内")), ROW(A130))),"*あり*"),"学童",""),""), "")</f>
        <v/>
      </c>
      <c r="N167" s="75" t="str">
        <f t="array" ref="N167">IFERROR(IF(INDEX(Kintoneデータ抽出!H:H, _xlfn.AGGREGATE(15, 6, ROW(Kintoneデータ抽出!$K$2:$K$5000) / ((Kintoneデータ抽出!$K$2:$K$5000="院内")), ROW(A130)))&lt;&gt;"",
IF(COUNTIF(INDEX(Kintoneデータ抽出!H:H, _xlfn.AGGREGATE(15, 6, ROW(Kintoneデータ抽出!$K$2:$K$5000) / ((Kintoneデータ抽出!$K$2:$K$5000="院内")), ROW(A130))),"*あり*"),"病児",""),""), "")</f>
        <v/>
      </c>
      <c r="O167" s="94" t="str" cm="1">
        <f t="array" ref="O167">IFERROR(
IF(INDEX(Kintoneデータ抽出!M:M, _xlfn.AGGREGATE(15, 6, ROW(Kintoneデータ抽出!$K$2:$K$5000) / ((Kintoneデータ抽出!$K$2:$K$5000="院内")), ROW(A130)))&lt;&gt;0,INDEX(Kintoneデータ抽出!M:M, _xlfn.AGGREGATE(15, 6, ROW(Kintoneデータ抽出!$K$2:$K$5000) / ((Kintoneデータ抽出!$K$2:$K$5000="院内")), ROW(A130))),""), "")</f>
        <v/>
      </c>
      <c r="P167" s="78" t="str">
        <f t="array" ref="P167">IFERROR(IF(INDEX(Kintoneデータ抽出!L:L, _xlfn.AGGREGATE(15, 6, ROW(Kintoneデータ抽出!$K$2:$K$5000) / ((Kintoneデータ抽出!$K$2:$K$5000="院内")), ROW(A130)))&lt;&gt;"",
IF(COUNTIF(INDEX(Kintoneデータ抽出!L:L, _xlfn.AGGREGATE(15, 6, ROW(Kintoneデータ抽出!$K$2:$K$5000) / ((Kintoneデータ抽出!$K$2:$K$5000="院内")), ROW(A130))),"*企業主導型以外*"),"",
IF(COUNTIF(INDEX(Kintoneデータ抽出!L:L, _xlfn.AGGREGATE(15, 6, ROW(Kintoneデータ抽出!$K$2:$K$5000) / ((Kintoneデータ抽出!$K$2:$K$5000="院内")), ROW(A130))),"*その他*"),"",
IF(COUNTIF(INDEX(Kintoneデータ抽出!L:L, _xlfn.AGGREGATE(15, 6, ROW(Kintoneデータ抽出!$K$2:$K$5000) / ((Kintoneデータ抽出!$K$2:$K$5000="院内")), ROW(A130))),"*新制度*"),"新制度","企業主導型"))),""), "")</f>
        <v/>
      </c>
    </row>
    <row r="168" spans="2:16" ht="34.799999999999997" customHeight="1" x14ac:dyDescent="0.45">
      <c r="B168" s="45"/>
      <c r="C168" s="46"/>
      <c r="D168" s="98" t="str">
        <f t="shared" si="3"/>
        <v/>
      </c>
      <c r="E168" s="99"/>
      <c r="F168" s="75" t="str">
        <f t="array" ref="F168">IFERROR(INDEX(Kintoneデータ抽出!A:A, _xlfn.AGGREGATE(15, 6, ROW(Kintoneデータ抽出!$K$2:$K$5000) / ((Kintoneデータ抽出!$K$2:$K$5000="院内")), ROW(A131))), "")</f>
        <v/>
      </c>
      <c r="G168" s="77" t="str">
        <f t="array" ref="G168">IFERROR(INDEX(Kintoneデータ抽出!D:D, _xlfn.AGGREGATE(15, 6, ROW(Kintoneデータ抽出!$K$2:$K$5000) / ((Kintoneデータ抽出!$K$2:$K$5000="院内")), ROW(A131))), "")</f>
        <v/>
      </c>
      <c r="H168" s="77" t="str">
        <f t="array" ref="H168">IFERROR(INDEX(Kintoneデータ抽出!C:C, _xlfn.AGGREGATE(15, 6, ROW(Kintoneデータ抽出!$K$2:$K$5000) / ((Kintoneデータ抽出!$K$2:$K$5000="院内")), ROW(A131))), "")</f>
        <v/>
      </c>
      <c r="I168" s="75" t="str">
        <f t="array" ref="I168">IFERROR(IF(INDEX(Kintoneデータ抽出!G:G, _xlfn.AGGREGATE(15, 6, ROW(Kintoneデータ抽出!$K$2:$K$5000) / ((Kintoneデータ抽出!$K$2:$K$5000="院内")), ROW(A131)))&lt;&gt;"",INDEX(Kintoneデータ抽出!G:G, _xlfn.AGGREGATE(15, 6, ROW(Kintoneデータ抽出!$K$2:$K$5000) / ((Kintoneデータ抽出!$K$2:$K$5000="院内")), ROW(A131)))&amp;"名",""), "")</f>
        <v/>
      </c>
      <c r="J168" s="76" t="str">
        <f t="array" ref="J168">IFERROR(IF(INDEX(Kintoneデータ抽出!E:E, _xlfn.AGGREGATE(15, 6, ROW(Kintoneデータ抽出!$K$2:$K$5000) / ((Kintoneデータ抽出!$K$2:$K$5000="院内")), ROW(A131)))&lt;&gt;"",
YEAR(INDEX(Kintoneデータ抽出!E:E, _xlfn.AGGREGATE(15, 6, ROW(Kintoneデータ抽出!$K$2:$K$5000) / ((Kintoneデータ抽出!$K$2:$K$5000="院内")), ROW(A131))))&amp;"年"
&amp;MONTH(INDEX(Kintoneデータ抽出!E:E, _xlfn.AGGREGATE(15, 6, ROW(Kintoneデータ抽出!$K$2:$K$5000) / ((Kintoneデータ抽出!$K$2:$K$5000="院内")), ROW(A131))))&amp;"月"
&amp;DAY(INDEX(Kintoneデータ抽出!E:E, _xlfn.AGGREGATE(15, 6, ROW(Kintoneデータ抽出!$K$2:$K$5000) /((Kintoneデータ抽出!$K$2:$K$5000="院内")), ROW(A131))))&amp;"日",""), "")</f>
        <v/>
      </c>
      <c r="K168" s="77" t="str" cm="1">
        <f t="array" ref="K168">IFERROR(IF(INDEX(Kintoneデータ抽出!F:F, _xlfn.AGGREGATE(15, 6, ROW(Kintoneデータ抽出!$K$2:$K$5000) / ((Kintoneデータ抽出!$K$2:$K$5000="院内")), ROW(A131)))&lt;&gt;"",
VLOOKUP(INDEX(Kintoneデータ抽出!F:F, _xlfn.AGGREGATE(15, 6, ROW(Kintoneデータ抽出!$K$2:$K$5000) / ((Kintoneデータ抽出!$K$2:$K$5000="院内")), ROW(A131))),基本開園日の表記!$A$2:$B$13,2,FALSE),""), "")</f>
        <v/>
      </c>
      <c r="L168" s="75" t="str">
        <f t="array" ref="L168">IFERROR(IF(INDEX(Kintoneデータ抽出!F:F, _xlfn.AGGREGATE(15, 6, ROW(Kintoneデータ抽出!$K$2:$K$5000) / ((Kintoneデータ抽出!$K$2:$K$5000="院内")), ROW(A131)))&lt;&gt;"",
IF(COUNTIF(INDEX(Kintoneデータ抽出!F:F, _xlfn.AGGREGATE(15, 6, ROW(Kintoneデータ抽出!$K$2:$K$5000) / ((Kintoneデータ抽出!$K$2:$K$5000="院内")), ROW(A131))),"*あり*"),"夜間",""),""), "")</f>
        <v/>
      </c>
      <c r="M168" s="75" t="str">
        <f t="array" ref="M168">IFERROR(IF(INDEX(Kintoneデータ抽出!I:I, _xlfn.AGGREGATE(15, 6, ROW(Kintoneデータ抽出!$K$2:$K$5000) / ((Kintoneデータ抽出!$K$2:$K$5000="院内")), ROW(A131)))&lt;&gt;"",
IF(COUNTIF(INDEX(Kintoneデータ抽出!I:I, _xlfn.AGGREGATE(15, 6, ROW(Kintoneデータ抽出!$K$2:$K$5000) / ((Kintoneデータ抽出!$K$2:$K$5000="院内")), ROW(A131))),"*あり*"),"学童",""),""), "")</f>
        <v/>
      </c>
      <c r="N168" s="75" t="str">
        <f t="array" ref="N168">IFERROR(IF(INDEX(Kintoneデータ抽出!H:H, _xlfn.AGGREGATE(15, 6, ROW(Kintoneデータ抽出!$K$2:$K$5000) / ((Kintoneデータ抽出!$K$2:$K$5000="院内")), ROW(A131)))&lt;&gt;"",
IF(COUNTIF(INDEX(Kintoneデータ抽出!H:H, _xlfn.AGGREGATE(15, 6, ROW(Kintoneデータ抽出!$K$2:$K$5000) / ((Kintoneデータ抽出!$K$2:$K$5000="院内")), ROW(A131))),"*あり*"),"病児",""),""), "")</f>
        <v/>
      </c>
      <c r="O168" s="94" t="str" cm="1">
        <f t="array" ref="O168">IFERROR(
IF(INDEX(Kintoneデータ抽出!M:M, _xlfn.AGGREGATE(15, 6, ROW(Kintoneデータ抽出!$K$2:$K$5000) / ((Kintoneデータ抽出!$K$2:$K$5000="院内")), ROW(A131)))&lt;&gt;0,INDEX(Kintoneデータ抽出!M:M, _xlfn.AGGREGATE(15, 6, ROW(Kintoneデータ抽出!$K$2:$K$5000) / ((Kintoneデータ抽出!$K$2:$K$5000="院内")), ROW(A131))),""), "")</f>
        <v/>
      </c>
      <c r="P168" s="78" t="str">
        <f t="array" ref="P168">IFERROR(IF(INDEX(Kintoneデータ抽出!L:L, _xlfn.AGGREGATE(15, 6, ROW(Kintoneデータ抽出!$K$2:$K$5000) / ((Kintoneデータ抽出!$K$2:$K$5000="院内")), ROW(A131)))&lt;&gt;"",
IF(COUNTIF(INDEX(Kintoneデータ抽出!L:L, _xlfn.AGGREGATE(15, 6, ROW(Kintoneデータ抽出!$K$2:$K$5000) / ((Kintoneデータ抽出!$K$2:$K$5000="院内")), ROW(A131))),"*企業主導型以外*"),"",
IF(COUNTIF(INDEX(Kintoneデータ抽出!L:L, _xlfn.AGGREGATE(15, 6, ROW(Kintoneデータ抽出!$K$2:$K$5000) / ((Kintoneデータ抽出!$K$2:$K$5000="院内")), ROW(A131))),"*その他*"),"",
IF(COUNTIF(INDEX(Kintoneデータ抽出!L:L, _xlfn.AGGREGATE(15, 6, ROW(Kintoneデータ抽出!$K$2:$K$5000) / ((Kintoneデータ抽出!$K$2:$K$5000="院内")), ROW(A131))),"*新制度*"),"新制度","企業主導型"))),""), "")</f>
        <v/>
      </c>
    </row>
    <row r="169" spans="2:16" ht="34.799999999999997" customHeight="1" x14ac:dyDescent="0.45">
      <c r="B169" s="45"/>
      <c r="C169" s="46"/>
      <c r="D169" s="98" t="str">
        <f t="shared" si="3"/>
        <v/>
      </c>
      <c r="E169" s="99"/>
      <c r="F169" s="75" t="str">
        <f t="array" ref="F169">IFERROR(INDEX(Kintoneデータ抽出!A:A, _xlfn.AGGREGATE(15, 6, ROW(Kintoneデータ抽出!$K$2:$K$5000) / ((Kintoneデータ抽出!$K$2:$K$5000="院内")), ROW(A132))), "")</f>
        <v/>
      </c>
      <c r="G169" s="77" t="str">
        <f t="array" ref="G169">IFERROR(INDEX(Kintoneデータ抽出!D:D, _xlfn.AGGREGATE(15, 6, ROW(Kintoneデータ抽出!$K$2:$K$5000) / ((Kintoneデータ抽出!$K$2:$K$5000="院内")), ROW(A132))), "")</f>
        <v/>
      </c>
      <c r="H169" s="77" t="str">
        <f t="array" ref="H169">IFERROR(INDEX(Kintoneデータ抽出!C:C, _xlfn.AGGREGATE(15, 6, ROW(Kintoneデータ抽出!$K$2:$K$5000) / ((Kintoneデータ抽出!$K$2:$K$5000="院内")), ROW(A132))), "")</f>
        <v/>
      </c>
      <c r="I169" s="75" t="str">
        <f t="array" ref="I169">IFERROR(IF(INDEX(Kintoneデータ抽出!G:G, _xlfn.AGGREGATE(15, 6, ROW(Kintoneデータ抽出!$K$2:$K$5000) / ((Kintoneデータ抽出!$K$2:$K$5000="院内")), ROW(A132)))&lt;&gt;"",INDEX(Kintoneデータ抽出!G:G, _xlfn.AGGREGATE(15, 6, ROW(Kintoneデータ抽出!$K$2:$K$5000) / ((Kintoneデータ抽出!$K$2:$K$5000="院内")), ROW(A132)))&amp;"名",""), "")</f>
        <v/>
      </c>
      <c r="J169" s="76" t="str">
        <f t="array" ref="J169">IFERROR(IF(INDEX(Kintoneデータ抽出!E:E, _xlfn.AGGREGATE(15, 6, ROW(Kintoneデータ抽出!$K$2:$K$5000) / ((Kintoneデータ抽出!$K$2:$K$5000="院内")), ROW(A132)))&lt;&gt;"",
YEAR(INDEX(Kintoneデータ抽出!E:E, _xlfn.AGGREGATE(15, 6, ROW(Kintoneデータ抽出!$K$2:$K$5000) / ((Kintoneデータ抽出!$K$2:$K$5000="院内")), ROW(A132))))&amp;"年"
&amp;MONTH(INDEX(Kintoneデータ抽出!E:E, _xlfn.AGGREGATE(15, 6, ROW(Kintoneデータ抽出!$K$2:$K$5000) / ((Kintoneデータ抽出!$K$2:$K$5000="院内")), ROW(A132))))&amp;"月"
&amp;DAY(INDEX(Kintoneデータ抽出!E:E, _xlfn.AGGREGATE(15, 6, ROW(Kintoneデータ抽出!$K$2:$K$5000) /((Kintoneデータ抽出!$K$2:$K$5000="院内")), ROW(A132))))&amp;"日",""), "")</f>
        <v/>
      </c>
      <c r="K169" s="77" t="str" cm="1">
        <f t="array" ref="K169">IFERROR(IF(INDEX(Kintoneデータ抽出!F:F, _xlfn.AGGREGATE(15, 6, ROW(Kintoneデータ抽出!$K$2:$K$5000) / ((Kintoneデータ抽出!$K$2:$K$5000="院内")), ROW(A132)))&lt;&gt;"",
VLOOKUP(INDEX(Kintoneデータ抽出!F:F, _xlfn.AGGREGATE(15, 6, ROW(Kintoneデータ抽出!$K$2:$K$5000) / ((Kintoneデータ抽出!$K$2:$K$5000="院内")), ROW(A132))),基本開園日の表記!$A$2:$B$13,2,FALSE),""), "")</f>
        <v/>
      </c>
      <c r="L169" s="75" t="str">
        <f t="array" ref="L169">IFERROR(IF(INDEX(Kintoneデータ抽出!F:F, _xlfn.AGGREGATE(15, 6, ROW(Kintoneデータ抽出!$K$2:$K$5000) / ((Kintoneデータ抽出!$K$2:$K$5000="院内")), ROW(A132)))&lt;&gt;"",
IF(COUNTIF(INDEX(Kintoneデータ抽出!F:F, _xlfn.AGGREGATE(15, 6, ROW(Kintoneデータ抽出!$K$2:$K$5000) / ((Kintoneデータ抽出!$K$2:$K$5000="院内")), ROW(A132))),"*あり*"),"夜間",""),""), "")</f>
        <v/>
      </c>
      <c r="M169" s="75" t="str">
        <f t="array" ref="M169">IFERROR(IF(INDEX(Kintoneデータ抽出!I:I, _xlfn.AGGREGATE(15, 6, ROW(Kintoneデータ抽出!$K$2:$K$5000) / ((Kintoneデータ抽出!$K$2:$K$5000="院内")), ROW(A132)))&lt;&gt;"",
IF(COUNTIF(INDEX(Kintoneデータ抽出!I:I, _xlfn.AGGREGATE(15, 6, ROW(Kintoneデータ抽出!$K$2:$K$5000) / ((Kintoneデータ抽出!$K$2:$K$5000="院内")), ROW(A132))),"*あり*"),"学童",""),""), "")</f>
        <v/>
      </c>
      <c r="N169" s="75" t="str">
        <f t="array" ref="N169">IFERROR(IF(INDEX(Kintoneデータ抽出!H:H, _xlfn.AGGREGATE(15, 6, ROW(Kintoneデータ抽出!$K$2:$K$5000) / ((Kintoneデータ抽出!$K$2:$K$5000="院内")), ROW(A132)))&lt;&gt;"",
IF(COUNTIF(INDEX(Kintoneデータ抽出!H:H, _xlfn.AGGREGATE(15, 6, ROW(Kintoneデータ抽出!$K$2:$K$5000) / ((Kintoneデータ抽出!$K$2:$K$5000="院内")), ROW(A132))),"*あり*"),"病児",""),""), "")</f>
        <v/>
      </c>
      <c r="O169" s="94" t="str" cm="1">
        <f t="array" ref="O169">IFERROR(
IF(INDEX(Kintoneデータ抽出!M:M, _xlfn.AGGREGATE(15, 6, ROW(Kintoneデータ抽出!$K$2:$K$5000) / ((Kintoneデータ抽出!$K$2:$K$5000="院内")), ROW(A132)))&lt;&gt;0,INDEX(Kintoneデータ抽出!M:M, _xlfn.AGGREGATE(15, 6, ROW(Kintoneデータ抽出!$K$2:$K$5000) / ((Kintoneデータ抽出!$K$2:$K$5000="院内")), ROW(A132))),""), "")</f>
        <v/>
      </c>
      <c r="P169" s="78" t="str">
        <f t="array" ref="P169">IFERROR(IF(INDEX(Kintoneデータ抽出!L:L, _xlfn.AGGREGATE(15, 6, ROW(Kintoneデータ抽出!$K$2:$K$5000) / ((Kintoneデータ抽出!$K$2:$K$5000="院内")), ROW(A132)))&lt;&gt;"",
IF(COUNTIF(INDEX(Kintoneデータ抽出!L:L, _xlfn.AGGREGATE(15, 6, ROW(Kintoneデータ抽出!$K$2:$K$5000) / ((Kintoneデータ抽出!$K$2:$K$5000="院内")), ROW(A132))),"*企業主導型以外*"),"",
IF(COUNTIF(INDEX(Kintoneデータ抽出!L:L, _xlfn.AGGREGATE(15, 6, ROW(Kintoneデータ抽出!$K$2:$K$5000) / ((Kintoneデータ抽出!$K$2:$K$5000="院内")), ROW(A132))),"*その他*"),"",
IF(COUNTIF(INDEX(Kintoneデータ抽出!L:L, _xlfn.AGGREGATE(15, 6, ROW(Kintoneデータ抽出!$K$2:$K$5000) / ((Kintoneデータ抽出!$K$2:$K$5000="院内")), ROW(A132))),"*新制度*"),"新制度","企業主導型"))),""), "")</f>
        <v/>
      </c>
    </row>
    <row r="170" spans="2:16" ht="34.799999999999997" customHeight="1" x14ac:dyDescent="0.45">
      <c r="B170" s="45"/>
      <c r="C170" s="46"/>
      <c r="D170" s="98" t="str">
        <f t="shared" si="3"/>
        <v/>
      </c>
      <c r="E170" s="99"/>
      <c r="F170" s="75" t="str">
        <f t="array" ref="F170">IFERROR(INDEX(Kintoneデータ抽出!A:A, _xlfn.AGGREGATE(15, 6, ROW(Kintoneデータ抽出!$K$2:$K$5000) / ((Kintoneデータ抽出!$K$2:$K$5000="院内")), ROW(A133))), "")</f>
        <v/>
      </c>
      <c r="G170" s="77" t="str">
        <f t="array" ref="G170">IFERROR(INDEX(Kintoneデータ抽出!D:D, _xlfn.AGGREGATE(15, 6, ROW(Kintoneデータ抽出!$K$2:$K$5000) / ((Kintoneデータ抽出!$K$2:$K$5000="院内")), ROW(A133))), "")</f>
        <v/>
      </c>
      <c r="H170" s="77" t="str">
        <f t="array" ref="H170">IFERROR(INDEX(Kintoneデータ抽出!C:C, _xlfn.AGGREGATE(15, 6, ROW(Kintoneデータ抽出!$K$2:$K$5000) / ((Kintoneデータ抽出!$K$2:$K$5000="院内")), ROW(A133))), "")</f>
        <v/>
      </c>
      <c r="I170" s="75" t="str">
        <f t="array" ref="I170">IFERROR(IF(INDEX(Kintoneデータ抽出!G:G, _xlfn.AGGREGATE(15, 6, ROW(Kintoneデータ抽出!$K$2:$K$5000) / ((Kintoneデータ抽出!$K$2:$K$5000="院内")), ROW(A133)))&lt;&gt;"",INDEX(Kintoneデータ抽出!G:G, _xlfn.AGGREGATE(15, 6, ROW(Kintoneデータ抽出!$K$2:$K$5000) / ((Kintoneデータ抽出!$K$2:$K$5000="院内")), ROW(A133)))&amp;"名",""), "")</f>
        <v/>
      </c>
      <c r="J170" s="76" t="str">
        <f t="array" ref="J170">IFERROR(IF(INDEX(Kintoneデータ抽出!E:E, _xlfn.AGGREGATE(15, 6, ROW(Kintoneデータ抽出!$K$2:$K$5000) / ((Kintoneデータ抽出!$K$2:$K$5000="院内")), ROW(A133)))&lt;&gt;"",
YEAR(INDEX(Kintoneデータ抽出!E:E, _xlfn.AGGREGATE(15, 6, ROW(Kintoneデータ抽出!$K$2:$K$5000) / ((Kintoneデータ抽出!$K$2:$K$5000="院内")), ROW(A133))))&amp;"年"
&amp;MONTH(INDEX(Kintoneデータ抽出!E:E, _xlfn.AGGREGATE(15, 6, ROW(Kintoneデータ抽出!$K$2:$K$5000) / ((Kintoneデータ抽出!$K$2:$K$5000="院内")), ROW(A133))))&amp;"月"
&amp;DAY(INDEX(Kintoneデータ抽出!E:E, _xlfn.AGGREGATE(15, 6, ROW(Kintoneデータ抽出!$K$2:$K$5000) /((Kintoneデータ抽出!$K$2:$K$5000="院内")), ROW(A133))))&amp;"日",""), "")</f>
        <v/>
      </c>
      <c r="K170" s="77" t="str" cm="1">
        <f t="array" ref="K170">IFERROR(IF(INDEX(Kintoneデータ抽出!F:F, _xlfn.AGGREGATE(15, 6, ROW(Kintoneデータ抽出!$K$2:$K$5000) / ((Kintoneデータ抽出!$K$2:$K$5000="院内")), ROW(A133)))&lt;&gt;"",
VLOOKUP(INDEX(Kintoneデータ抽出!F:F, _xlfn.AGGREGATE(15, 6, ROW(Kintoneデータ抽出!$K$2:$K$5000) / ((Kintoneデータ抽出!$K$2:$K$5000="院内")), ROW(A133))),基本開園日の表記!$A$2:$B$13,2,FALSE),""), "")</f>
        <v/>
      </c>
      <c r="L170" s="75" t="str">
        <f t="array" ref="L170">IFERROR(IF(INDEX(Kintoneデータ抽出!F:F, _xlfn.AGGREGATE(15, 6, ROW(Kintoneデータ抽出!$K$2:$K$5000) / ((Kintoneデータ抽出!$K$2:$K$5000="院内")), ROW(A133)))&lt;&gt;"",
IF(COUNTIF(INDEX(Kintoneデータ抽出!F:F, _xlfn.AGGREGATE(15, 6, ROW(Kintoneデータ抽出!$K$2:$K$5000) / ((Kintoneデータ抽出!$K$2:$K$5000="院内")), ROW(A133))),"*あり*"),"夜間",""),""), "")</f>
        <v/>
      </c>
      <c r="M170" s="75" t="str">
        <f t="array" ref="M170">IFERROR(IF(INDEX(Kintoneデータ抽出!I:I, _xlfn.AGGREGATE(15, 6, ROW(Kintoneデータ抽出!$K$2:$K$5000) / ((Kintoneデータ抽出!$K$2:$K$5000="院内")), ROW(A133)))&lt;&gt;"",
IF(COUNTIF(INDEX(Kintoneデータ抽出!I:I, _xlfn.AGGREGATE(15, 6, ROW(Kintoneデータ抽出!$K$2:$K$5000) / ((Kintoneデータ抽出!$K$2:$K$5000="院内")), ROW(A133))),"*あり*"),"学童",""),""), "")</f>
        <v/>
      </c>
      <c r="N170" s="75" t="str">
        <f t="array" ref="N170">IFERROR(IF(INDEX(Kintoneデータ抽出!H:H, _xlfn.AGGREGATE(15, 6, ROW(Kintoneデータ抽出!$K$2:$K$5000) / ((Kintoneデータ抽出!$K$2:$K$5000="院内")), ROW(A133)))&lt;&gt;"",
IF(COUNTIF(INDEX(Kintoneデータ抽出!H:H, _xlfn.AGGREGATE(15, 6, ROW(Kintoneデータ抽出!$K$2:$K$5000) / ((Kintoneデータ抽出!$K$2:$K$5000="院内")), ROW(A133))),"*あり*"),"病児",""),""), "")</f>
        <v/>
      </c>
      <c r="O170" s="94" t="str" cm="1">
        <f t="array" ref="O170">IFERROR(
IF(INDEX(Kintoneデータ抽出!M:M, _xlfn.AGGREGATE(15, 6, ROW(Kintoneデータ抽出!$K$2:$K$5000) / ((Kintoneデータ抽出!$K$2:$K$5000="院内")), ROW(A133)))&lt;&gt;0,INDEX(Kintoneデータ抽出!M:M, _xlfn.AGGREGATE(15, 6, ROW(Kintoneデータ抽出!$K$2:$K$5000) / ((Kintoneデータ抽出!$K$2:$K$5000="院内")), ROW(A133))),""), "")</f>
        <v/>
      </c>
      <c r="P170" s="78" t="str">
        <f t="array" ref="P170">IFERROR(IF(INDEX(Kintoneデータ抽出!L:L, _xlfn.AGGREGATE(15, 6, ROW(Kintoneデータ抽出!$K$2:$K$5000) / ((Kintoneデータ抽出!$K$2:$K$5000="院内")), ROW(A133)))&lt;&gt;"",
IF(COUNTIF(INDEX(Kintoneデータ抽出!L:L, _xlfn.AGGREGATE(15, 6, ROW(Kintoneデータ抽出!$K$2:$K$5000) / ((Kintoneデータ抽出!$K$2:$K$5000="院内")), ROW(A133))),"*企業主導型以外*"),"",
IF(COUNTIF(INDEX(Kintoneデータ抽出!L:L, _xlfn.AGGREGATE(15, 6, ROW(Kintoneデータ抽出!$K$2:$K$5000) / ((Kintoneデータ抽出!$K$2:$K$5000="院内")), ROW(A133))),"*その他*"),"",
IF(COUNTIF(INDEX(Kintoneデータ抽出!L:L, _xlfn.AGGREGATE(15, 6, ROW(Kintoneデータ抽出!$K$2:$K$5000) / ((Kintoneデータ抽出!$K$2:$K$5000="院内")), ROW(A133))),"*新制度*"),"新制度","企業主導型"))),""), "")</f>
        <v/>
      </c>
    </row>
    <row r="171" spans="2:16" ht="34.799999999999997" customHeight="1" x14ac:dyDescent="0.45">
      <c r="B171" s="45"/>
      <c r="C171" s="46"/>
      <c r="D171" s="98" t="str">
        <f t="shared" si="3"/>
        <v/>
      </c>
      <c r="E171" s="99"/>
      <c r="F171" s="75" t="str">
        <f t="array" ref="F171">IFERROR(INDEX(Kintoneデータ抽出!A:A, _xlfn.AGGREGATE(15, 6, ROW(Kintoneデータ抽出!$K$2:$K$5000) / ((Kintoneデータ抽出!$K$2:$K$5000="院内")), ROW(A134))), "")</f>
        <v/>
      </c>
      <c r="G171" s="77" t="str">
        <f t="array" ref="G171">IFERROR(INDEX(Kintoneデータ抽出!D:D, _xlfn.AGGREGATE(15, 6, ROW(Kintoneデータ抽出!$K$2:$K$5000) / ((Kintoneデータ抽出!$K$2:$K$5000="院内")), ROW(A134))), "")</f>
        <v/>
      </c>
      <c r="H171" s="77" t="str">
        <f t="array" ref="H171">IFERROR(INDEX(Kintoneデータ抽出!C:C, _xlfn.AGGREGATE(15, 6, ROW(Kintoneデータ抽出!$K$2:$K$5000) / ((Kintoneデータ抽出!$K$2:$K$5000="院内")), ROW(A134))), "")</f>
        <v/>
      </c>
      <c r="I171" s="75" t="str">
        <f t="array" ref="I171">IFERROR(IF(INDEX(Kintoneデータ抽出!G:G, _xlfn.AGGREGATE(15, 6, ROW(Kintoneデータ抽出!$K$2:$K$5000) / ((Kintoneデータ抽出!$K$2:$K$5000="院内")), ROW(A134)))&lt;&gt;"",INDEX(Kintoneデータ抽出!G:G, _xlfn.AGGREGATE(15, 6, ROW(Kintoneデータ抽出!$K$2:$K$5000) / ((Kintoneデータ抽出!$K$2:$K$5000="院内")), ROW(A134)))&amp;"名",""), "")</f>
        <v/>
      </c>
      <c r="J171" s="76" t="str">
        <f t="array" ref="J171">IFERROR(IF(INDEX(Kintoneデータ抽出!E:E, _xlfn.AGGREGATE(15, 6, ROW(Kintoneデータ抽出!$K$2:$K$5000) / ((Kintoneデータ抽出!$K$2:$K$5000="院内")), ROW(A134)))&lt;&gt;"",
YEAR(INDEX(Kintoneデータ抽出!E:E, _xlfn.AGGREGATE(15, 6, ROW(Kintoneデータ抽出!$K$2:$K$5000) / ((Kintoneデータ抽出!$K$2:$K$5000="院内")), ROW(A134))))&amp;"年"
&amp;MONTH(INDEX(Kintoneデータ抽出!E:E, _xlfn.AGGREGATE(15, 6, ROW(Kintoneデータ抽出!$K$2:$K$5000) / ((Kintoneデータ抽出!$K$2:$K$5000="院内")), ROW(A134))))&amp;"月"
&amp;DAY(INDEX(Kintoneデータ抽出!E:E, _xlfn.AGGREGATE(15, 6, ROW(Kintoneデータ抽出!$K$2:$K$5000) /((Kintoneデータ抽出!$K$2:$K$5000="院内")), ROW(A134))))&amp;"日",""), "")</f>
        <v/>
      </c>
      <c r="K171" s="77" t="str" cm="1">
        <f t="array" ref="K171">IFERROR(IF(INDEX(Kintoneデータ抽出!F:F, _xlfn.AGGREGATE(15, 6, ROW(Kintoneデータ抽出!$K$2:$K$5000) / ((Kintoneデータ抽出!$K$2:$K$5000="院内")), ROW(A134)))&lt;&gt;"",
VLOOKUP(INDEX(Kintoneデータ抽出!F:F, _xlfn.AGGREGATE(15, 6, ROW(Kintoneデータ抽出!$K$2:$K$5000) / ((Kintoneデータ抽出!$K$2:$K$5000="院内")), ROW(A134))),基本開園日の表記!$A$2:$B$13,2,FALSE),""), "")</f>
        <v/>
      </c>
      <c r="L171" s="75" t="str">
        <f t="array" ref="L171">IFERROR(IF(INDEX(Kintoneデータ抽出!F:F, _xlfn.AGGREGATE(15, 6, ROW(Kintoneデータ抽出!$K$2:$K$5000) / ((Kintoneデータ抽出!$K$2:$K$5000="院内")), ROW(A134)))&lt;&gt;"",
IF(COUNTIF(INDEX(Kintoneデータ抽出!F:F, _xlfn.AGGREGATE(15, 6, ROW(Kintoneデータ抽出!$K$2:$K$5000) / ((Kintoneデータ抽出!$K$2:$K$5000="院内")), ROW(A134))),"*あり*"),"夜間",""),""), "")</f>
        <v/>
      </c>
      <c r="M171" s="75" t="str">
        <f t="array" ref="M171">IFERROR(IF(INDEX(Kintoneデータ抽出!I:I, _xlfn.AGGREGATE(15, 6, ROW(Kintoneデータ抽出!$K$2:$K$5000) / ((Kintoneデータ抽出!$K$2:$K$5000="院内")), ROW(A134)))&lt;&gt;"",
IF(COUNTIF(INDEX(Kintoneデータ抽出!I:I, _xlfn.AGGREGATE(15, 6, ROW(Kintoneデータ抽出!$K$2:$K$5000) / ((Kintoneデータ抽出!$K$2:$K$5000="院内")), ROW(A134))),"*あり*"),"学童",""),""), "")</f>
        <v/>
      </c>
      <c r="N171" s="75" t="str">
        <f t="array" ref="N171">IFERROR(IF(INDEX(Kintoneデータ抽出!H:H, _xlfn.AGGREGATE(15, 6, ROW(Kintoneデータ抽出!$K$2:$K$5000) / ((Kintoneデータ抽出!$K$2:$K$5000="院内")), ROW(A134)))&lt;&gt;"",
IF(COUNTIF(INDEX(Kintoneデータ抽出!H:H, _xlfn.AGGREGATE(15, 6, ROW(Kintoneデータ抽出!$K$2:$K$5000) / ((Kintoneデータ抽出!$K$2:$K$5000="院内")), ROW(A134))),"*あり*"),"病児",""),""), "")</f>
        <v/>
      </c>
      <c r="O171" s="94" t="str" cm="1">
        <f t="array" ref="O171">IFERROR(
IF(INDEX(Kintoneデータ抽出!M:M, _xlfn.AGGREGATE(15, 6, ROW(Kintoneデータ抽出!$K$2:$K$5000) / ((Kintoneデータ抽出!$K$2:$K$5000="院内")), ROW(A134)))&lt;&gt;0,INDEX(Kintoneデータ抽出!M:M, _xlfn.AGGREGATE(15, 6, ROW(Kintoneデータ抽出!$K$2:$K$5000) / ((Kintoneデータ抽出!$K$2:$K$5000="院内")), ROW(A134))),""), "")</f>
        <v/>
      </c>
      <c r="P171" s="78" t="str">
        <f t="array" ref="P171">IFERROR(IF(INDEX(Kintoneデータ抽出!L:L, _xlfn.AGGREGATE(15, 6, ROW(Kintoneデータ抽出!$K$2:$K$5000) / ((Kintoneデータ抽出!$K$2:$K$5000="院内")), ROW(A134)))&lt;&gt;"",
IF(COUNTIF(INDEX(Kintoneデータ抽出!L:L, _xlfn.AGGREGATE(15, 6, ROW(Kintoneデータ抽出!$K$2:$K$5000) / ((Kintoneデータ抽出!$K$2:$K$5000="院内")), ROW(A134))),"*企業主導型以外*"),"",
IF(COUNTIF(INDEX(Kintoneデータ抽出!L:L, _xlfn.AGGREGATE(15, 6, ROW(Kintoneデータ抽出!$K$2:$K$5000) / ((Kintoneデータ抽出!$K$2:$K$5000="院内")), ROW(A134))),"*その他*"),"",
IF(COUNTIF(INDEX(Kintoneデータ抽出!L:L, _xlfn.AGGREGATE(15, 6, ROW(Kintoneデータ抽出!$K$2:$K$5000) / ((Kintoneデータ抽出!$K$2:$K$5000="院内")), ROW(A134))),"*新制度*"),"新制度","企業主導型"))),""), "")</f>
        <v/>
      </c>
    </row>
    <row r="172" spans="2:16" ht="34.799999999999997" customHeight="1" x14ac:dyDescent="0.45">
      <c r="B172" s="45"/>
      <c r="C172" s="46"/>
      <c r="D172" s="98" t="str">
        <f t="shared" si="3"/>
        <v/>
      </c>
      <c r="E172" s="99"/>
      <c r="F172" s="75" t="str">
        <f t="array" ref="F172">IFERROR(INDEX(Kintoneデータ抽出!A:A, _xlfn.AGGREGATE(15, 6, ROW(Kintoneデータ抽出!$K$2:$K$5000) / ((Kintoneデータ抽出!$K$2:$K$5000="院内")), ROW(A135))), "")</f>
        <v/>
      </c>
      <c r="G172" s="77" t="str">
        <f t="array" ref="G172">IFERROR(INDEX(Kintoneデータ抽出!D:D, _xlfn.AGGREGATE(15, 6, ROW(Kintoneデータ抽出!$K$2:$K$5000) / ((Kintoneデータ抽出!$K$2:$K$5000="院内")), ROW(A135))), "")</f>
        <v/>
      </c>
      <c r="H172" s="77" t="str">
        <f t="array" ref="H172">IFERROR(INDEX(Kintoneデータ抽出!C:C, _xlfn.AGGREGATE(15, 6, ROW(Kintoneデータ抽出!$K$2:$K$5000) / ((Kintoneデータ抽出!$K$2:$K$5000="院内")), ROW(A135))), "")</f>
        <v/>
      </c>
      <c r="I172" s="75" t="str">
        <f t="array" ref="I172">IFERROR(IF(INDEX(Kintoneデータ抽出!G:G, _xlfn.AGGREGATE(15, 6, ROW(Kintoneデータ抽出!$K$2:$K$5000) / ((Kintoneデータ抽出!$K$2:$K$5000="院内")), ROW(A135)))&lt;&gt;"",INDEX(Kintoneデータ抽出!G:G, _xlfn.AGGREGATE(15, 6, ROW(Kintoneデータ抽出!$K$2:$K$5000) / ((Kintoneデータ抽出!$K$2:$K$5000="院内")), ROW(A135)))&amp;"名",""), "")</f>
        <v/>
      </c>
      <c r="J172" s="76" t="str">
        <f t="array" ref="J172">IFERROR(IF(INDEX(Kintoneデータ抽出!E:E, _xlfn.AGGREGATE(15, 6, ROW(Kintoneデータ抽出!$K$2:$K$5000) / ((Kintoneデータ抽出!$K$2:$K$5000="院内")), ROW(A135)))&lt;&gt;"",
YEAR(INDEX(Kintoneデータ抽出!E:E, _xlfn.AGGREGATE(15, 6, ROW(Kintoneデータ抽出!$K$2:$K$5000) / ((Kintoneデータ抽出!$K$2:$K$5000="院内")), ROW(A135))))&amp;"年"
&amp;MONTH(INDEX(Kintoneデータ抽出!E:E, _xlfn.AGGREGATE(15, 6, ROW(Kintoneデータ抽出!$K$2:$K$5000) / ((Kintoneデータ抽出!$K$2:$K$5000="院内")), ROW(A135))))&amp;"月"
&amp;DAY(INDEX(Kintoneデータ抽出!E:E, _xlfn.AGGREGATE(15, 6, ROW(Kintoneデータ抽出!$K$2:$K$5000) /((Kintoneデータ抽出!$K$2:$K$5000="院内")), ROW(A135))))&amp;"日",""), "")</f>
        <v/>
      </c>
      <c r="K172" s="77" t="str" cm="1">
        <f t="array" ref="K172">IFERROR(IF(INDEX(Kintoneデータ抽出!F:F, _xlfn.AGGREGATE(15, 6, ROW(Kintoneデータ抽出!$K$2:$K$5000) / ((Kintoneデータ抽出!$K$2:$K$5000="院内")), ROW(A135)))&lt;&gt;"",
VLOOKUP(INDEX(Kintoneデータ抽出!F:F, _xlfn.AGGREGATE(15, 6, ROW(Kintoneデータ抽出!$K$2:$K$5000) / ((Kintoneデータ抽出!$K$2:$K$5000="院内")), ROW(A135))),基本開園日の表記!$A$2:$B$13,2,FALSE),""), "")</f>
        <v/>
      </c>
      <c r="L172" s="75" t="str">
        <f t="array" ref="L172">IFERROR(IF(INDEX(Kintoneデータ抽出!F:F, _xlfn.AGGREGATE(15, 6, ROW(Kintoneデータ抽出!$K$2:$K$5000) / ((Kintoneデータ抽出!$K$2:$K$5000="院内")), ROW(A135)))&lt;&gt;"",
IF(COUNTIF(INDEX(Kintoneデータ抽出!F:F, _xlfn.AGGREGATE(15, 6, ROW(Kintoneデータ抽出!$K$2:$K$5000) / ((Kintoneデータ抽出!$K$2:$K$5000="院内")), ROW(A135))),"*あり*"),"夜間",""),""), "")</f>
        <v/>
      </c>
      <c r="M172" s="75" t="str">
        <f t="array" ref="M172">IFERROR(IF(INDEX(Kintoneデータ抽出!I:I, _xlfn.AGGREGATE(15, 6, ROW(Kintoneデータ抽出!$K$2:$K$5000) / ((Kintoneデータ抽出!$K$2:$K$5000="院内")), ROW(A135)))&lt;&gt;"",
IF(COUNTIF(INDEX(Kintoneデータ抽出!I:I, _xlfn.AGGREGATE(15, 6, ROW(Kintoneデータ抽出!$K$2:$K$5000) / ((Kintoneデータ抽出!$K$2:$K$5000="院内")), ROW(A135))),"*あり*"),"学童",""),""), "")</f>
        <v/>
      </c>
      <c r="N172" s="75" t="str">
        <f t="array" ref="N172">IFERROR(IF(INDEX(Kintoneデータ抽出!H:H, _xlfn.AGGREGATE(15, 6, ROW(Kintoneデータ抽出!$K$2:$K$5000) / ((Kintoneデータ抽出!$K$2:$K$5000="院内")), ROW(A135)))&lt;&gt;"",
IF(COUNTIF(INDEX(Kintoneデータ抽出!H:H, _xlfn.AGGREGATE(15, 6, ROW(Kintoneデータ抽出!$K$2:$K$5000) / ((Kintoneデータ抽出!$K$2:$K$5000="院内")), ROW(A135))),"*あり*"),"病児",""),""), "")</f>
        <v/>
      </c>
      <c r="O172" s="94" t="str" cm="1">
        <f t="array" ref="O172">IFERROR(
IF(INDEX(Kintoneデータ抽出!M:M, _xlfn.AGGREGATE(15, 6, ROW(Kintoneデータ抽出!$K$2:$K$5000) / ((Kintoneデータ抽出!$K$2:$K$5000="院内")), ROW(A135)))&lt;&gt;0,INDEX(Kintoneデータ抽出!M:M, _xlfn.AGGREGATE(15, 6, ROW(Kintoneデータ抽出!$K$2:$K$5000) / ((Kintoneデータ抽出!$K$2:$K$5000="院内")), ROW(A135))),""), "")</f>
        <v/>
      </c>
      <c r="P172" s="78" t="str">
        <f t="array" ref="P172">IFERROR(IF(INDEX(Kintoneデータ抽出!L:L, _xlfn.AGGREGATE(15, 6, ROW(Kintoneデータ抽出!$K$2:$K$5000) / ((Kintoneデータ抽出!$K$2:$K$5000="院内")), ROW(A135)))&lt;&gt;"",
IF(COUNTIF(INDEX(Kintoneデータ抽出!L:L, _xlfn.AGGREGATE(15, 6, ROW(Kintoneデータ抽出!$K$2:$K$5000) / ((Kintoneデータ抽出!$K$2:$K$5000="院内")), ROW(A135))),"*企業主導型以外*"),"",
IF(COUNTIF(INDEX(Kintoneデータ抽出!L:L, _xlfn.AGGREGATE(15, 6, ROW(Kintoneデータ抽出!$K$2:$K$5000) / ((Kintoneデータ抽出!$K$2:$K$5000="院内")), ROW(A135))),"*その他*"),"",
IF(COUNTIF(INDEX(Kintoneデータ抽出!L:L, _xlfn.AGGREGATE(15, 6, ROW(Kintoneデータ抽出!$K$2:$K$5000) / ((Kintoneデータ抽出!$K$2:$K$5000="院内")), ROW(A135))),"*新制度*"),"新制度","企業主導型"))),""), "")</f>
        <v/>
      </c>
    </row>
    <row r="173" spans="2:16" ht="34.799999999999997" customHeight="1" x14ac:dyDescent="0.45">
      <c r="B173" s="45"/>
      <c r="C173" s="46"/>
      <c r="D173" s="98" t="str">
        <f t="shared" si="3"/>
        <v/>
      </c>
      <c r="E173" s="99"/>
      <c r="F173" s="75" t="str">
        <f t="array" ref="F173">IFERROR(INDEX(Kintoneデータ抽出!A:A, _xlfn.AGGREGATE(15, 6, ROW(Kintoneデータ抽出!$K$2:$K$5000) / ((Kintoneデータ抽出!$K$2:$K$5000="院内")), ROW(A136))), "")</f>
        <v/>
      </c>
      <c r="G173" s="77" t="str">
        <f t="array" ref="G173">IFERROR(INDEX(Kintoneデータ抽出!D:D, _xlfn.AGGREGATE(15, 6, ROW(Kintoneデータ抽出!$K$2:$K$5000) / ((Kintoneデータ抽出!$K$2:$K$5000="院内")), ROW(A136))), "")</f>
        <v/>
      </c>
      <c r="H173" s="77" t="str">
        <f t="array" ref="H173">IFERROR(INDEX(Kintoneデータ抽出!C:C, _xlfn.AGGREGATE(15, 6, ROW(Kintoneデータ抽出!$K$2:$K$5000) / ((Kintoneデータ抽出!$K$2:$K$5000="院内")), ROW(A136))), "")</f>
        <v/>
      </c>
      <c r="I173" s="75" t="str">
        <f t="array" ref="I173">IFERROR(IF(INDEX(Kintoneデータ抽出!G:G, _xlfn.AGGREGATE(15, 6, ROW(Kintoneデータ抽出!$K$2:$K$5000) / ((Kintoneデータ抽出!$K$2:$K$5000="院内")), ROW(A136)))&lt;&gt;"",INDEX(Kintoneデータ抽出!G:G, _xlfn.AGGREGATE(15, 6, ROW(Kintoneデータ抽出!$K$2:$K$5000) / ((Kintoneデータ抽出!$K$2:$K$5000="院内")), ROW(A136)))&amp;"名",""), "")</f>
        <v/>
      </c>
      <c r="J173" s="76" t="str">
        <f t="array" ref="J173">IFERROR(IF(INDEX(Kintoneデータ抽出!E:E, _xlfn.AGGREGATE(15, 6, ROW(Kintoneデータ抽出!$K$2:$K$5000) / ((Kintoneデータ抽出!$K$2:$K$5000="院内")), ROW(A136)))&lt;&gt;"",
YEAR(INDEX(Kintoneデータ抽出!E:E, _xlfn.AGGREGATE(15, 6, ROW(Kintoneデータ抽出!$K$2:$K$5000) / ((Kintoneデータ抽出!$K$2:$K$5000="院内")), ROW(A136))))&amp;"年"
&amp;MONTH(INDEX(Kintoneデータ抽出!E:E, _xlfn.AGGREGATE(15, 6, ROW(Kintoneデータ抽出!$K$2:$K$5000) / ((Kintoneデータ抽出!$K$2:$K$5000="院内")), ROW(A136))))&amp;"月"
&amp;DAY(INDEX(Kintoneデータ抽出!E:E, _xlfn.AGGREGATE(15, 6, ROW(Kintoneデータ抽出!$K$2:$K$5000) /((Kintoneデータ抽出!$K$2:$K$5000="院内")), ROW(A136))))&amp;"日",""), "")</f>
        <v/>
      </c>
      <c r="K173" s="77" t="str" cm="1">
        <f t="array" ref="K173">IFERROR(IF(INDEX(Kintoneデータ抽出!F:F, _xlfn.AGGREGATE(15, 6, ROW(Kintoneデータ抽出!$K$2:$K$5000) / ((Kintoneデータ抽出!$K$2:$K$5000="院内")), ROW(A136)))&lt;&gt;"",
VLOOKUP(INDEX(Kintoneデータ抽出!F:F, _xlfn.AGGREGATE(15, 6, ROW(Kintoneデータ抽出!$K$2:$K$5000) / ((Kintoneデータ抽出!$K$2:$K$5000="院内")), ROW(A136))),基本開園日の表記!$A$2:$B$13,2,FALSE),""), "")</f>
        <v/>
      </c>
      <c r="L173" s="75" t="str">
        <f t="array" ref="L173">IFERROR(IF(INDEX(Kintoneデータ抽出!F:F, _xlfn.AGGREGATE(15, 6, ROW(Kintoneデータ抽出!$K$2:$K$5000) / ((Kintoneデータ抽出!$K$2:$K$5000="院内")), ROW(A136)))&lt;&gt;"",
IF(COUNTIF(INDEX(Kintoneデータ抽出!F:F, _xlfn.AGGREGATE(15, 6, ROW(Kintoneデータ抽出!$K$2:$K$5000) / ((Kintoneデータ抽出!$K$2:$K$5000="院内")), ROW(A136))),"*あり*"),"夜間",""),""), "")</f>
        <v/>
      </c>
      <c r="M173" s="75" t="str">
        <f t="array" ref="M173">IFERROR(IF(INDEX(Kintoneデータ抽出!I:I, _xlfn.AGGREGATE(15, 6, ROW(Kintoneデータ抽出!$K$2:$K$5000) / ((Kintoneデータ抽出!$K$2:$K$5000="院内")), ROW(A136)))&lt;&gt;"",
IF(COUNTIF(INDEX(Kintoneデータ抽出!I:I, _xlfn.AGGREGATE(15, 6, ROW(Kintoneデータ抽出!$K$2:$K$5000) / ((Kintoneデータ抽出!$K$2:$K$5000="院内")), ROW(A136))),"*あり*"),"学童",""),""), "")</f>
        <v/>
      </c>
      <c r="N173" s="75" t="str">
        <f t="array" ref="N173">IFERROR(IF(INDEX(Kintoneデータ抽出!H:H, _xlfn.AGGREGATE(15, 6, ROW(Kintoneデータ抽出!$K$2:$K$5000) / ((Kintoneデータ抽出!$K$2:$K$5000="院内")), ROW(A136)))&lt;&gt;"",
IF(COUNTIF(INDEX(Kintoneデータ抽出!H:H, _xlfn.AGGREGATE(15, 6, ROW(Kintoneデータ抽出!$K$2:$K$5000) / ((Kintoneデータ抽出!$K$2:$K$5000="院内")), ROW(A136))),"*あり*"),"病児",""),""), "")</f>
        <v/>
      </c>
      <c r="O173" s="94" t="str" cm="1">
        <f t="array" ref="O173">IFERROR(
IF(INDEX(Kintoneデータ抽出!M:M, _xlfn.AGGREGATE(15, 6, ROW(Kintoneデータ抽出!$K$2:$K$5000) / ((Kintoneデータ抽出!$K$2:$K$5000="院内")), ROW(A136)))&lt;&gt;0,INDEX(Kintoneデータ抽出!M:M, _xlfn.AGGREGATE(15, 6, ROW(Kintoneデータ抽出!$K$2:$K$5000) / ((Kintoneデータ抽出!$K$2:$K$5000="院内")), ROW(A136))),""), "")</f>
        <v/>
      </c>
      <c r="P173" s="78" t="str">
        <f t="array" ref="P173">IFERROR(IF(INDEX(Kintoneデータ抽出!L:L, _xlfn.AGGREGATE(15, 6, ROW(Kintoneデータ抽出!$K$2:$K$5000) / ((Kintoneデータ抽出!$K$2:$K$5000="院内")), ROW(A136)))&lt;&gt;"",
IF(COUNTIF(INDEX(Kintoneデータ抽出!L:L, _xlfn.AGGREGATE(15, 6, ROW(Kintoneデータ抽出!$K$2:$K$5000) / ((Kintoneデータ抽出!$K$2:$K$5000="院内")), ROW(A136))),"*企業主導型以外*"),"",
IF(COUNTIF(INDEX(Kintoneデータ抽出!L:L, _xlfn.AGGREGATE(15, 6, ROW(Kintoneデータ抽出!$K$2:$K$5000) / ((Kintoneデータ抽出!$K$2:$K$5000="院内")), ROW(A136))),"*その他*"),"",
IF(COUNTIF(INDEX(Kintoneデータ抽出!L:L, _xlfn.AGGREGATE(15, 6, ROW(Kintoneデータ抽出!$K$2:$K$5000) / ((Kintoneデータ抽出!$K$2:$K$5000="院内")), ROW(A136))),"*新制度*"),"新制度","企業主導型"))),""), "")</f>
        <v/>
      </c>
    </row>
    <row r="174" spans="2:16" ht="34.799999999999997" customHeight="1" x14ac:dyDescent="0.45">
      <c r="B174" s="45"/>
      <c r="C174" s="46"/>
      <c r="D174" s="98" t="str">
        <f t="shared" si="3"/>
        <v/>
      </c>
      <c r="E174" s="99"/>
      <c r="F174" s="75" t="str">
        <f t="array" ref="F174">IFERROR(INDEX(Kintoneデータ抽出!A:A, _xlfn.AGGREGATE(15, 6, ROW(Kintoneデータ抽出!$K$2:$K$5000) / ((Kintoneデータ抽出!$K$2:$K$5000="院内")), ROW(A137))), "")</f>
        <v/>
      </c>
      <c r="G174" s="77" t="str">
        <f t="array" ref="G174">IFERROR(INDEX(Kintoneデータ抽出!D:D, _xlfn.AGGREGATE(15, 6, ROW(Kintoneデータ抽出!$K$2:$K$5000) / ((Kintoneデータ抽出!$K$2:$K$5000="院内")), ROW(A137))), "")</f>
        <v/>
      </c>
      <c r="H174" s="77" t="str">
        <f t="array" ref="H174">IFERROR(INDEX(Kintoneデータ抽出!C:C, _xlfn.AGGREGATE(15, 6, ROW(Kintoneデータ抽出!$K$2:$K$5000) / ((Kintoneデータ抽出!$K$2:$K$5000="院内")), ROW(A137))), "")</f>
        <v/>
      </c>
      <c r="I174" s="75" t="str">
        <f t="array" ref="I174">IFERROR(IF(INDEX(Kintoneデータ抽出!G:G, _xlfn.AGGREGATE(15, 6, ROW(Kintoneデータ抽出!$K$2:$K$5000) / ((Kintoneデータ抽出!$K$2:$K$5000="院内")), ROW(A137)))&lt;&gt;"",INDEX(Kintoneデータ抽出!G:G, _xlfn.AGGREGATE(15, 6, ROW(Kintoneデータ抽出!$K$2:$K$5000) / ((Kintoneデータ抽出!$K$2:$K$5000="院内")), ROW(A137)))&amp;"名",""), "")</f>
        <v/>
      </c>
      <c r="J174" s="76" t="str">
        <f t="array" ref="J174">IFERROR(IF(INDEX(Kintoneデータ抽出!E:E, _xlfn.AGGREGATE(15, 6, ROW(Kintoneデータ抽出!$K$2:$K$5000) / ((Kintoneデータ抽出!$K$2:$K$5000="院内")), ROW(A137)))&lt;&gt;"",
YEAR(INDEX(Kintoneデータ抽出!E:E, _xlfn.AGGREGATE(15, 6, ROW(Kintoneデータ抽出!$K$2:$K$5000) / ((Kintoneデータ抽出!$K$2:$K$5000="院内")), ROW(A137))))&amp;"年"
&amp;MONTH(INDEX(Kintoneデータ抽出!E:E, _xlfn.AGGREGATE(15, 6, ROW(Kintoneデータ抽出!$K$2:$K$5000) / ((Kintoneデータ抽出!$K$2:$K$5000="院内")), ROW(A137))))&amp;"月"
&amp;DAY(INDEX(Kintoneデータ抽出!E:E, _xlfn.AGGREGATE(15, 6, ROW(Kintoneデータ抽出!$K$2:$K$5000) /((Kintoneデータ抽出!$K$2:$K$5000="院内")), ROW(A137))))&amp;"日",""), "")</f>
        <v/>
      </c>
      <c r="K174" s="77" t="str" cm="1">
        <f t="array" ref="K174">IFERROR(IF(INDEX(Kintoneデータ抽出!F:F, _xlfn.AGGREGATE(15, 6, ROW(Kintoneデータ抽出!$K$2:$K$5000) / ((Kintoneデータ抽出!$K$2:$K$5000="院内")), ROW(A137)))&lt;&gt;"",
VLOOKUP(INDEX(Kintoneデータ抽出!F:F, _xlfn.AGGREGATE(15, 6, ROW(Kintoneデータ抽出!$K$2:$K$5000) / ((Kintoneデータ抽出!$K$2:$K$5000="院内")), ROW(A137))),基本開園日の表記!$A$2:$B$13,2,FALSE),""), "")</f>
        <v/>
      </c>
      <c r="L174" s="75" t="str">
        <f t="array" ref="L174">IFERROR(IF(INDEX(Kintoneデータ抽出!F:F, _xlfn.AGGREGATE(15, 6, ROW(Kintoneデータ抽出!$K$2:$K$5000) / ((Kintoneデータ抽出!$K$2:$K$5000="院内")), ROW(A137)))&lt;&gt;"",
IF(COUNTIF(INDEX(Kintoneデータ抽出!F:F, _xlfn.AGGREGATE(15, 6, ROW(Kintoneデータ抽出!$K$2:$K$5000) / ((Kintoneデータ抽出!$K$2:$K$5000="院内")), ROW(A137))),"*あり*"),"夜間",""),""), "")</f>
        <v/>
      </c>
      <c r="M174" s="75" t="str">
        <f t="array" ref="M174">IFERROR(IF(INDEX(Kintoneデータ抽出!I:I, _xlfn.AGGREGATE(15, 6, ROW(Kintoneデータ抽出!$K$2:$K$5000) / ((Kintoneデータ抽出!$K$2:$K$5000="院内")), ROW(A137)))&lt;&gt;"",
IF(COUNTIF(INDEX(Kintoneデータ抽出!I:I, _xlfn.AGGREGATE(15, 6, ROW(Kintoneデータ抽出!$K$2:$K$5000) / ((Kintoneデータ抽出!$K$2:$K$5000="院内")), ROW(A137))),"*あり*"),"学童",""),""), "")</f>
        <v/>
      </c>
      <c r="N174" s="75" t="str">
        <f t="array" ref="N174">IFERROR(IF(INDEX(Kintoneデータ抽出!H:H, _xlfn.AGGREGATE(15, 6, ROW(Kintoneデータ抽出!$K$2:$K$5000) / ((Kintoneデータ抽出!$K$2:$K$5000="院内")), ROW(A137)))&lt;&gt;"",
IF(COUNTIF(INDEX(Kintoneデータ抽出!H:H, _xlfn.AGGREGATE(15, 6, ROW(Kintoneデータ抽出!$K$2:$K$5000) / ((Kintoneデータ抽出!$K$2:$K$5000="院内")), ROW(A137))),"*あり*"),"病児",""),""), "")</f>
        <v/>
      </c>
      <c r="O174" s="94" t="str" cm="1">
        <f t="array" ref="O174">IFERROR(
IF(INDEX(Kintoneデータ抽出!M:M, _xlfn.AGGREGATE(15, 6, ROW(Kintoneデータ抽出!$K$2:$K$5000) / ((Kintoneデータ抽出!$K$2:$K$5000="院内")), ROW(A137)))&lt;&gt;0,INDEX(Kintoneデータ抽出!M:M, _xlfn.AGGREGATE(15, 6, ROW(Kintoneデータ抽出!$K$2:$K$5000) / ((Kintoneデータ抽出!$K$2:$K$5000="院内")), ROW(A137))),""), "")</f>
        <v/>
      </c>
      <c r="P174" s="78" t="str">
        <f t="array" ref="P174">IFERROR(IF(INDEX(Kintoneデータ抽出!L:L, _xlfn.AGGREGATE(15, 6, ROW(Kintoneデータ抽出!$K$2:$K$5000) / ((Kintoneデータ抽出!$K$2:$K$5000="院内")), ROW(A137)))&lt;&gt;"",
IF(COUNTIF(INDEX(Kintoneデータ抽出!L:L, _xlfn.AGGREGATE(15, 6, ROW(Kintoneデータ抽出!$K$2:$K$5000) / ((Kintoneデータ抽出!$K$2:$K$5000="院内")), ROW(A137))),"*企業主導型以外*"),"",
IF(COUNTIF(INDEX(Kintoneデータ抽出!L:L, _xlfn.AGGREGATE(15, 6, ROW(Kintoneデータ抽出!$K$2:$K$5000) / ((Kintoneデータ抽出!$K$2:$K$5000="院内")), ROW(A137))),"*その他*"),"",
IF(COUNTIF(INDEX(Kintoneデータ抽出!L:L, _xlfn.AGGREGATE(15, 6, ROW(Kintoneデータ抽出!$K$2:$K$5000) / ((Kintoneデータ抽出!$K$2:$K$5000="院内")), ROW(A137))),"*新制度*"),"新制度","企業主導型"))),""), "")</f>
        <v/>
      </c>
    </row>
    <row r="175" spans="2:16" ht="34.799999999999997" customHeight="1" x14ac:dyDescent="0.45">
      <c r="B175" s="45"/>
      <c r="C175" s="46"/>
      <c r="D175" s="98" t="str">
        <f t="shared" si="3"/>
        <v/>
      </c>
      <c r="E175" s="99"/>
      <c r="F175" s="75" t="str">
        <f t="array" ref="F175">IFERROR(INDEX(Kintoneデータ抽出!A:A, _xlfn.AGGREGATE(15, 6, ROW(Kintoneデータ抽出!$K$2:$K$5000) / ((Kintoneデータ抽出!$K$2:$K$5000="院内")), ROW(A138))), "")</f>
        <v/>
      </c>
      <c r="G175" s="77" t="str">
        <f t="array" ref="G175">IFERROR(INDEX(Kintoneデータ抽出!D:D, _xlfn.AGGREGATE(15, 6, ROW(Kintoneデータ抽出!$K$2:$K$5000) / ((Kintoneデータ抽出!$K$2:$K$5000="院内")), ROW(A138))), "")</f>
        <v/>
      </c>
      <c r="H175" s="77" t="str">
        <f t="array" ref="H175">IFERROR(INDEX(Kintoneデータ抽出!C:C, _xlfn.AGGREGATE(15, 6, ROW(Kintoneデータ抽出!$K$2:$K$5000) / ((Kintoneデータ抽出!$K$2:$K$5000="院内")), ROW(A138))), "")</f>
        <v/>
      </c>
      <c r="I175" s="75" t="str">
        <f t="array" ref="I175">IFERROR(IF(INDEX(Kintoneデータ抽出!G:G, _xlfn.AGGREGATE(15, 6, ROW(Kintoneデータ抽出!$K$2:$K$5000) / ((Kintoneデータ抽出!$K$2:$K$5000="院内")), ROW(A138)))&lt;&gt;"",INDEX(Kintoneデータ抽出!G:G, _xlfn.AGGREGATE(15, 6, ROW(Kintoneデータ抽出!$K$2:$K$5000) / ((Kintoneデータ抽出!$K$2:$K$5000="院内")), ROW(A138)))&amp;"名",""), "")</f>
        <v/>
      </c>
      <c r="J175" s="76" t="str">
        <f t="array" ref="J175">IFERROR(IF(INDEX(Kintoneデータ抽出!E:E, _xlfn.AGGREGATE(15, 6, ROW(Kintoneデータ抽出!$K$2:$K$5000) / ((Kintoneデータ抽出!$K$2:$K$5000="院内")), ROW(A138)))&lt;&gt;"",
YEAR(INDEX(Kintoneデータ抽出!E:E, _xlfn.AGGREGATE(15, 6, ROW(Kintoneデータ抽出!$K$2:$K$5000) / ((Kintoneデータ抽出!$K$2:$K$5000="院内")), ROW(A138))))&amp;"年"
&amp;MONTH(INDEX(Kintoneデータ抽出!E:E, _xlfn.AGGREGATE(15, 6, ROW(Kintoneデータ抽出!$K$2:$K$5000) / ((Kintoneデータ抽出!$K$2:$K$5000="院内")), ROW(A138))))&amp;"月"
&amp;DAY(INDEX(Kintoneデータ抽出!E:E, _xlfn.AGGREGATE(15, 6, ROW(Kintoneデータ抽出!$K$2:$K$5000) /((Kintoneデータ抽出!$K$2:$K$5000="院内")), ROW(A138))))&amp;"日",""), "")</f>
        <v/>
      </c>
      <c r="K175" s="77" t="str" cm="1">
        <f t="array" ref="K175">IFERROR(IF(INDEX(Kintoneデータ抽出!F:F, _xlfn.AGGREGATE(15, 6, ROW(Kintoneデータ抽出!$K$2:$K$5000) / ((Kintoneデータ抽出!$K$2:$K$5000="院内")), ROW(A138)))&lt;&gt;"",
VLOOKUP(INDEX(Kintoneデータ抽出!F:F, _xlfn.AGGREGATE(15, 6, ROW(Kintoneデータ抽出!$K$2:$K$5000) / ((Kintoneデータ抽出!$K$2:$K$5000="院内")), ROW(A138))),基本開園日の表記!$A$2:$B$13,2,FALSE),""), "")</f>
        <v/>
      </c>
      <c r="L175" s="75" t="str">
        <f t="array" ref="L175">IFERROR(IF(INDEX(Kintoneデータ抽出!F:F, _xlfn.AGGREGATE(15, 6, ROW(Kintoneデータ抽出!$K$2:$K$5000) / ((Kintoneデータ抽出!$K$2:$K$5000="院内")), ROW(A138)))&lt;&gt;"",
IF(COUNTIF(INDEX(Kintoneデータ抽出!F:F, _xlfn.AGGREGATE(15, 6, ROW(Kintoneデータ抽出!$K$2:$K$5000) / ((Kintoneデータ抽出!$K$2:$K$5000="院内")), ROW(A138))),"*あり*"),"夜間",""),""), "")</f>
        <v/>
      </c>
      <c r="M175" s="75" t="str">
        <f t="array" ref="M175">IFERROR(IF(INDEX(Kintoneデータ抽出!I:I, _xlfn.AGGREGATE(15, 6, ROW(Kintoneデータ抽出!$K$2:$K$5000) / ((Kintoneデータ抽出!$K$2:$K$5000="院内")), ROW(A138)))&lt;&gt;"",
IF(COUNTIF(INDEX(Kintoneデータ抽出!I:I, _xlfn.AGGREGATE(15, 6, ROW(Kintoneデータ抽出!$K$2:$K$5000) / ((Kintoneデータ抽出!$K$2:$K$5000="院内")), ROW(A138))),"*あり*"),"学童",""),""), "")</f>
        <v/>
      </c>
      <c r="N175" s="75" t="str">
        <f t="array" ref="N175">IFERROR(IF(INDEX(Kintoneデータ抽出!H:H, _xlfn.AGGREGATE(15, 6, ROW(Kintoneデータ抽出!$K$2:$K$5000) / ((Kintoneデータ抽出!$K$2:$K$5000="院内")), ROW(A138)))&lt;&gt;"",
IF(COUNTIF(INDEX(Kintoneデータ抽出!H:H, _xlfn.AGGREGATE(15, 6, ROW(Kintoneデータ抽出!$K$2:$K$5000) / ((Kintoneデータ抽出!$K$2:$K$5000="院内")), ROW(A138))),"*あり*"),"病児",""),""), "")</f>
        <v/>
      </c>
      <c r="O175" s="94" t="str" cm="1">
        <f t="array" ref="O175">IFERROR(
IF(INDEX(Kintoneデータ抽出!M:M, _xlfn.AGGREGATE(15, 6, ROW(Kintoneデータ抽出!$K$2:$K$5000) / ((Kintoneデータ抽出!$K$2:$K$5000="院内")), ROW(A138)))&lt;&gt;0,INDEX(Kintoneデータ抽出!M:M, _xlfn.AGGREGATE(15, 6, ROW(Kintoneデータ抽出!$K$2:$K$5000) / ((Kintoneデータ抽出!$K$2:$K$5000="院内")), ROW(A138))),""), "")</f>
        <v/>
      </c>
      <c r="P175" s="78" t="str">
        <f t="array" ref="P175">IFERROR(IF(INDEX(Kintoneデータ抽出!L:L, _xlfn.AGGREGATE(15, 6, ROW(Kintoneデータ抽出!$K$2:$K$5000) / ((Kintoneデータ抽出!$K$2:$K$5000="院内")), ROW(A138)))&lt;&gt;"",
IF(COUNTIF(INDEX(Kintoneデータ抽出!L:L, _xlfn.AGGREGATE(15, 6, ROW(Kintoneデータ抽出!$K$2:$K$5000) / ((Kintoneデータ抽出!$K$2:$K$5000="院内")), ROW(A138))),"*企業主導型以外*"),"",
IF(COUNTIF(INDEX(Kintoneデータ抽出!L:L, _xlfn.AGGREGATE(15, 6, ROW(Kintoneデータ抽出!$K$2:$K$5000) / ((Kintoneデータ抽出!$K$2:$K$5000="院内")), ROW(A138))),"*その他*"),"",
IF(COUNTIF(INDEX(Kintoneデータ抽出!L:L, _xlfn.AGGREGATE(15, 6, ROW(Kintoneデータ抽出!$K$2:$K$5000) / ((Kintoneデータ抽出!$K$2:$K$5000="院内")), ROW(A138))),"*新制度*"),"新制度","企業主導型"))),""), "")</f>
        <v/>
      </c>
    </row>
    <row r="176" spans="2:16" ht="34.799999999999997" customHeight="1" x14ac:dyDescent="0.45">
      <c r="B176" s="45"/>
      <c r="C176" s="46"/>
      <c r="D176" s="98" t="str">
        <f t="shared" si="3"/>
        <v/>
      </c>
      <c r="E176" s="99"/>
      <c r="F176" s="75" t="str">
        <f t="array" ref="F176">IFERROR(INDEX(Kintoneデータ抽出!A:A, _xlfn.AGGREGATE(15, 6, ROW(Kintoneデータ抽出!$K$2:$K$5000) / ((Kintoneデータ抽出!$K$2:$K$5000="院内")), ROW(A139))), "")</f>
        <v/>
      </c>
      <c r="G176" s="77" t="str">
        <f t="array" ref="G176">IFERROR(INDEX(Kintoneデータ抽出!D:D, _xlfn.AGGREGATE(15, 6, ROW(Kintoneデータ抽出!$K$2:$K$5000) / ((Kintoneデータ抽出!$K$2:$K$5000="院内")), ROW(A139))), "")</f>
        <v/>
      </c>
      <c r="H176" s="77" t="str">
        <f t="array" ref="H176">IFERROR(INDEX(Kintoneデータ抽出!C:C, _xlfn.AGGREGATE(15, 6, ROW(Kintoneデータ抽出!$K$2:$K$5000) / ((Kintoneデータ抽出!$K$2:$K$5000="院内")), ROW(A139))), "")</f>
        <v/>
      </c>
      <c r="I176" s="75" t="str">
        <f t="array" ref="I176">IFERROR(IF(INDEX(Kintoneデータ抽出!G:G, _xlfn.AGGREGATE(15, 6, ROW(Kintoneデータ抽出!$K$2:$K$5000) / ((Kintoneデータ抽出!$K$2:$K$5000="院内")), ROW(A139)))&lt;&gt;"",INDEX(Kintoneデータ抽出!G:G, _xlfn.AGGREGATE(15, 6, ROW(Kintoneデータ抽出!$K$2:$K$5000) / ((Kintoneデータ抽出!$K$2:$K$5000="院内")), ROW(A139)))&amp;"名",""), "")</f>
        <v/>
      </c>
      <c r="J176" s="76" t="str">
        <f t="array" ref="J176">IFERROR(IF(INDEX(Kintoneデータ抽出!E:E, _xlfn.AGGREGATE(15, 6, ROW(Kintoneデータ抽出!$K$2:$K$5000) / ((Kintoneデータ抽出!$K$2:$K$5000="院内")), ROW(A139)))&lt;&gt;"",
YEAR(INDEX(Kintoneデータ抽出!E:E, _xlfn.AGGREGATE(15, 6, ROW(Kintoneデータ抽出!$K$2:$K$5000) / ((Kintoneデータ抽出!$K$2:$K$5000="院内")), ROW(A139))))&amp;"年"
&amp;MONTH(INDEX(Kintoneデータ抽出!E:E, _xlfn.AGGREGATE(15, 6, ROW(Kintoneデータ抽出!$K$2:$K$5000) / ((Kintoneデータ抽出!$K$2:$K$5000="院内")), ROW(A139))))&amp;"月"
&amp;DAY(INDEX(Kintoneデータ抽出!E:E, _xlfn.AGGREGATE(15, 6, ROW(Kintoneデータ抽出!$K$2:$K$5000) /((Kintoneデータ抽出!$K$2:$K$5000="院内")), ROW(A139))))&amp;"日",""), "")</f>
        <v/>
      </c>
      <c r="K176" s="77" t="str" cm="1">
        <f t="array" ref="K176">IFERROR(IF(INDEX(Kintoneデータ抽出!F:F, _xlfn.AGGREGATE(15, 6, ROW(Kintoneデータ抽出!$K$2:$K$5000) / ((Kintoneデータ抽出!$K$2:$K$5000="院内")), ROW(A139)))&lt;&gt;"",
VLOOKUP(INDEX(Kintoneデータ抽出!F:F, _xlfn.AGGREGATE(15, 6, ROW(Kintoneデータ抽出!$K$2:$K$5000) / ((Kintoneデータ抽出!$K$2:$K$5000="院内")), ROW(A139))),基本開園日の表記!$A$2:$B$13,2,FALSE),""), "")</f>
        <v/>
      </c>
      <c r="L176" s="75" t="str">
        <f t="array" ref="L176">IFERROR(IF(INDEX(Kintoneデータ抽出!F:F, _xlfn.AGGREGATE(15, 6, ROW(Kintoneデータ抽出!$K$2:$K$5000) / ((Kintoneデータ抽出!$K$2:$K$5000="院内")), ROW(A139)))&lt;&gt;"",
IF(COUNTIF(INDEX(Kintoneデータ抽出!F:F, _xlfn.AGGREGATE(15, 6, ROW(Kintoneデータ抽出!$K$2:$K$5000) / ((Kintoneデータ抽出!$K$2:$K$5000="院内")), ROW(A139))),"*あり*"),"夜間",""),""), "")</f>
        <v/>
      </c>
      <c r="M176" s="75" t="str">
        <f t="array" ref="M176">IFERROR(IF(INDEX(Kintoneデータ抽出!I:I, _xlfn.AGGREGATE(15, 6, ROW(Kintoneデータ抽出!$K$2:$K$5000) / ((Kintoneデータ抽出!$K$2:$K$5000="院内")), ROW(A139)))&lt;&gt;"",
IF(COUNTIF(INDEX(Kintoneデータ抽出!I:I, _xlfn.AGGREGATE(15, 6, ROW(Kintoneデータ抽出!$K$2:$K$5000) / ((Kintoneデータ抽出!$K$2:$K$5000="院内")), ROW(A139))),"*あり*"),"学童",""),""), "")</f>
        <v/>
      </c>
      <c r="N176" s="75" t="str">
        <f t="array" ref="N176">IFERROR(IF(INDEX(Kintoneデータ抽出!H:H, _xlfn.AGGREGATE(15, 6, ROW(Kintoneデータ抽出!$K$2:$K$5000) / ((Kintoneデータ抽出!$K$2:$K$5000="院内")), ROW(A139)))&lt;&gt;"",
IF(COUNTIF(INDEX(Kintoneデータ抽出!H:H, _xlfn.AGGREGATE(15, 6, ROW(Kintoneデータ抽出!$K$2:$K$5000) / ((Kintoneデータ抽出!$K$2:$K$5000="院内")), ROW(A139))),"*あり*"),"病児",""),""), "")</f>
        <v/>
      </c>
      <c r="O176" s="94" t="str" cm="1">
        <f t="array" ref="O176">IFERROR(
IF(INDEX(Kintoneデータ抽出!M:M, _xlfn.AGGREGATE(15, 6, ROW(Kintoneデータ抽出!$K$2:$K$5000) / ((Kintoneデータ抽出!$K$2:$K$5000="院内")), ROW(A139)))&lt;&gt;0,INDEX(Kintoneデータ抽出!M:M, _xlfn.AGGREGATE(15, 6, ROW(Kintoneデータ抽出!$K$2:$K$5000) / ((Kintoneデータ抽出!$K$2:$K$5000="院内")), ROW(A139))),""), "")</f>
        <v/>
      </c>
      <c r="P176" s="78" t="str">
        <f t="array" ref="P176">IFERROR(IF(INDEX(Kintoneデータ抽出!L:L, _xlfn.AGGREGATE(15, 6, ROW(Kintoneデータ抽出!$K$2:$K$5000) / ((Kintoneデータ抽出!$K$2:$K$5000="院内")), ROW(A139)))&lt;&gt;"",
IF(COUNTIF(INDEX(Kintoneデータ抽出!L:L, _xlfn.AGGREGATE(15, 6, ROW(Kintoneデータ抽出!$K$2:$K$5000) / ((Kintoneデータ抽出!$K$2:$K$5000="院内")), ROW(A139))),"*企業主導型以外*"),"",
IF(COUNTIF(INDEX(Kintoneデータ抽出!L:L, _xlfn.AGGREGATE(15, 6, ROW(Kintoneデータ抽出!$K$2:$K$5000) / ((Kintoneデータ抽出!$K$2:$K$5000="院内")), ROW(A139))),"*その他*"),"",
IF(COUNTIF(INDEX(Kintoneデータ抽出!L:L, _xlfn.AGGREGATE(15, 6, ROW(Kintoneデータ抽出!$K$2:$K$5000) / ((Kintoneデータ抽出!$K$2:$K$5000="院内")), ROW(A139))),"*新制度*"),"新制度","企業主導型"))),""), "")</f>
        <v/>
      </c>
    </row>
    <row r="177" spans="2:16" ht="34.799999999999997" customHeight="1" x14ac:dyDescent="0.45">
      <c r="B177" s="45"/>
      <c r="C177" s="46"/>
      <c r="D177" s="98" t="str">
        <f t="shared" si="3"/>
        <v/>
      </c>
      <c r="E177" s="99"/>
      <c r="F177" s="75" t="str">
        <f t="array" ref="F177">IFERROR(INDEX(Kintoneデータ抽出!A:A, _xlfn.AGGREGATE(15, 6, ROW(Kintoneデータ抽出!$K$2:$K$5000) / ((Kintoneデータ抽出!$K$2:$K$5000="院内")), ROW(A140))), "")</f>
        <v/>
      </c>
      <c r="G177" s="77" t="str">
        <f t="array" ref="G177">IFERROR(INDEX(Kintoneデータ抽出!D:D, _xlfn.AGGREGATE(15, 6, ROW(Kintoneデータ抽出!$K$2:$K$5000) / ((Kintoneデータ抽出!$K$2:$K$5000="院内")), ROW(A140))), "")</f>
        <v/>
      </c>
      <c r="H177" s="77" t="str">
        <f t="array" ref="H177">IFERROR(INDEX(Kintoneデータ抽出!C:C, _xlfn.AGGREGATE(15, 6, ROW(Kintoneデータ抽出!$K$2:$K$5000) / ((Kintoneデータ抽出!$K$2:$K$5000="院内")), ROW(A140))), "")</f>
        <v/>
      </c>
      <c r="I177" s="75" t="str">
        <f t="array" ref="I177">IFERROR(IF(INDEX(Kintoneデータ抽出!G:G, _xlfn.AGGREGATE(15, 6, ROW(Kintoneデータ抽出!$K$2:$K$5000) / ((Kintoneデータ抽出!$K$2:$K$5000="院内")), ROW(A140)))&lt;&gt;"",INDEX(Kintoneデータ抽出!G:G, _xlfn.AGGREGATE(15, 6, ROW(Kintoneデータ抽出!$K$2:$K$5000) / ((Kintoneデータ抽出!$K$2:$K$5000="院内")), ROW(A140)))&amp;"名",""), "")</f>
        <v/>
      </c>
      <c r="J177" s="76" t="str">
        <f t="array" ref="J177">IFERROR(IF(INDEX(Kintoneデータ抽出!E:E, _xlfn.AGGREGATE(15, 6, ROW(Kintoneデータ抽出!$K$2:$K$5000) / ((Kintoneデータ抽出!$K$2:$K$5000="院内")), ROW(A140)))&lt;&gt;"",
YEAR(INDEX(Kintoneデータ抽出!E:E, _xlfn.AGGREGATE(15, 6, ROW(Kintoneデータ抽出!$K$2:$K$5000) / ((Kintoneデータ抽出!$K$2:$K$5000="院内")), ROW(A140))))&amp;"年"
&amp;MONTH(INDEX(Kintoneデータ抽出!E:E, _xlfn.AGGREGATE(15, 6, ROW(Kintoneデータ抽出!$K$2:$K$5000) / ((Kintoneデータ抽出!$K$2:$K$5000="院内")), ROW(A140))))&amp;"月"
&amp;DAY(INDEX(Kintoneデータ抽出!E:E, _xlfn.AGGREGATE(15, 6, ROW(Kintoneデータ抽出!$K$2:$K$5000) /((Kintoneデータ抽出!$K$2:$K$5000="院内")), ROW(A140))))&amp;"日",""), "")</f>
        <v/>
      </c>
      <c r="K177" s="77" t="str" cm="1">
        <f t="array" ref="K177">IFERROR(IF(INDEX(Kintoneデータ抽出!F:F, _xlfn.AGGREGATE(15, 6, ROW(Kintoneデータ抽出!$K$2:$K$5000) / ((Kintoneデータ抽出!$K$2:$K$5000="院内")), ROW(A140)))&lt;&gt;"",
VLOOKUP(INDEX(Kintoneデータ抽出!F:F, _xlfn.AGGREGATE(15, 6, ROW(Kintoneデータ抽出!$K$2:$K$5000) / ((Kintoneデータ抽出!$K$2:$K$5000="院内")), ROW(A140))),基本開園日の表記!$A$2:$B$13,2,FALSE),""), "")</f>
        <v/>
      </c>
      <c r="L177" s="75" t="str">
        <f t="array" ref="L177">IFERROR(IF(INDEX(Kintoneデータ抽出!F:F, _xlfn.AGGREGATE(15, 6, ROW(Kintoneデータ抽出!$K$2:$K$5000) / ((Kintoneデータ抽出!$K$2:$K$5000="院内")), ROW(A140)))&lt;&gt;"",
IF(COUNTIF(INDEX(Kintoneデータ抽出!F:F, _xlfn.AGGREGATE(15, 6, ROW(Kintoneデータ抽出!$K$2:$K$5000) / ((Kintoneデータ抽出!$K$2:$K$5000="院内")), ROW(A140))),"*あり*"),"夜間",""),""), "")</f>
        <v/>
      </c>
      <c r="M177" s="75" t="str">
        <f t="array" ref="M177">IFERROR(IF(INDEX(Kintoneデータ抽出!I:I, _xlfn.AGGREGATE(15, 6, ROW(Kintoneデータ抽出!$K$2:$K$5000) / ((Kintoneデータ抽出!$K$2:$K$5000="院内")), ROW(A140)))&lt;&gt;"",
IF(COUNTIF(INDEX(Kintoneデータ抽出!I:I, _xlfn.AGGREGATE(15, 6, ROW(Kintoneデータ抽出!$K$2:$K$5000) / ((Kintoneデータ抽出!$K$2:$K$5000="院内")), ROW(A140))),"*あり*"),"学童",""),""), "")</f>
        <v/>
      </c>
      <c r="N177" s="75" t="str">
        <f t="array" ref="N177">IFERROR(IF(INDEX(Kintoneデータ抽出!H:H, _xlfn.AGGREGATE(15, 6, ROW(Kintoneデータ抽出!$K$2:$K$5000) / ((Kintoneデータ抽出!$K$2:$K$5000="院内")), ROW(A140)))&lt;&gt;"",
IF(COUNTIF(INDEX(Kintoneデータ抽出!H:H, _xlfn.AGGREGATE(15, 6, ROW(Kintoneデータ抽出!$K$2:$K$5000) / ((Kintoneデータ抽出!$K$2:$K$5000="院内")), ROW(A140))),"*あり*"),"病児",""),""), "")</f>
        <v/>
      </c>
      <c r="O177" s="94" t="str" cm="1">
        <f t="array" ref="O177">IFERROR(
IF(INDEX(Kintoneデータ抽出!M:M, _xlfn.AGGREGATE(15, 6, ROW(Kintoneデータ抽出!$K$2:$K$5000) / ((Kintoneデータ抽出!$K$2:$K$5000="院内")), ROW(A140)))&lt;&gt;0,INDEX(Kintoneデータ抽出!M:M, _xlfn.AGGREGATE(15, 6, ROW(Kintoneデータ抽出!$K$2:$K$5000) / ((Kintoneデータ抽出!$K$2:$K$5000="院内")), ROW(A140))),""), "")</f>
        <v/>
      </c>
      <c r="P177" s="78" t="str">
        <f t="array" ref="P177">IFERROR(IF(INDEX(Kintoneデータ抽出!L:L, _xlfn.AGGREGATE(15, 6, ROW(Kintoneデータ抽出!$K$2:$K$5000) / ((Kintoneデータ抽出!$K$2:$K$5000="院内")), ROW(A140)))&lt;&gt;"",
IF(COUNTIF(INDEX(Kintoneデータ抽出!L:L, _xlfn.AGGREGATE(15, 6, ROW(Kintoneデータ抽出!$K$2:$K$5000) / ((Kintoneデータ抽出!$K$2:$K$5000="院内")), ROW(A140))),"*企業主導型以外*"),"",
IF(COUNTIF(INDEX(Kintoneデータ抽出!L:L, _xlfn.AGGREGATE(15, 6, ROW(Kintoneデータ抽出!$K$2:$K$5000) / ((Kintoneデータ抽出!$K$2:$K$5000="院内")), ROW(A140))),"*その他*"),"",
IF(COUNTIF(INDEX(Kintoneデータ抽出!L:L, _xlfn.AGGREGATE(15, 6, ROW(Kintoneデータ抽出!$K$2:$K$5000) / ((Kintoneデータ抽出!$K$2:$K$5000="院内")), ROW(A140))),"*新制度*"),"新制度","企業主導型"))),""), "")</f>
        <v/>
      </c>
    </row>
    <row r="178" spans="2:16" ht="34.799999999999997" customHeight="1" x14ac:dyDescent="0.45">
      <c r="B178" s="45"/>
      <c r="C178" s="46"/>
      <c r="D178" s="98" t="str">
        <f t="shared" si="3"/>
        <v/>
      </c>
      <c r="E178" s="99"/>
      <c r="F178" s="75" t="str">
        <f t="array" ref="F178">IFERROR(INDEX(Kintoneデータ抽出!A:A, _xlfn.AGGREGATE(15, 6, ROW(Kintoneデータ抽出!$K$2:$K$5000) / ((Kintoneデータ抽出!$K$2:$K$5000="院内")), ROW(A141))), "")</f>
        <v/>
      </c>
      <c r="G178" s="77" t="str">
        <f t="array" ref="G178">IFERROR(INDEX(Kintoneデータ抽出!D:D, _xlfn.AGGREGATE(15, 6, ROW(Kintoneデータ抽出!$K$2:$K$5000) / ((Kintoneデータ抽出!$K$2:$K$5000="院内")), ROW(A141))), "")</f>
        <v/>
      </c>
      <c r="H178" s="77" t="str">
        <f t="array" ref="H178">IFERROR(INDEX(Kintoneデータ抽出!C:C, _xlfn.AGGREGATE(15, 6, ROW(Kintoneデータ抽出!$K$2:$K$5000) / ((Kintoneデータ抽出!$K$2:$K$5000="院内")), ROW(A141))), "")</f>
        <v/>
      </c>
      <c r="I178" s="75" t="str">
        <f t="array" ref="I178">IFERROR(IF(INDEX(Kintoneデータ抽出!G:G, _xlfn.AGGREGATE(15, 6, ROW(Kintoneデータ抽出!$K$2:$K$5000) / ((Kintoneデータ抽出!$K$2:$K$5000="院内")), ROW(A141)))&lt;&gt;"",INDEX(Kintoneデータ抽出!G:G, _xlfn.AGGREGATE(15, 6, ROW(Kintoneデータ抽出!$K$2:$K$5000) / ((Kintoneデータ抽出!$K$2:$K$5000="院内")), ROW(A141)))&amp;"名",""), "")</f>
        <v/>
      </c>
      <c r="J178" s="76" t="str">
        <f t="array" ref="J178">IFERROR(IF(INDEX(Kintoneデータ抽出!E:E, _xlfn.AGGREGATE(15, 6, ROW(Kintoneデータ抽出!$K$2:$K$5000) / ((Kintoneデータ抽出!$K$2:$K$5000="院内")), ROW(A141)))&lt;&gt;"",
YEAR(INDEX(Kintoneデータ抽出!E:E, _xlfn.AGGREGATE(15, 6, ROW(Kintoneデータ抽出!$K$2:$K$5000) / ((Kintoneデータ抽出!$K$2:$K$5000="院内")), ROW(A141))))&amp;"年"
&amp;MONTH(INDEX(Kintoneデータ抽出!E:E, _xlfn.AGGREGATE(15, 6, ROW(Kintoneデータ抽出!$K$2:$K$5000) / ((Kintoneデータ抽出!$K$2:$K$5000="院内")), ROW(A141))))&amp;"月"
&amp;DAY(INDEX(Kintoneデータ抽出!E:E, _xlfn.AGGREGATE(15, 6, ROW(Kintoneデータ抽出!$K$2:$K$5000) /((Kintoneデータ抽出!$K$2:$K$5000="院内")), ROW(A141))))&amp;"日",""), "")</f>
        <v/>
      </c>
      <c r="K178" s="77" t="str" cm="1">
        <f t="array" ref="K178">IFERROR(IF(INDEX(Kintoneデータ抽出!F:F, _xlfn.AGGREGATE(15, 6, ROW(Kintoneデータ抽出!$K$2:$K$5000) / ((Kintoneデータ抽出!$K$2:$K$5000="院内")), ROW(A141)))&lt;&gt;"",
VLOOKUP(INDEX(Kintoneデータ抽出!F:F, _xlfn.AGGREGATE(15, 6, ROW(Kintoneデータ抽出!$K$2:$K$5000) / ((Kintoneデータ抽出!$K$2:$K$5000="院内")), ROW(A141))),基本開園日の表記!$A$2:$B$13,2,FALSE),""), "")</f>
        <v/>
      </c>
      <c r="L178" s="75" t="str">
        <f t="array" ref="L178">IFERROR(IF(INDEX(Kintoneデータ抽出!F:F, _xlfn.AGGREGATE(15, 6, ROW(Kintoneデータ抽出!$K$2:$K$5000) / ((Kintoneデータ抽出!$K$2:$K$5000="院内")), ROW(A141)))&lt;&gt;"",
IF(COUNTIF(INDEX(Kintoneデータ抽出!F:F, _xlfn.AGGREGATE(15, 6, ROW(Kintoneデータ抽出!$K$2:$K$5000) / ((Kintoneデータ抽出!$K$2:$K$5000="院内")), ROW(A141))),"*あり*"),"夜間",""),""), "")</f>
        <v/>
      </c>
      <c r="M178" s="75" t="str">
        <f t="array" ref="M178">IFERROR(IF(INDEX(Kintoneデータ抽出!I:I, _xlfn.AGGREGATE(15, 6, ROW(Kintoneデータ抽出!$K$2:$K$5000) / ((Kintoneデータ抽出!$K$2:$K$5000="院内")), ROW(A141)))&lt;&gt;"",
IF(COUNTIF(INDEX(Kintoneデータ抽出!I:I, _xlfn.AGGREGATE(15, 6, ROW(Kintoneデータ抽出!$K$2:$K$5000) / ((Kintoneデータ抽出!$K$2:$K$5000="院内")), ROW(A141))),"*あり*"),"学童",""),""), "")</f>
        <v/>
      </c>
      <c r="N178" s="75" t="str">
        <f t="array" ref="N178">IFERROR(IF(INDEX(Kintoneデータ抽出!H:H, _xlfn.AGGREGATE(15, 6, ROW(Kintoneデータ抽出!$K$2:$K$5000) / ((Kintoneデータ抽出!$K$2:$K$5000="院内")), ROW(A141)))&lt;&gt;"",
IF(COUNTIF(INDEX(Kintoneデータ抽出!H:H, _xlfn.AGGREGATE(15, 6, ROW(Kintoneデータ抽出!$K$2:$K$5000) / ((Kintoneデータ抽出!$K$2:$K$5000="院内")), ROW(A141))),"*あり*"),"病児",""),""), "")</f>
        <v/>
      </c>
      <c r="O178" s="94" t="str" cm="1">
        <f t="array" ref="O178">IFERROR(
IF(INDEX(Kintoneデータ抽出!M:M, _xlfn.AGGREGATE(15, 6, ROW(Kintoneデータ抽出!$K$2:$K$5000) / ((Kintoneデータ抽出!$K$2:$K$5000="院内")), ROW(A141)))&lt;&gt;0,INDEX(Kintoneデータ抽出!M:M, _xlfn.AGGREGATE(15, 6, ROW(Kintoneデータ抽出!$K$2:$K$5000) / ((Kintoneデータ抽出!$K$2:$K$5000="院内")), ROW(A141))),""), "")</f>
        <v/>
      </c>
      <c r="P178" s="78" t="str">
        <f t="array" ref="P178">IFERROR(IF(INDEX(Kintoneデータ抽出!L:L, _xlfn.AGGREGATE(15, 6, ROW(Kintoneデータ抽出!$K$2:$K$5000) / ((Kintoneデータ抽出!$K$2:$K$5000="院内")), ROW(A141)))&lt;&gt;"",
IF(COUNTIF(INDEX(Kintoneデータ抽出!L:L, _xlfn.AGGREGATE(15, 6, ROW(Kintoneデータ抽出!$K$2:$K$5000) / ((Kintoneデータ抽出!$K$2:$K$5000="院内")), ROW(A141))),"*企業主導型以外*"),"",
IF(COUNTIF(INDEX(Kintoneデータ抽出!L:L, _xlfn.AGGREGATE(15, 6, ROW(Kintoneデータ抽出!$K$2:$K$5000) / ((Kintoneデータ抽出!$K$2:$K$5000="院内")), ROW(A141))),"*その他*"),"",
IF(COUNTIF(INDEX(Kintoneデータ抽出!L:L, _xlfn.AGGREGATE(15, 6, ROW(Kintoneデータ抽出!$K$2:$K$5000) / ((Kintoneデータ抽出!$K$2:$K$5000="院内")), ROW(A141))),"*新制度*"),"新制度","企業主導型"))),""), "")</f>
        <v/>
      </c>
    </row>
    <row r="179" spans="2:16" ht="34.799999999999997" customHeight="1" x14ac:dyDescent="0.45">
      <c r="B179" s="45"/>
      <c r="C179" s="46"/>
      <c r="D179" s="98" t="str">
        <f t="shared" si="3"/>
        <v/>
      </c>
      <c r="E179" s="99"/>
      <c r="F179" s="75" t="str">
        <f t="array" ref="F179">IFERROR(INDEX(Kintoneデータ抽出!A:A, _xlfn.AGGREGATE(15, 6, ROW(Kintoneデータ抽出!$K$2:$K$5000) / ((Kintoneデータ抽出!$K$2:$K$5000="院内")), ROW(A142))), "")</f>
        <v/>
      </c>
      <c r="G179" s="77" t="str">
        <f t="array" ref="G179">IFERROR(INDEX(Kintoneデータ抽出!D:D, _xlfn.AGGREGATE(15, 6, ROW(Kintoneデータ抽出!$K$2:$K$5000) / ((Kintoneデータ抽出!$K$2:$K$5000="院内")), ROW(A142))), "")</f>
        <v/>
      </c>
      <c r="H179" s="77" t="str">
        <f t="array" ref="H179">IFERROR(INDEX(Kintoneデータ抽出!C:C, _xlfn.AGGREGATE(15, 6, ROW(Kintoneデータ抽出!$K$2:$K$5000) / ((Kintoneデータ抽出!$K$2:$K$5000="院内")), ROW(A142))), "")</f>
        <v/>
      </c>
      <c r="I179" s="75" t="str">
        <f t="array" ref="I179">IFERROR(IF(INDEX(Kintoneデータ抽出!G:G, _xlfn.AGGREGATE(15, 6, ROW(Kintoneデータ抽出!$K$2:$K$5000) / ((Kintoneデータ抽出!$K$2:$K$5000="院内")), ROW(A142)))&lt;&gt;"",INDEX(Kintoneデータ抽出!G:G, _xlfn.AGGREGATE(15, 6, ROW(Kintoneデータ抽出!$K$2:$K$5000) / ((Kintoneデータ抽出!$K$2:$K$5000="院内")), ROW(A142)))&amp;"名",""), "")</f>
        <v/>
      </c>
      <c r="J179" s="76" t="str">
        <f t="array" ref="J179">IFERROR(IF(INDEX(Kintoneデータ抽出!E:E, _xlfn.AGGREGATE(15, 6, ROW(Kintoneデータ抽出!$K$2:$K$5000) / ((Kintoneデータ抽出!$K$2:$K$5000="院内")), ROW(A142)))&lt;&gt;"",
YEAR(INDEX(Kintoneデータ抽出!E:E, _xlfn.AGGREGATE(15, 6, ROW(Kintoneデータ抽出!$K$2:$K$5000) / ((Kintoneデータ抽出!$K$2:$K$5000="院内")), ROW(A142))))&amp;"年"
&amp;MONTH(INDEX(Kintoneデータ抽出!E:E, _xlfn.AGGREGATE(15, 6, ROW(Kintoneデータ抽出!$K$2:$K$5000) / ((Kintoneデータ抽出!$K$2:$K$5000="院内")), ROW(A142))))&amp;"月"
&amp;DAY(INDEX(Kintoneデータ抽出!E:E, _xlfn.AGGREGATE(15, 6, ROW(Kintoneデータ抽出!$K$2:$K$5000) /((Kintoneデータ抽出!$K$2:$K$5000="院内")), ROW(A142))))&amp;"日",""), "")</f>
        <v/>
      </c>
      <c r="K179" s="77" t="str" cm="1">
        <f t="array" ref="K179">IFERROR(IF(INDEX(Kintoneデータ抽出!F:F, _xlfn.AGGREGATE(15, 6, ROW(Kintoneデータ抽出!$K$2:$K$5000) / ((Kintoneデータ抽出!$K$2:$K$5000="院内")), ROW(A142)))&lt;&gt;"",
VLOOKUP(INDEX(Kintoneデータ抽出!F:F, _xlfn.AGGREGATE(15, 6, ROW(Kintoneデータ抽出!$K$2:$K$5000) / ((Kintoneデータ抽出!$K$2:$K$5000="院内")), ROW(A142))),基本開園日の表記!$A$2:$B$13,2,FALSE),""), "")</f>
        <v/>
      </c>
      <c r="L179" s="75" t="str">
        <f t="array" ref="L179">IFERROR(IF(INDEX(Kintoneデータ抽出!F:F, _xlfn.AGGREGATE(15, 6, ROW(Kintoneデータ抽出!$K$2:$K$5000) / ((Kintoneデータ抽出!$K$2:$K$5000="院内")), ROW(A142)))&lt;&gt;"",
IF(COUNTIF(INDEX(Kintoneデータ抽出!F:F, _xlfn.AGGREGATE(15, 6, ROW(Kintoneデータ抽出!$K$2:$K$5000) / ((Kintoneデータ抽出!$K$2:$K$5000="院内")), ROW(A142))),"*あり*"),"夜間",""),""), "")</f>
        <v/>
      </c>
      <c r="M179" s="75" t="str">
        <f t="array" ref="M179">IFERROR(IF(INDEX(Kintoneデータ抽出!I:I, _xlfn.AGGREGATE(15, 6, ROW(Kintoneデータ抽出!$K$2:$K$5000) / ((Kintoneデータ抽出!$K$2:$K$5000="院内")), ROW(A142)))&lt;&gt;"",
IF(COUNTIF(INDEX(Kintoneデータ抽出!I:I, _xlfn.AGGREGATE(15, 6, ROW(Kintoneデータ抽出!$K$2:$K$5000) / ((Kintoneデータ抽出!$K$2:$K$5000="院内")), ROW(A142))),"*あり*"),"学童",""),""), "")</f>
        <v/>
      </c>
      <c r="N179" s="75" t="str">
        <f t="array" ref="N179">IFERROR(IF(INDEX(Kintoneデータ抽出!H:H, _xlfn.AGGREGATE(15, 6, ROW(Kintoneデータ抽出!$K$2:$K$5000) / ((Kintoneデータ抽出!$K$2:$K$5000="院内")), ROW(A142)))&lt;&gt;"",
IF(COUNTIF(INDEX(Kintoneデータ抽出!H:H, _xlfn.AGGREGATE(15, 6, ROW(Kintoneデータ抽出!$K$2:$K$5000) / ((Kintoneデータ抽出!$K$2:$K$5000="院内")), ROW(A142))),"*あり*"),"病児",""),""), "")</f>
        <v/>
      </c>
      <c r="O179" s="94" t="str" cm="1">
        <f t="array" ref="O179">IFERROR(
IF(INDEX(Kintoneデータ抽出!M:M, _xlfn.AGGREGATE(15, 6, ROW(Kintoneデータ抽出!$K$2:$K$5000) / ((Kintoneデータ抽出!$K$2:$K$5000="院内")), ROW(A142)))&lt;&gt;0,INDEX(Kintoneデータ抽出!M:M, _xlfn.AGGREGATE(15, 6, ROW(Kintoneデータ抽出!$K$2:$K$5000) / ((Kintoneデータ抽出!$K$2:$K$5000="院内")), ROW(A142))),""), "")</f>
        <v/>
      </c>
      <c r="P179" s="78" t="str">
        <f t="array" ref="P179">IFERROR(IF(INDEX(Kintoneデータ抽出!L:L, _xlfn.AGGREGATE(15, 6, ROW(Kintoneデータ抽出!$K$2:$K$5000) / ((Kintoneデータ抽出!$K$2:$K$5000="院内")), ROW(A142)))&lt;&gt;"",
IF(COUNTIF(INDEX(Kintoneデータ抽出!L:L, _xlfn.AGGREGATE(15, 6, ROW(Kintoneデータ抽出!$K$2:$K$5000) / ((Kintoneデータ抽出!$K$2:$K$5000="院内")), ROW(A142))),"*企業主導型以外*"),"",
IF(COUNTIF(INDEX(Kintoneデータ抽出!L:L, _xlfn.AGGREGATE(15, 6, ROW(Kintoneデータ抽出!$K$2:$K$5000) / ((Kintoneデータ抽出!$K$2:$K$5000="院内")), ROW(A142))),"*その他*"),"",
IF(COUNTIF(INDEX(Kintoneデータ抽出!L:L, _xlfn.AGGREGATE(15, 6, ROW(Kintoneデータ抽出!$K$2:$K$5000) / ((Kintoneデータ抽出!$K$2:$K$5000="院内")), ROW(A142))),"*新制度*"),"新制度","企業主導型"))),""), "")</f>
        <v/>
      </c>
    </row>
    <row r="180" spans="2:16" ht="34.799999999999997" customHeight="1" x14ac:dyDescent="0.45">
      <c r="B180" s="45"/>
      <c r="C180" s="46"/>
      <c r="D180" s="98" t="str">
        <f t="shared" si="3"/>
        <v/>
      </c>
      <c r="E180" s="99"/>
      <c r="F180" s="75" t="str">
        <f t="array" ref="F180">IFERROR(INDEX(Kintoneデータ抽出!A:A, _xlfn.AGGREGATE(15, 6, ROW(Kintoneデータ抽出!$K$2:$K$5000) / ((Kintoneデータ抽出!$K$2:$K$5000="院内")), ROW(A143))), "")</f>
        <v/>
      </c>
      <c r="G180" s="77" t="str">
        <f t="array" ref="G180">IFERROR(INDEX(Kintoneデータ抽出!D:D, _xlfn.AGGREGATE(15, 6, ROW(Kintoneデータ抽出!$K$2:$K$5000) / ((Kintoneデータ抽出!$K$2:$K$5000="院内")), ROW(A143))), "")</f>
        <v/>
      </c>
      <c r="H180" s="77" t="str">
        <f t="array" ref="H180">IFERROR(INDEX(Kintoneデータ抽出!C:C, _xlfn.AGGREGATE(15, 6, ROW(Kintoneデータ抽出!$K$2:$K$5000) / ((Kintoneデータ抽出!$K$2:$K$5000="院内")), ROW(A143))), "")</f>
        <v/>
      </c>
      <c r="I180" s="75" t="str">
        <f t="array" ref="I180">IFERROR(IF(INDEX(Kintoneデータ抽出!G:G, _xlfn.AGGREGATE(15, 6, ROW(Kintoneデータ抽出!$K$2:$K$5000) / ((Kintoneデータ抽出!$K$2:$K$5000="院内")), ROW(A143)))&lt;&gt;"",INDEX(Kintoneデータ抽出!G:G, _xlfn.AGGREGATE(15, 6, ROW(Kintoneデータ抽出!$K$2:$K$5000) / ((Kintoneデータ抽出!$K$2:$K$5000="院内")), ROW(A143)))&amp;"名",""), "")</f>
        <v/>
      </c>
      <c r="J180" s="76" t="str">
        <f t="array" ref="J180">IFERROR(IF(INDEX(Kintoneデータ抽出!E:E, _xlfn.AGGREGATE(15, 6, ROW(Kintoneデータ抽出!$K$2:$K$5000) / ((Kintoneデータ抽出!$K$2:$K$5000="院内")), ROW(A143)))&lt;&gt;"",
YEAR(INDEX(Kintoneデータ抽出!E:E, _xlfn.AGGREGATE(15, 6, ROW(Kintoneデータ抽出!$K$2:$K$5000) / ((Kintoneデータ抽出!$K$2:$K$5000="院内")), ROW(A143))))&amp;"年"
&amp;MONTH(INDEX(Kintoneデータ抽出!E:E, _xlfn.AGGREGATE(15, 6, ROW(Kintoneデータ抽出!$K$2:$K$5000) / ((Kintoneデータ抽出!$K$2:$K$5000="院内")), ROW(A143))))&amp;"月"
&amp;DAY(INDEX(Kintoneデータ抽出!E:E, _xlfn.AGGREGATE(15, 6, ROW(Kintoneデータ抽出!$K$2:$K$5000) /((Kintoneデータ抽出!$K$2:$K$5000="院内")), ROW(A143))))&amp;"日",""), "")</f>
        <v/>
      </c>
      <c r="K180" s="77" t="str" cm="1">
        <f t="array" ref="K180">IFERROR(IF(INDEX(Kintoneデータ抽出!F:F, _xlfn.AGGREGATE(15, 6, ROW(Kintoneデータ抽出!$K$2:$K$5000) / ((Kintoneデータ抽出!$K$2:$K$5000="院内")), ROW(A143)))&lt;&gt;"",
VLOOKUP(INDEX(Kintoneデータ抽出!F:F, _xlfn.AGGREGATE(15, 6, ROW(Kintoneデータ抽出!$K$2:$K$5000) / ((Kintoneデータ抽出!$K$2:$K$5000="院内")), ROW(A143))),基本開園日の表記!$A$2:$B$13,2,FALSE),""), "")</f>
        <v/>
      </c>
      <c r="L180" s="75" t="str">
        <f t="array" ref="L180">IFERROR(IF(INDEX(Kintoneデータ抽出!F:F, _xlfn.AGGREGATE(15, 6, ROW(Kintoneデータ抽出!$K$2:$K$5000) / ((Kintoneデータ抽出!$K$2:$K$5000="院内")), ROW(A143)))&lt;&gt;"",
IF(COUNTIF(INDEX(Kintoneデータ抽出!F:F, _xlfn.AGGREGATE(15, 6, ROW(Kintoneデータ抽出!$K$2:$K$5000) / ((Kintoneデータ抽出!$K$2:$K$5000="院内")), ROW(A143))),"*あり*"),"夜間",""),""), "")</f>
        <v/>
      </c>
      <c r="M180" s="75" t="str">
        <f t="array" ref="M180">IFERROR(IF(INDEX(Kintoneデータ抽出!I:I, _xlfn.AGGREGATE(15, 6, ROW(Kintoneデータ抽出!$K$2:$K$5000) / ((Kintoneデータ抽出!$K$2:$K$5000="院内")), ROW(A143)))&lt;&gt;"",
IF(COUNTIF(INDEX(Kintoneデータ抽出!I:I, _xlfn.AGGREGATE(15, 6, ROW(Kintoneデータ抽出!$K$2:$K$5000) / ((Kintoneデータ抽出!$K$2:$K$5000="院内")), ROW(A143))),"*あり*"),"学童",""),""), "")</f>
        <v/>
      </c>
      <c r="N180" s="75" t="str">
        <f t="array" ref="N180">IFERROR(IF(INDEX(Kintoneデータ抽出!H:H, _xlfn.AGGREGATE(15, 6, ROW(Kintoneデータ抽出!$K$2:$K$5000) / ((Kintoneデータ抽出!$K$2:$K$5000="院内")), ROW(A143)))&lt;&gt;"",
IF(COUNTIF(INDEX(Kintoneデータ抽出!H:H, _xlfn.AGGREGATE(15, 6, ROW(Kintoneデータ抽出!$K$2:$K$5000) / ((Kintoneデータ抽出!$K$2:$K$5000="院内")), ROW(A143))),"*あり*"),"病児",""),""), "")</f>
        <v/>
      </c>
      <c r="O180" s="94" t="str" cm="1">
        <f t="array" ref="O180">IFERROR(
IF(INDEX(Kintoneデータ抽出!M:M, _xlfn.AGGREGATE(15, 6, ROW(Kintoneデータ抽出!$K$2:$K$5000) / ((Kintoneデータ抽出!$K$2:$K$5000="院内")), ROW(A143)))&lt;&gt;0,INDEX(Kintoneデータ抽出!M:M, _xlfn.AGGREGATE(15, 6, ROW(Kintoneデータ抽出!$K$2:$K$5000) / ((Kintoneデータ抽出!$K$2:$K$5000="院内")), ROW(A143))),""), "")</f>
        <v/>
      </c>
      <c r="P180" s="78" t="str">
        <f t="array" ref="P180">IFERROR(IF(INDEX(Kintoneデータ抽出!L:L, _xlfn.AGGREGATE(15, 6, ROW(Kintoneデータ抽出!$K$2:$K$5000) / ((Kintoneデータ抽出!$K$2:$K$5000="院内")), ROW(A143)))&lt;&gt;"",
IF(COUNTIF(INDEX(Kintoneデータ抽出!L:L, _xlfn.AGGREGATE(15, 6, ROW(Kintoneデータ抽出!$K$2:$K$5000) / ((Kintoneデータ抽出!$K$2:$K$5000="院内")), ROW(A143))),"*企業主導型以外*"),"",
IF(COUNTIF(INDEX(Kintoneデータ抽出!L:L, _xlfn.AGGREGATE(15, 6, ROW(Kintoneデータ抽出!$K$2:$K$5000) / ((Kintoneデータ抽出!$K$2:$K$5000="院内")), ROW(A143))),"*その他*"),"",
IF(COUNTIF(INDEX(Kintoneデータ抽出!L:L, _xlfn.AGGREGATE(15, 6, ROW(Kintoneデータ抽出!$K$2:$K$5000) / ((Kintoneデータ抽出!$K$2:$K$5000="院内")), ROW(A143))),"*新制度*"),"新制度","企業主導型"))),""), "")</f>
        <v/>
      </c>
    </row>
    <row r="181" spans="2:16" ht="34.799999999999997" customHeight="1" x14ac:dyDescent="0.45">
      <c r="B181" s="47"/>
      <c r="C181" s="48"/>
      <c r="D181" s="98" t="str">
        <f t="shared" si="3"/>
        <v/>
      </c>
      <c r="E181" s="99"/>
      <c r="F181" s="75" t="str">
        <f t="array" ref="F181">IFERROR(INDEX(Kintoneデータ抽出!A:A, _xlfn.AGGREGATE(15, 6, ROW(Kintoneデータ抽出!$K$2:$K$5000) / ((Kintoneデータ抽出!$K$2:$K$5000="院内")), ROW(A144))), "")</f>
        <v/>
      </c>
      <c r="G181" s="77" t="str">
        <f t="array" ref="G181">IFERROR(INDEX(Kintoneデータ抽出!D:D, _xlfn.AGGREGATE(15, 6, ROW(Kintoneデータ抽出!$K$2:$K$5000) / ((Kintoneデータ抽出!$K$2:$K$5000="院内")), ROW(A144))), "")</f>
        <v/>
      </c>
      <c r="H181" s="77" t="str">
        <f t="array" ref="H181">IFERROR(INDEX(Kintoneデータ抽出!C:C, _xlfn.AGGREGATE(15, 6, ROW(Kintoneデータ抽出!$K$2:$K$5000) / ((Kintoneデータ抽出!$K$2:$K$5000="院内")), ROW(A144))), "")</f>
        <v/>
      </c>
      <c r="I181" s="75" t="str">
        <f t="array" ref="I181">IFERROR(IF(INDEX(Kintoneデータ抽出!G:G, _xlfn.AGGREGATE(15, 6, ROW(Kintoneデータ抽出!$K$2:$K$5000) / ((Kintoneデータ抽出!$K$2:$K$5000="院内")), ROW(A144)))&lt;&gt;"",INDEX(Kintoneデータ抽出!G:G, _xlfn.AGGREGATE(15, 6, ROW(Kintoneデータ抽出!$K$2:$K$5000) / ((Kintoneデータ抽出!$K$2:$K$5000="院内")), ROW(A144)))&amp;"名",""), "")</f>
        <v/>
      </c>
      <c r="J181" s="76" t="str">
        <f t="array" ref="J181">IFERROR(IF(INDEX(Kintoneデータ抽出!E:E, _xlfn.AGGREGATE(15, 6, ROW(Kintoneデータ抽出!$K$2:$K$5000) / ((Kintoneデータ抽出!$K$2:$K$5000="院内")), ROW(A144)))&lt;&gt;"",
YEAR(INDEX(Kintoneデータ抽出!E:E, _xlfn.AGGREGATE(15, 6, ROW(Kintoneデータ抽出!$K$2:$K$5000) / ((Kintoneデータ抽出!$K$2:$K$5000="院内")), ROW(A144))))&amp;"年"
&amp;MONTH(INDEX(Kintoneデータ抽出!E:E, _xlfn.AGGREGATE(15, 6, ROW(Kintoneデータ抽出!$K$2:$K$5000) / ((Kintoneデータ抽出!$K$2:$K$5000="院内")), ROW(A144))))&amp;"月"
&amp;DAY(INDEX(Kintoneデータ抽出!E:E, _xlfn.AGGREGATE(15, 6, ROW(Kintoneデータ抽出!$K$2:$K$5000) /((Kintoneデータ抽出!$K$2:$K$5000="院内")), ROW(A144))))&amp;"日",""), "")</f>
        <v/>
      </c>
      <c r="K181" s="77" t="str" cm="1">
        <f t="array" ref="K181">IFERROR(IF(INDEX(Kintoneデータ抽出!F:F, _xlfn.AGGREGATE(15, 6, ROW(Kintoneデータ抽出!$K$2:$K$5000) / ((Kintoneデータ抽出!$K$2:$K$5000="院内")), ROW(A144)))&lt;&gt;"",
VLOOKUP(INDEX(Kintoneデータ抽出!F:F, _xlfn.AGGREGATE(15, 6, ROW(Kintoneデータ抽出!$K$2:$K$5000) / ((Kintoneデータ抽出!$K$2:$K$5000="院内")), ROW(A144))),基本開園日の表記!$A$2:$B$13,2,FALSE),""), "")</f>
        <v/>
      </c>
      <c r="L181" s="75" t="str">
        <f t="array" ref="L181">IFERROR(IF(INDEX(Kintoneデータ抽出!F:F, _xlfn.AGGREGATE(15, 6, ROW(Kintoneデータ抽出!$K$2:$K$5000) / ((Kintoneデータ抽出!$K$2:$K$5000="院内")), ROW(A144)))&lt;&gt;"",
IF(COUNTIF(INDEX(Kintoneデータ抽出!F:F, _xlfn.AGGREGATE(15, 6, ROW(Kintoneデータ抽出!$K$2:$K$5000) / ((Kintoneデータ抽出!$K$2:$K$5000="院内")), ROW(A144))),"*あり*"),"夜間",""),""), "")</f>
        <v/>
      </c>
      <c r="M181" s="75" t="str">
        <f t="array" ref="M181">IFERROR(IF(INDEX(Kintoneデータ抽出!I:I, _xlfn.AGGREGATE(15, 6, ROW(Kintoneデータ抽出!$K$2:$K$5000) / ((Kintoneデータ抽出!$K$2:$K$5000="院内")), ROW(A144)))&lt;&gt;"",
IF(COUNTIF(INDEX(Kintoneデータ抽出!I:I, _xlfn.AGGREGATE(15, 6, ROW(Kintoneデータ抽出!$K$2:$K$5000) / ((Kintoneデータ抽出!$K$2:$K$5000="院内")), ROW(A144))),"*あり*"),"学童",""),""), "")</f>
        <v/>
      </c>
      <c r="N181" s="75" t="str">
        <f t="array" ref="N181">IFERROR(IF(INDEX(Kintoneデータ抽出!H:H, _xlfn.AGGREGATE(15, 6, ROW(Kintoneデータ抽出!$K$2:$K$5000) / ((Kintoneデータ抽出!$K$2:$K$5000="院内")), ROW(A144)))&lt;&gt;"",
IF(COUNTIF(INDEX(Kintoneデータ抽出!H:H, _xlfn.AGGREGATE(15, 6, ROW(Kintoneデータ抽出!$K$2:$K$5000) / ((Kintoneデータ抽出!$K$2:$K$5000="院内")), ROW(A144))),"*あり*"),"病児",""),""), "")</f>
        <v/>
      </c>
      <c r="O181" s="94" t="str" cm="1">
        <f t="array" ref="O181">IFERROR(
IF(INDEX(Kintoneデータ抽出!M:M, _xlfn.AGGREGATE(15, 6, ROW(Kintoneデータ抽出!$K$2:$K$5000) / ((Kintoneデータ抽出!$K$2:$K$5000="院内")), ROW(A144)))&lt;&gt;0,INDEX(Kintoneデータ抽出!M:M, _xlfn.AGGREGATE(15, 6, ROW(Kintoneデータ抽出!$K$2:$K$5000) / ((Kintoneデータ抽出!$K$2:$K$5000="院内")), ROW(A144))),""), "")</f>
        <v/>
      </c>
      <c r="P181" s="78" t="str">
        <f t="array" ref="P181">IFERROR(IF(INDEX(Kintoneデータ抽出!L:L, _xlfn.AGGREGATE(15, 6, ROW(Kintoneデータ抽出!$K$2:$K$5000) / ((Kintoneデータ抽出!$K$2:$K$5000="院内")), ROW(A144)))&lt;&gt;"",
IF(COUNTIF(INDEX(Kintoneデータ抽出!L:L, _xlfn.AGGREGATE(15, 6, ROW(Kintoneデータ抽出!$K$2:$K$5000) / ((Kintoneデータ抽出!$K$2:$K$5000="院内")), ROW(A144))),"*企業主導型以外*"),"",
IF(COUNTIF(INDEX(Kintoneデータ抽出!L:L, _xlfn.AGGREGATE(15, 6, ROW(Kintoneデータ抽出!$K$2:$K$5000) / ((Kintoneデータ抽出!$K$2:$K$5000="院内")), ROW(A144))),"*その他*"),"",
IF(COUNTIF(INDEX(Kintoneデータ抽出!L:L, _xlfn.AGGREGATE(15, 6, ROW(Kintoneデータ抽出!$K$2:$K$5000) / ((Kintoneデータ抽出!$K$2:$K$5000="院内")), ROW(A144))),"*新制度*"),"新制度","企業主導型"))),""), "")</f>
        <v/>
      </c>
    </row>
    <row r="182" spans="2:16" ht="34.799999999999997" customHeight="1" x14ac:dyDescent="0.45">
      <c r="B182" s="56"/>
      <c r="C182" s="46"/>
      <c r="D182" s="98" t="str">
        <f t="shared" si="3"/>
        <v/>
      </c>
      <c r="E182" s="99"/>
      <c r="F182" s="75" t="str">
        <f t="array" ref="F182">IFERROR(INDEX(Kintoneデータ抽出!A:A, _xlfn.AGGREGATE(15, 6, ROW(Kintoneデータ抽出!$K$2:$K$5000) / ((Kintoneデータ抽出!$K$2:$K$5000="院内")), ROW(A145))), "")</f>
        <v/>
      </c>
      <c r="G182" s="77" t="str">
        <f t="array" ref="G182">IFERROR(INDEX(Kintoneデータ抽出!D:D, _xlfn.AGGREGATE(15, 6, ROW(Kintoneデータ抽出!$K$2:$K$5000) / ((Kintoneデータ抽出!$K$2:$K$5000="院内")), ROW(A145))), "")</f>
        <v/>
      </c>
      <c r="H182" s="77" t="str">
        <f t="array" ref="H182">IFERROR(INDEX(Kintoneデータ抽出!C:C, _xlfn.AGGREGATE(15, 6, ROW(Kintoneデータ抽出!$K$2:$K$5000) / ((Kintoneデータ抽出!$K$2:$K$5000="院内")), ROW(A145))), "")</f>
        <v/>
      </c>
      <c r="I182" s="75" t="str">
        <f t="array" ref="I182">IFERROR(IF(INDEX(Kintoneデータ抽出!G:G, _xlfn.AGGREGATE(15, 6, ROW(Kintoneデータ抽出!$K$2:$K$5000) / ((Kintoneデータ抽出!$K$2:$K$5000="院内")), ROW(A145)))&lt;&gt;"",INDEX(Kintoneデータ抽出!G:G, _xlfn.AGGREGATE(15, 6, ROW(Kintoneデータ抽出!$K$2:$K$5000) / ((Kintoneデータ抽出!$K$2:$K$5000="院内")), ROW(A145)))&amp;"名",""), "")</f>
        <v/>
      </c>
      <c r="J182" s="76" t="str">
        <f t="array" ref="J182">IFERROR(IF(INDEX(Kintoneデータ抽出!E:E, _xlfn.AGGREGATE(15, 6, ROW(Kintoneデータ抽出!$K$2:$K$5000) / ((Kintoneデータ抽出!$K$2:$K$5000="院内")), ROW(A145)))&lt;&gt;"",
YEAR(INDEX(Kintoneデータ抽出!E:E, _xlfn.AGGREGATE(15, 6, ROW(Kintoneデータ抽出!$K$2:$K$5000) / ((Kintoneデータ抽出!$K$2:$K$5000="院内")), ROW(A145))))&amp;"年"
&amp;MONTH(INDEX(Kintoneデータ抽出!E:E, _xlfn.AGGREGATE(15, 6, ROW(Kintoneデータ抽出!$K$2:$K$5000) / ((Kintoneデータ抽出!$K$2:$K$5000="院内")), ROW(A145))))&amp;"月"
&amp;DAY(INDEX(Kintoneデータ抽出!E:E, _xlfn.AGGREGATE(15, 6, ROW(Kintoneデータ抽出!$K$2:$K$5000) /((Kintoneデータ抽出!$K$2:$K$5000="院内")), ROW(A145))))&amp;"日",""), "")</f>
        <v/>
      </c>
      <c r="K182" s="77" t="str" cm="1">
        <f t="array" ref="K182">IFERROR(IF(INDEX(Kintoneデータ抽出!F:F, _xlfn.AGGREGATE(15, 6, ROW(Kintoneデータ抽出!$K$2:$K$5000) / ((Kintoneデータ抽出!$K$2:$K$5000="院内")), ROW(A145)))&lt;&gt;"",
VLOOKUP(INDEX(Kintoneデータ抽出!F:F, _xlfn.AGGREGATE(15, 6, ROW(Kintoneデータ抽出!$K$2:$K$5000) / ((Kintoneデータ抽出!$K$2:$K$5000="院内")), ROW(A145))),基本開園日の表記!$A$2:$B$13,2,FALSE),""), "")</f>
        <v/>
      </c>
      <c r="L182" s="75" t="str">
        <f t="array" ref="L182">IFERROR(IF(INDEX(Kintoneデータ抽出!F:F, _xlfn.AGGREGATE(15, 6, ROW(Kintoneデータ抽出!$K$2:$K$5000) / ((Kintoneデータ抽出!$K$2:$K$5000="院内")), ROW(A145)))&lt;&gt;"",
IF(COUNTIF(INDEX(Kintoneデータ抽出!F:F, _xlfn.AGGREGATE(15, 6, ROW(Kintoneデータ抽出!$K$2:$K$5000) / ((Kintoneデータ抽出!$K$2:$K$5000="院内")), ROW(A145))),"*あり*"),"夜間",""),""), "")</f>
        <v/>
      </c>
      <c r="M182" s="75" t="str">
        <f t="array" ref="M182">IFERROR(IF(INDEX(Kintoneデータ抽出!I:I, _xlfn.AGGREGATE(15, 6, ROW(Kintoneデータ抽出!$K$2:$K$5000) / ((Kintoneデータ抽出!$K$2:$K$5000="院内")), ROW(A145)))&lt;&gt;"",
IF(COUNTIF(INDEX(Kintoneデータ抽出!I:I, _xlfn.AGGREGATE(15, 6, ROW(Kintoneデータ抽出!$K$2:$K$5000) / ((Kintoneデータ抽出!$K$2:$K$5000="院内")), ROW(A145))),"*あり*"),"学童",""),""), "")</f>
        <v/>
      </c>
      <c r="N182" s="75" t="str">
        <f t="array" ref="N182">IFERROR(IF(INDEX(Kintoneデータ抽出!H:H, _xlfn.AGGREGATE(15, 6, ROW(Kintoneデータ抽出!$K$2:$K$5000) / ((Kintoneデータ抽出!$K$2:$K$5000="院内")), ROW(A145)))&lt;&gt;"",
IF(COUNTIF(INDEX(Kintoneデータ抽出!H:H, _xlfn.AGGREGATE(15, 6, ROW(Kintoneデータ抽出!$K$2:$K$5000) / ((Kintoneデータ抽出!$K$2:$K$5000="院内")), ROW(A145))),"*あり*"),"病児",""),""), "")</f>
        <v/>
      </c>
      <c r="O182" s="94" t="str" cm="1">
        <f t="array" ref="O182">IFERROR(
IF(INDEX(Kintoneデータ抽出!M:M, _xlfn.AGGREGATE(15, 6, ROW(Kintoneデータ抽出!$K$2:$K$5000) / ((Kintoneデータ抽出!$K$2:$K$5000="院内")), ROW(A145)))&lt;&gt;0,INDEX(Kintoneデータ抽出!M:M, _xlfn.AGGREGATE(15, 6, ROW(Kintoneデータ抽出!$K$2:$K$5000) / ((Kintoneデータ抽出!$K$2:$K$5000="院内")), ROW(A145))),""), "")</f>
        <v/>
      </c>
      <c r="P182" s="78" t="str">
        <f t="array" ref="P182">IFERROR(IF(INDEX(Kintoneデータ抽出!L:L, _xlfn.AGGREGATE(15, 6, ROW(Kintoneデータ抽出!$K$2:$K$5000) / ((Kintoneデータ抽出!$K$2:$K$5000="院内")), ROW(A145)))&lt;&gt;"",
IF(COUNTIF(INDEX(Kintoneデータ抽出!L:L, _xlfn.AGGREGATE(15, 6, ROW(Kintoneデータ抽出!$K$2:$K$5000) / ((Kintoneデータ抽出!$K$2:$K$5000="院内")), ROW(A145))),"*企業主導型以外*"),"",
IF(COUNTIF(INDEX(Kintoneデータ抽出!L:L, _xlfn.AGGREGATE(15, 6, ROW(Kintoneデータ抽出!$K$2:$K$5000) / ((Kintoneデータ抽出!$K$2:$K$5000="院内")), ROW(A145))),"*その他*"),"",
IF(COUNTIF(INDEX(Kintoneデータ抽出!L:L, _xlfn.AGGREGATE(15, 6, ROW(Kintoneデータ抽出!$K$2:$K$5000) / ((Kintoneデータ抽出!$K$2:$K$5000="院内")), ROW(A145))),"*新制度*"),"新制度","企業主導型"))),""), "")</f>
        <v/>
      </c>
    </row>
    <row r="183" spans="2:16" ht="34.799999999999997" customHeight="1" x14ac:dyDescent="0.45">
      <c r="B183" s="45"/>
      <c r="C183" s="46"/>
      <c r="D183" s="98" t="str">
        <f t="shared" si="3"/>
        <v/>
      </c>
      <c r="E183" s="99"/>
      <c r="F183" s="75" t="str">
        <f t="array" ref="F183">IFERROR(INDEX(Kintoneデータ抽出!A:A, _xlfn.AGGREGATE(15, 6, ROW(Kintoneデータ抽出!$K$2:$K$5000) / ((Kintoneデータ抽出!$K$2:$K$5000="院内")), ROW(A146))), "")</f>
        <v/>
      </c>
      <c r="G183" s="77" t="str">
        <f t="array" ref="G183">IFERROR(INDEX(Kintoneデータ抽出!D:D, _xlfn.AGGREGATE(15, 6, ROW(Kintoneデータ抽出!$K$2:$K$5000) / ((Kintoneデータ抽出!$K$2:$K$5000="院内")), ROW(A146))), "")</f>
        <v/>
      </c>
      <c r="H183" s="77" t="str">
        <f t="array" ref="H183">IFERROR(INDEX(Kintoneデータ抽出!C:C, _xlfn.AGGREGATE(15, 6, ROW(Kintoneデータ抽出!$K$2:$K$5000) / ((Kintoneデータ抽出!$K$2:$K$5000="院内")), ROW(A146))), "")</f>
        <v/>
      </c>
      <c r="I183" s="75" t="str">
        <f t="array" ref="I183">IFERROR(IF(INDEX(Kintoneデータ抽出!G:G, _xlfn.AGGREGATE(15, 6, ROW(Kintoneデータ抽出!$K$2:$K$5000) / ((Kintoneデータ抽出!$K$2:$K$5000="院内")), ROW(A146)))&lt;&gt;"",INDEX(Kintoneデータ抽出!G:G, _xlfn.AGGREGATE(15, 6, ROW(Kintoneデータ抽出!$K$2:$K$5000) / ((Kintoneデータ抽出!$K$2:$K$5000="院内")), ROW(A146)))&amp;"名",""), "")</f>
        <v/>
      </c>
      <c r="J183" s="76" t="str">
        <f t="array" ref="J183">IFERROR(IF(INDEX(Kintoneデータ抽出!E:E, _xlfn.AGGREGATE(15, 6, ROW(Kintoneデータ抽出!$K$2:$K$5000) / ((Kintoneデータ抽出!$K$2:$K$5000="院内")), ROW(A146)))&lt;&gt;"",
YEAR(INDEX(Kintoneデータ抽出!E:E, _xlfn.AGGREGATE(15, 6, ROW(Kintoneデータ抽出!$K$2:$K$5000) / ((Kintoneデータ抽出!$K$2:$K$5000="院内")), ROW(A146))))&amp;"年"
&amp;MONTH(INDEX(Kintoneデータ抽出!E:E, _xlfn.AGGREGATE(15, 6, ROW(Kintoneデータ抽出!$K$2:$K$5000) / ((Kintoneデータ抽出!$K$2:$K$5000="院内")), ROW(A146))))&amp;"月"
&amp;DAY(INDEX(Kintoneデータ抽出!E:E, _xlfn.AGGREGATE(15, 6, ROW(Kintoneデータ抽出!$K$2:$K$5000) /((Kintoneデータ抽出!$K$2:$K$5000="院内")), ROW(A146))))&amp;"日",""), "")</f>
        <v/>
      </c>
      <c r="K183" s="77" t="str" cm="1">
        <f t="array" ref="K183">IFERROR(IF(INDEX(Kintoneデータ抽出!F:F, _xlfn.AGGREGATE(15, 6, ROW(Kintoneデータ抽出!$K$2:$K$5000) / ((Kintoneデータ抽出!$K$2:$K$5000="院内")), ROW(A146)))&lt;&gt;"",
VLOOKUP(INDEX(Kintoneデータ抽出!F:F, _xlfn.AGGREGATE(15, 6, ROW(Kintoneデータ抽出!$K$2:$K$5000) / ((Kintoneデータ抽出!$K$2:$K$5000="院内")), ROW(A146))),基本開園日の表記!$A$2:$B$13,2,FALSE),""), "")</f>
        <v/>
      </c>
      <c r="L183" s="75" t="str">
        <f t="array" ref="L183">IFERROR(IF(INDEX(Kintoneデータ抽出!F:F, _xlfn.AGGREGATE(15, 6, ROW(Kintoneデータ抽出!$K$2:$K$5000) / ((Kintoneデータ抽出!$K$2:$K$5000="院内")), ROW(A146)))&lt;&gt;"",
IF(COUNTIF(INDEX(Kintoneデータ抽出!F:F, _xlfn.AGGREGATE(15, 6, ROW(Kintoneデータ抽出!$K$2:$K$5000) / ((Kintoneデータ抽出!$K$2:$K$5000="院内")), ROW(A146))),"*あり*"),"夜間",""),""), "")</f>
        <v/>
      </c>
      <c r="M183" s="75" t="str">
        <f t="array" ref="M183">IFERROR(IF(INDEX(Kintoneデータ抽出!I:I, _xlfn.AGGREGATE(15, 6, ROW(Kintoneデータ抽出!$K$2:$K$5000) / ((Kintoneデータ抽出!$K$2:$K$5000="院内")), ROW(A146)))&lt;&gt;"",
IF(COUNTIF(INDEX(Kintoneデータ抽出!I:I, _xlfn.AGGREGATE(15, 6, ROW(Kintoneデータ抽出!$K$2:$K$5000) / ((Kintoneデータ抽出!$K$2:$K$5000="院内")), ROW(A146))),"*あり*"),"学童",""),""), "")</f>
        <v/>
      </c>
      <c r="N183" s="75" t="str">
        <f t="array" ref="N183">IFERROR(IF(INDEX(Kintoneデータ抽出!H:H, _xlfn.AGGREGATE(15, 6, ROW(Kintoneデータ抽出!$K$2:$K$5000) / ((Kintoneデータ抽出!$K$2:$K$5000="院内")), ROW(A146)))&lt;&gt;"",
IF(COUNTIF(INDEX(Kintoneデータ抽出!H:H, _xlfn.AGGREGATE(15, 6, ROW(Kintoneデータ抽出!$K$2:$K$5000) / ((Kintoneデータ抽出!$K$2:$K$5000="院内")), ROW(A146))),"*あり*"),"病児",""),""), "")</f>
        <v/>
      </c>
      <c r="O183" s="94" t="str" cm="1">
        <f t="array" ref="O183">IFERROR(
IF(INDEX(Kintoneデータ抽出!M:M, _xlfn.AGGREGATE(15, 6, ROW(Kintoneデータ抽出!$K$2:$K$5000) / ((Kintoneデータ抽出!$K$2:$K$5000="院内")), ROW(A146)))&lt;&gt;0,INDEX(Kintoneデータ抽出!M:M, _xlfn.AGGREGATE(15, 6, ROW(Kintoneデータ抽出!$K$2:$K$5000) / ((Kintoneデータ抽出!$K$2:$K$5000="院内")), ROW(A146))),""), "")</f>
        <v/>
      </c>
      <c r="P183" s="78" t="str">
        <f t="array" ref="P183">IFERROR(IF(INDEX(Kintoneデータ抽出!L:L, _xlfn.AGGREGATE(15, 6, ROW(Kintoneデータ抽出!$K$2:$K$5000) / ((Kintoneデータ抽出!$K$2:$K$5000="院内")), ROW(A146)))&lt;&gt;"",
IF(COUNTIF(INDEX(Kintoneデータ抽出!L:L, _xlfn.AGGREGATE(15, 6, ROW(Kintoneデータ抽出!$K$2:$K$5000) / ((Kintoneデータ抽出!$K$2:$K$5000="院内")), ROW(A146))),"*企業主導型以外*"),"",
IF(COUNTIF(INDEX(Kintoneデータ抽出!L:L, _xlfn.AGGREGATE(15, 6, ROW(Kintoneデータ抽出!$K$2:$K$5000) / ((Kintoneデータ抽出!$K$2:$K$5000="院内")), ROW(A146))),"*その他*"),"",
IF(COUNTIF(INDEX(Kintoneデータ抽出!L:L, _xlfn.AGGREGATE(15, 6, ROW(Kintoneデータ抽出!$K$2:$K$5000) / ((Kintoneデータ抽出!$K$2:$K$5000="院内")), ROW(A146))),"*新制度*"),"新制度","企業主導型"))),""), "")</f>
        <v/>
      </c>
    </row>
    <row r="184" spans="2:16" ht="34.799999999999997" customHeight="1" x14ac:dyDescent="0.45">
      <c r="B184" s="45"/>
      <c r="C184" s="46"/>
      <c r="D184" s="98" t="str">
        <f t="shared" si="3"/>
        <v/>
      </c>
      <c r="E184" s="99"/>
      <c r="F184" s="75" t="str">
        <f t="array" ref="F184">IFERROR(INDEX(Kintoneデータ抽出!A:A, _xlfn.AGGREGATE(15, 6, ROW(Kintoneデータ抽出!$K$2:$K$5000) / ((Kintoneデータ抽出!$K$2:$K$5000="院内")), ROW(A147))), "")</f>
        <v/>
      </c>
      <c r="G184" s="77" t="str">
        <f t="array" ref="G184">IFERROR(INDEX(Kintoneデータ抽出!D:D, _xlfn.AGGREGATE(15, 6, ROW(Kintoneデータ抽出!$K$2:$K$5000) / ((Kintoneデータ抽出!$K$2:$K$5000="院内")), ROW(A147))), "")</f>
        <v/>
      </c>
      <c r="H184" s="77" t="str">
        <f t="array" ref="H184">IFERROR(INDEX(Kintoneデータ抽出!C:C, _xlfn.AGGREGATE(15, 6, ROW(Kintoneデータ抽出!$K$2:$K$5000) / ((Kintoneデータ抽出!$K$2:$K$5000="院内")), ROW(A147))), "")</f>
        <v/>
      </c>
      <c r="I184" s="75" t="str">
        <f t="array" ref="I184">IFERROR(IF(INDEX(Kintoneデータ抽出!G:G, _xlfn.AGGREGATE(15, 6, ROW(Kintoneデータ抽出!$K$2:$K$5000) / ((Kintoneデータ抽出!$K$2:$K$5000="院内")), ROW(A147)))&lt;&gt;"",INDEX(Kintoneデータ抽出!G:G, _xlfn.AGGREGATE(15, 6, ROW(Kintoneデータ抽出!$K$2:$K$5000) / ((Kintoneデータ抽出!$K$2:$K$5000="院内")), ROW(A147)))&amp;"名",""), "")</f>
        <v/>
      </c>
      <c r="J184" s="76" t="str">
        <f t="array" ref="J184">IFERROR(IF(INDEX(Kintoneデータ抽出!E:E, _xlfn.AGGREGATE(15, 6, ROW(Kintoneデータ抽出!$K$2:$K$5000) / ((Kintoneデータ抽出!$K$2:$K$5000="院内")), ROW(A147)))&lt;&gt;"",
YEAR(INDEX(Kintoneデータ抽出!E:E, _xlfn.AGGREGATE(15, 6, ROW(Kintoneデータ抽出!$K$2:$K$5000) / ((Kintoneデータ抽出!$K$2:$K$5000="院内")), ROW(A147))))&amp;"年"
&amp;MONTH(INDEX(Kintoneデータ抽出!E:E, _xlfn.AGGREGATE(15, 6, ROW(Kintoneデータ抽出!$K$2:$K$5000) / ((Kintoneデータ抽出!$K$2:$K$5000="院内")), ROW(A147))))&amp;"月"
&amp;DAY(INDEX(Kintoneデータ抽出!E:E, _xlfn.AGGREGATE(15, 6, ROW(Kintoneデータ抽出!$K$2:$K$5000) /((Kintoneデータ抽出!$K$2:$K$5000="院内")), ROW(A147))))&amp;"日",""), "")</f>
        <v/>
      </c>
      <c r="K184" s="77" t="str" cm="1">
        <f t="array" ref="K184">IFERROR(IF(INDEX(Kintoneデータ抽出!F:F, _xlfn.AGGREGATE(15, 6, ROW(Kintoneデータ抽出!$K$2:$K$5000) / ((Kintoneデータ抽出!$K$2:$K$5000="院内")), ROW(A147)))&lt;&gt;"",
VLOOKUP(INDEX(Kintoneデータ抽出!F:F, _xlfn.AGGREGATE(15, 6, ROW(Kintoneデータ抽出!$K$2:$K$5000) / ((Kintoneデータ抽出!$K$2:$K$5000="院内")), ROW(A147))),基本開園日の表記!$A$2:$B$13,2,FALSE),""), "")</f>
        <v/>
      </c>
      <c r="L184" s="75" t="str">
        <f t="array" ref="L184">IFERROR(IF(INDEX(Kintoneデータ抽出!F:F, _xlfn.AGGREGATE(15, 6, ROW(Kintoneデータ抽出!$K$2:$K$5000) / ((Kintoneデータ抽出!$K$2:$K$5000="院内")), ROW(A147)))&lt;&gt;"",
IF(COUNTIF(INDEX(Kintoneデータ抽出!F:F, _xlfn.AGGREGATE(15, 6, ROW(Kintoneデータ抽出!$K$2:$K$5000) / ((Kintoneデータ抽出!$K$2:$K$5000="院内")), ROW(A147))),"*あり*"),"夜間",""),""), "")</f>
        <v/>
      </c>
      <c r="M184" s="75" t="str">
        <f t="array" ref="M184">IFERROR(IF(INDEX(Kintoneデータ抽出!I:I, _xlfn.AGGREGATE(15, 6, ROW(Kintoneデータ抽出!$K$2:$K$5000) / ((Kintoneデータ抽出!$K$2:$K$5000="院内")), ROW(A147)))&lt;&gt;"",
IF(COUNTIF(INDEX(Kintoneデータ抽出!I:I, _xlfn.AGGREGATE(15, 6, ROW(Kintoneデータ抽出!$K$2:$K$5000) / ((Kintoneデータ抽出!$K$2:$K$5000="院内")), ROW(A147))),"*あり*"),"学童",""),""), "")</f>
        <v/>
      </c>
      <c r="N184" s="75" t="str">
        <f t="array" ref="N184">IFERROR(IF(INDEX(Kintoneデータ抽出!H:H, _xlfn.AGGREGATE(15, 6, ROW(Kintoneデータ抽出!$K$2:$K$5000) / ((Kintoneデータ抽出!$K$2:$K$5000="院内")), ROW(A147)))&lt;&gt;"",
IF(COUNTIF(INDEX(Kintoneデータ抽出!H:H, _xlfn.AGGREGATE(15, 6, ROW(Kintoneデータ抽出!$K$2:$K$5000) / ((Kintoneデータ抽出!$K$2:$K$5000="院内")), ROW(A147))),"*あり*"),"病児",""),""), "")</f>
        <v/>
      </c>
      <c r="O184" s="94" t="str" cm="1">
        <f t="array" ref="O184">IFERROR(
IF(INDEX(Kintoneデータ抽出!M:M, _xlfn.AGGREGATE(15, 6, ROW(Kintoneデータ抽出!$K$2:$K$5000) / ((Kintoneデータ抽出!$K$2:$K$5000="院内")), ROW(A147)))&lt;&gt;0,INDEX(Kintoneデータ抽出!M:M, _xlfn.AGGREGATE(15, 6, ROW(Kintoneデータ抽出!$K$2:$K$5000) / ((Kintoneデータ抽出!$K$2:$K$5000="院内")), ROW(A147))),""), "")</f>
        <v/>
      </c>
      <c r="P184" s="78" t="str">
        <f t="array" ref="P184">IFERROR(IF(INDEX(Kintoneデータ抽出!L:L, _xlfn.AGGREGATE(15, 6, ROW(Kintoneデータ抽出!$K$2:$K$5000) / ((Kintoneデータ抽出!$K$2:$K$5000="院内")), ROW(A147)))&lt;&gt;"",
IF(COUNTIF(INDEX(Kintoneデータ抽出!L:L, _xlfn.AGGREGATE(15, 6, ROW(Kintoneデータ抽出!$K$2:$K$5000) / ((Kintoneデータ抽出!$K$2:$K$5000="院内")), ROW(A147))),"*企業主導型以外*"),"",
IF(COUNTIF(INDEX(Kintoneデータ抽出!L:L, _xlfn.AGGREGATE(15, 6, ROW(Kintoneデータ抽出!$K$2:$K$5000) / ((Kintoneデータ抽出!$K$2:$K$5000="院内")), ROW(A147))),"*その他*"),"",
IF(COUNTIF(INDEX(Kintoneデータ抽出!L:L, _xlfn.AGGREGATE(15, 6, ROW(Kintoneデータ抽出!$K$2:$K$5000) / ((Kintoneデータ抽出!$K$2:$K$5000="院内")), ROW(A147))),"*新制度*"),"新制度","企業主導型"))),""), "")</f>
        <v/>
      </c>
    </row>
    <row r="185" spans="2:16" ht="34.799999999999997" customHeight="1" x14ac:dyDescent="0.45">
      <c r="B185" s="45"/>
      <c r="C185" s="46"/>
      <c r="D185" s="98" t="str">
        <f t="shared" si="3"/>
        <v/>
      </c>
      <c r="E185" s="99"/>
      <c r="F185" s="75" t="str">
        <f t="array" ref="F185">IFERROR(INDEX(Kintoneデータ抽出!A:A, _xlfn.AGGREGATE(15, 6, ROW(Kintoneデータ抽出!$K$2:$K$5000) / ((Kintoneデータ抽出!$K$2:$K$5000="院内")), ROW(A148))), "")</f>
        <v/>
      </c>
      <c r="G185" s="77" t="str">
        <f t="array" ref="G185">IFERROR(INDEX(Kintoneデータ抽出!D:D, _xlfn.AGGREGATE(15, 6, ROW(Kintoneデータ抽出!$K$2:$K$5000) / ((Kintoneデータ抽出!$K$2:$K$5000="院内")), ROW(A148))), "")</f>
        <v/>
      </c>
      <c r="H185" s="77" t="str">
        <f t="array" ref="H185">IFERROR(INDEX(Kintoneデータ抽出!C:C, _xlfn.AGGREGATE(15, 6, ROW(Kintoneデータ抽出!$K$2:$K$5000) / ((Kintoneデータ抽出!$K$2:$K$5000="院内")), ROW(A148))), "")</f>
        <v/>
      </c>
      <c r="I185" s="75" t="str">
        <f t="array" ref="I185">IFERROR(IF(INDEX(Kintoneデータ抽出!G:G, _xlfn.AGGREGATE(15, 6, ROW(Kintoneデータ抽出!$K$2:$K$5000) / ((Kintoneデータ抽出!$K$2:$K$5000="院内")), ROW(A148)))&lt;&gt;"",INDEX(Kintoneデータ抽出!G:G, _xlfn.AGGREGATE(15, 6, ROW(Kintoneデータ抽出!$K$2:$K$5000) / ((Kintoneデータ抽出!$K$2:$K$5000="院内")), ROW(A148)))&amp;"名",""), "")</f>
        <v/>
      </c>
      <c r="J185" s="76" t="str">
        <f t="array" ref="J185">IFERROR(IF(INDEX(Kintoneデータ抽出!E:E, _xlfn.AGGREGATE(15, 6, ROW(Kintoneデータ抽出!$K$2:$K$5000) / ((Kintoneデータ抽出!$K$2:$K$5000="院内")), ROW(A148)))&lt;&gt;"",
YEAR(INDEX(Kintoneデータ抽出!E:E, _xlfn.AGGREGATE(15, 6, ROW(Kintoneデータ抽出!$K$2:$K$5000) / ((Kintoneデータ抽出!$K$2:$K$5000="院内")), ROW(A148))))&amp;"年"
&amp;MONTH(INDEX(Kintoneデータ抽出!E:E, _xlfn.AGGREGATE(15, 6, ROW(Kintoneデータ抽出!$K$2:$K$5000) / ((Kintoneデータ抽出!$K$2:$K$5000="院内")), ROW(A148))))&amp;"月"
&amp;DAY(INDEX(Kintoneデータ抽出!E:E, _xlfn.AGGREGATE(15, 6, ROW(Kintoneデータ抽出!$K$2:$K$5000) /((Kintoneデータ抽出!$K$2:$K$5000="院内")), ROW(A148))))&amp;"日",""), "")</f>
        <v/>
      </c>
      <c r="K185" s="77" t="str" cm="1">
        <f t="array" ref="K185">IFERROR(IF(INDEX(Kintoneデータ抽出!F:F, _xlfn.AGGREGATE(15, 6, ROW(Kintoneデータ抽出!$K$2:$K$5000) / ((Kintoneデータ抽出!$K$2:$K$5000="院内")), ROW(A148)))&lt;&gt;"",
VLOOKUP(INDEX(Kintoneデータ抽出!F:F, _xlfn.AGGREGATE(15, 6, ROW(Kintoneデータ抽出!$K$2:$K$5000) / ((Kintoneデータ抽出!$K$2:$K$5000="院内")), ROW(A148))),基本開園日の表記!$A$2:$B$13,2,FALSE),""), "")</f>
        <v/>
      </c>
      <c r="L185" s="75" t="str">
        <f t="array" ref="L185">IFERROR(IF(INDEX(Kintoneデータ抽出!F:F, _xlfn.AGGREGATE(15, 6, ROW(Kintoneデータ抽出!$K$2:$K$5000) / ((Kintoneデータ抽出!$K$2:$K$5000="院内")), ROW(A148)))&lt;&gt;"",
IF(COUNTIF(INDEX(Kintoneデータ抽出!F:F, _xlfn.AGGREGATE(15, 6, ROW(Kintoneデータ抽出!$K$2:$K$5000) / ((Kintoneデータ抽出!$K$2:$K$5000="院内")), ROW(A148))),"*あり*"),"夜間",""),""), "")</f>
        <v/>
      </c>
      <c r="M185" s="75" t="str">
        <f t="array" ref="M185">IFERROR(IF(INDEX(Kintoneデータ抽出!I:I, _xlfn.AGGREGATE(15, 6, ROW(Kintoneデータ抽出!$K$2:$K$5000) / ((Kintoneデータ抽出!$K$2:$K$5000="院内")), ROW(A148)))&lt;&gt;"",
IF(COUNTIF(INDEX(Kintoneデータ抽出!I:I, _xlfn.AGGREGATE(15, 6, ROW(Kintoneデータ抽出!$K$2:$K$5000) / ((Kintoneデータ抽出!$K$2:$K$5000="院内")), ROW(A148))),"*あり*"),"学童",""),""), "")</f>
        <v/>
      </c>
      <c r="N185" s="75" t="str">
        <f t="array" ref="N185">IFERROR(IF(INDEX(Kintoneデータ抽出!H:H, _xlfn.AGGREGATE(15, 6, ROW(Kintoneデータ抽出!$K$2:$K$5000) / ((Kintoneデータ抽出!$K$2:$K$5000="院内")), ROW(A148)))&lt;&gt;"",
IF(COUNTIF(INDEX(Kintoneデータ抽出!H:H, _xlfn.AGGREGATE(15, 6, ROW(Kintoneデータ抽出!$K$2:$K$5000) / ((Kintoneデータ抽出!$K$2:$K$5000="院内")), ROW(A148))),"*あり*"),"病児",""),""), "")</f>
        <v/>
      </c>
      <c r="O185" s="94" t="str" cm="1">
        <f t="array" ref="O185">IFERROR(
IF(INDEX(Kintoneデータ抽出!M:M, _xlfn.AGGREGATE(15, 6, ROW(Kintoneデータ抽出!$K$2:$K$5000) / ((Kintoneデータ抽出!$K$2:$K$5000="院内")), ROW(A148)))&lt;&gt;0,INDEX(Kintoneデータ抽出!M:M, _xlfn.AGGREGATE(15, 6, ROW(Kintoneデータ抽出!$K$2:$K$5000) / ((Kintoneデータ抽出!$K$2:$K$5000="院内")), ROW(A148))),""), "")</f>
        <v/>
      </c>
      <c r="P185" s="78" t="str">
        <f t="array" ref="P185">IFERROR(IF(INDEX(Kintoneデータ抽出!L:L, _xlfn.AGGREGATE(15, 6, ROW(Kintoneデータ抽出!$K$2:$K$5000) / ((Kintoneデータ抽出!$K$2:$K$5000="院内")), ROW(A148)))&lt;&gt;"",
IF(COUNTIF(INDEX(Kintoneデータ抽出!L:L, _xlfn.AGGREGATE(15, 6, ROW(Kintoneデータ抽出!$K$2:$K$5000) / ((Kintoneデータ抽出!$K$2:$K$5000="院内")), ROW(A148))),"*企業主導型以外*"),"",
IF(COUNTIF(INDEX(Kintoneデータ抽出!L:L, _xlfn.AGGREGATE(15, 6, ROW(Kintoneデータ抽出!$K$2:$K$5000) / ((Kintoneデータ抽出!$K$2:$K$5000="院内")), ROW(A148))),"*その他*"),"",
IF(COUNTIF(INDEX(Kintoneデータ抽出!L:L, _xlfn.AGGREGATE(15, 6, ROW(Kintoneデータ抽出!$K$2:$K$5000) / ((Kintoneデータ抽出!$K$2:$K$5000="院内")), ROW(A148))),"*新制度*"),"新制度","企業主導型"))),""), "")</f>
        <v/>
      </c>
    </row>
    <row r="186" spans="2:16" ht="34.799999999999997" customHeight="1" x14ac:dyDescent="0.45">
      <c r="B186" s="45"/>
      <c r="C186" s="46"/>
      <c r="D186" s="98" t="str">
        <f t="shared" si="3"/>
        <v/>
      </c>
      <c r="E186" s="99"/>
      <c r="F186" s="75" t="str">
        <f t="array" ref="F186">IFERROR(INDEX(Kintoneデータ抽出!A:A, _xlfn.AGGREGATE(15, 6, ROW(Kintoneデータ抽出!$K$2:$K$5000) / ((Kintoneデータ抽出!$K$2:$K$5000="院内")), ROW(A149))), "")</f>
        <v/>
      </c>
      <c r="G186" s="77" t="str">
        <f t="array" ref="G186">IFERROR(INDEX(Kintoneデータ抽出!D:D, _xlfn.AGGREGATE(15, 6, ROW(Kintoneデータ抽出!$K$2:$K$5000) / ((Kintoneデータ抽出!$K$2:$K$5000="院内")), ROW(A149))), "")</f>
        <v/>
      </c>
      <c r="H186" s="77" t="str">
        <f t="array" ref="H186">IFERROR(INDEX(Kintoneデータ抽出!C:C, _xlfn.AGGREGATE(15, 6, ROW(Kintoneデータ抽出!$K$2:$K$5000) / ((Kintoneデータ抽出!$K$2:$K$5000="院内")), ROW(A149))), "")</f>
        <v/>
      </c>
      <c r="I186" s="75" t="str">
        <f t="array" ref="I186">IFERROR(IF(INDEX(Kintoneデータ抽出!G:G, _xlfn.AGGREGATE(15, 6, ROW(Kintoneデータ抽出!$K$2:$K$5000) / ((Kintoneデータ抽出!$K$2:$K$5000="院内")), ROW(A149)))&lt;&gt;"",INDEX(Kintoneデータ抽出!G:G, _xlfn.AGGREGATE(15, 6, ROW(Kintoneデータ抽出!$K$2:$K$5000) / ((Kintoneデータ抽出!$K$2:$K$5000="院内")), ROW(A149)))&amp;"名",""), "")</f>
        <v/>
      </c>
      <c r="J186" s="76" t="str">
        <f t="array" ref="J186">IFERROR(IF(INDEX(Kintoneデータ抽出!E:E, _xlfn.AGGREGATE(15, 6, ROW(Kintoneデータ抽出!$K$2:$K$5000) / ((Kintoneデータ抽出!$K$2:$K$5000="院内")), ROW(A149)))&lt;&gt;"",
YEAR(INDEX(Kintoneデータ抽出!E:E, _xlfn.AGGREGATE(15, 6, ROW(Kintoneデータ抽出!$K$2:$K$5000) / ((Kintoneデータ抽出!$K$2:$K$5000="院内")), ROW(A149))))&amp;"年"
&amp;MONTH(INDEX(Kintoneデータ抽出!E:E, _xlfn.AGGREGATE(15, 6, ROW(Kintoneデータ抽出!$K$2:$K$5000) / ((Kintoneデータ抽出!$K$2:$K$5000="院内")), ROW(A149))))&amp;"月"
&amp;DAY(INDEX(Kintoneデータ抽出!E:E, _xlfn.AGGREGATE(15, 6, ROW(Kintoneデータ抽出!$K$2:$K$5000) /((Kintoneデータ抽出!$K$2:$K$5000="院内")), ROW(A149))))&amp;"日",""), "")</f>
        <v/>
      </c>
      <c r="K186" s="77" t="str" cm="1">
        <f t="array" ref="K186">IFERROR(IF(INDEX(Kintoneデータ抽出!F:F, _xlfn.AGGREGATE(15, 6, ROW(Kintoneデータ抽出!$K$2:$K$5000) / ((Kintoneデータ抽出!$K$2:$K$5000="院内")), ROW(A149)))&lt;&gt;"",
VLOOKUP(INDEX(Kintoneデータ抽出!F:F, _xlfn.AGGREGATE(15, 6, ROW(Kintoneデータ抽出!$K$2:$K$5000) / ((Kintoneデータ抽出!$K$2:$K$5000="院内")), ROW(A149))),基本開園日の表記!$A$2:$B$13,2,FALSE),""), "")</f>
        <v/>
      </c>
      <c r="L186" s="75" t="str">
        <f t="array" ref="L186">IFERROR(IF(INDEX(Kintoneデータ抽出!F:F, _xlfn.AGGREGATE(15, 6, ROW(Kintoneデータ抽出!$K$2:$K$5000) / ((Kintoneデータ抽出!$K$2:$K$5000="院内")), ROW(A149)))&lt;&gt;"",
IF(COUNTIF(INDEX(Kintoneデータ抽出!F:F, _xlfn.AGGREGATE(15, 6, ROW(Kintoneデータ抽出!$K$2:$K$5000) / ((Kintoneデータ抽出!$K$2:$K$5000="院内")), ROW(A149))),"*あり*"),"夜間",""),""), "")</f>
        <v/>
      </c>
      <c r="M186" s="75" t="str">
        <f t="array" ref="M186">IFERROR(IF(INDEX(Kintoneデータ抽出!I:I, _xlfn.AGGREGATE(15, 6, ROW(Kintoneデータ抽出!$K$2:$K$5000) / ((Kintoneデータ抽出!$K$2:$K$5000="院内")), ROW(A149)))&lt;&gt;"",
IF(COUNTIF(INDEX(Kintoneデータ抽出!I:I, _xlfn.AGGREGATE(15, 6, ROW(Kintoneデータ抽出!$K$2:$K$5000) / ((Kintoneデータ抽出!$K$2:$K$5000="院内")), ROW(A149))),"*あり*"),"学童",""),""), "")</f>
        <v/>
      </c>
      <c r="N186" s="75" t="str">
        <f t="array" ref="N186">IFERROR(IF(INDEX(Kintoneデータ抽出!H:H, _xlfn.AGGREGATE(15, 6, ROW(Kintoneデータ抽出!$K$2:$K$5000) / ((Kintoneデータ抽出!$K$2:$K$5000="院内")), ROW(A149)))&lt;&gt;"",
IF(COUNTIF(INDEX(Kintoneデータ抽出!H:H, _xlfn.AGGREGATE(15, 6, ROW(Kintoneデータ抽出!$K$2:$K$5000) / ((Kintoneデータ抽出!$K$2:$K$5000="院内")), ROW(A149))),"*あり*"),"病児",""),""), "")</f>
        <v/>
      </c>
      <c r="O186" s="94" t="str" cm="1">
        <f t="array" ref="O186">IFERROR(
IF(INDEX(Kintoneデータ抽出!M:M, _xlfn.AGGREGATE(15, 6, ROW(Kintoneデータ抽出!$K$2:$K$5000) / ((Kintoneデータ抽出!$K$2:$K$5000="院内")), ROW(A149)))&lt;&gt;0,INDEX(Kintoneデータ抽出!M:M, _xlfn.AGGREGATE(15, 6, ROW(Kintoneデータ抽出!$K$2:$K$5000) / ((Kintoneデータ抽出!$K$2:$K$5000="院内")), ROW(A149))),""), "")</f>
        <v/>
      </c>
      <c r="P186" s="78" t="str">
        <f t="array" ref="P186">IFERROR(IF(INDEX(Kintoneデータ抽出!L:L, _xlfn.AGGREGATE(15, 6, ROW(Kintoneデータ抽出!$K$2:$K$5000) / ((Kintoneデータ抽出!$K$2:$K$5000="院内")), ROW(A149)))&lt;&gt;"",
IF(COUNTIF(INDEX(Kintoneデータ抽出!L:L, _xlfn.AGGREGATE(15, 6, ROW(Kintoneデータ抽出!$K$2:$K$5000) / ((Kintoneデータ抽出!$K$2:$K$5000="院内")), ROW(A149))),"*企業主導型以外*"),"",
IF(COUNTIF(INDEX(Kintoneデータ抽出!L:L, _xlfn.AGGREGATE(15, 6, ROW(Kintoneデータ抽出!$K$2:$K$5000) / ((Kintoneデータ抽出!$K$2:$K$5000="院内")), ROW(A149))),"*その他*"),"",
IF(COUNTIF(INDEX(Kintoneデータ抽出!L:L, _xlfn.AGGREGATE(15, 6, ROW(Kintoneデータ抽出!$K$2:$K$5000) / ((Kintoneデータ抽出!$K$2:$K$5000="院内")), ROW(A149))),"*新制度*"),"新制度","企業主導型"))),""), "")</f>
        <v/>
      </c>
    </row>
    <row r="187" spans="2:16" ht="34.799999999999997" customHeight="1" x14ac:dyDescent="0.45">
      <c r="B187" s="45"/>
      <c r="C187" s="46"/>
      <c r="D187" s="98" t="str">
        <f t="shared" si="3"/>
        <v/>
      </c>
      <c r="E187" s="99"/>
      <c r="F187" s="75" t="str">
        <f t="array" ref="F187">IFERROR(INDEX(Kintoneデータ抽出!A:A, _xlfn.AGGREGATE(15, 6, ROW(Kintoneデータ抽出!$K$2:$K$5000) / ((Kintoneデータ抽出!$K$2:$K$5000="院内")), ROW(A150))), "")</f>
        <v/>
      </c>
      <c r="G187" s="77" t="str">
        <f t="array" ref="G187">IFERROR(INDEX(Kintoneデータ抽出!D:D, _xlfn.AGGREGATE(15, 6, ROW(Kintoneデータ抽出!$K$2:$K$5000) / ((Kintoneデータ抽出!$K$2:$K$5000="院内")), ROW(A150))), "")</f>
        <v/>
      </c>
      <c r="H187" s="77" t="str">
        <f t="array" ref="H187">IFERROR(INDEX(Kintoneデータ抽出!C:C, _xlfn.AGGREGATE(15, 6, ROW(Kintoneデータ抽出!$K$2:$K$5000) / ((Kintoneデータ抽出!$K$2:$K$5000="院内")), ROW(A150))), "")</f>
        <v/>
      </c>
      <c r="I187" s="75" t="str">
        <f t="array" ref="I187">IFERROR(IF(INDEX(Kintoneデータ抽出!G:G, _xlfn.AGGREGATE(15, 6, ROW(Kintoneデータ抽出!$K$2:$K$5000) / ((Kintoneデータ抽出!$K$2:$K$5000="院内")), ROW(A150)))&lt;&gt;"",INDEX(Kintoneデータ抽出!G:G, _xlfn.AGGREGATE(15, 6, ROW(Kintoneデータ抽出!$K$2:$K$5000) / ((Kintoneデータ抽出!$K$2:$K$5000="院内")), ROW(A150)))&amp;"名",""), "")</f>
        <v/>
      </c>
      <c r="J187" s="76" t="str">
        <f t="array" ref="J187">IFERROR(IF(INDEX(Kintoneデータ抽出!E:E, _xlfn.AGGREGATE(15, 6, ROW(Kintoneデータ抽出!$K$2:$K$5000) / ((Kintoneデータ抽出!$K$2:$K$5000="院内")), ROW(A150)))&lt;&gt;"",
YEAR(INDEX(Kintoneデータ抽出!E:E, _xlfn.AGGREGATE(15, 6, ROW(Kintoneデータ抽出!$K$2:$K$5000) / ((Kintoneデータ抽出!$K$2:$K$5000="院内")), ROW(A150))))&amp;"年"
&amp;MONTH(INDEX(Kintoneデータ抽出!E:E, _xlfn.AGGREGATE(15, 6, ROW(Kintoneデータ抽出!$K$2:$K$5000) / ((Kintoneデータ抽出!$K$2:$K$5000="院内")), ROW(A150))))&amp;"月"
&amp;DAY(INDEX(Kintoneデータ抽出!E:E, _xlfn.AGGREGATE(15, 6, ROW(Kintoneデータ抽出!$K$2:$K$5000) /((Kintoneデータ抽出!$K$2:$K$5000="院内")), ROW(A150))))&amp;"日",""), "")</f>
        <v/>
      </c>
      <c r="K187" s="77" t="str" cm="1">
        <f t="array" ref="K187">IFERROR(IF(INDEX(Kintoneデータ抽出!F:F, _xlfn.AGGREGATE(15, 6, ROW(Kintoneデータ抽出!$K$2:$K$5000) / ((Kintoneデータ抽出!$K$2:$K$5000="院内")), ROW(A150)))&lt;&gt;"",
VLOOKUP(INDEX(Kintoneデータ抽出!F:F, _xlfn.AGGREGATE(15, 6, ROW(Kintoneデータ抽出!$K$2:$K$5000) / ((Kintoneデータ抽出!$K$2:$K$5000="院内")), ROW(A150))),基本開園日の表記!$A$2:$B$13,2,FALSE),""), "")</f>
        <v/>
      </c>
      <c r="L187" s="75" t="str">
        <f t="array" ref="L187">IFERROR(IF(INDEX(Kintoneデータ抽出!F:F, _xlfn.AGGREGATE(15, 6, ROW(Kintoneデータ抽出!$K$2:$K$5000) / ((Kintoneデータ抽出!$K$2:$K$5000="院内")), ROW(A150)))&lt;&gt;"",
IF(COUNTIF(INDEX(Kintoneデータ抽出!F:F, _xlfn.AGGREGATE(15, 6, ROW(Kintoneデータ抽出!$K$2:$K$5000) / ((Kintoneデータ抽出!$K$2:$K$5000="院内")), ROW(A150))),"*あり*"),"夜間",""),""), "")</f>
        <v/>
      </c>
      <c r="M187" s="75" t="str">
        <f t="array" ref="M187">IFERROR(IF(INDEX(Kintoneデータ抽出!I:I, _xlfn.AGGREGATE(15, 6, ROW(Kintoneデータ抽出!$K$2:$K$5000) / ((Kintoneデータ抽出!$K$2:$K$5000="院内")), ROW(A150)))&lt;&gt;"",
IF(COUNTIF(INDEX(Kintoneデータ抽出!I:I, _xlfn.AGGREGATE(15, 6, ROW(Kintoneデータ抽出!$K$2:$K$5000) / ((Kintoneデータ抽出!$K$2:$K$5000="院内")), ROW(A150))),"*あり*"),"学童",""),""), "")</f>
        <v/>
      </c>
      <c r="N187" s="75" t="str">
        <f t="array" ref="N187">IFERROR(IF(INDEX(Kintoneデータ抽出!H:H, _xlfn.AGGREGATE(15, 6, ROW(Kintoneデータ抽出!$K$2:$K$5000) / ((Kintoneデータ抽出!$K$2:$K$5000="院内")), ROW(A150)))&lt;&gt;"",
IF(COUNTIF(INDEX(Kintoneデータ抽出!H:H, _xlfn.AGGREGATE(15, 6, ROW(Kintoneデータ抽出!$K$2:$K$5000) / ((Kintoneデータ抽出!$K$2:$K$5000="院内")), ROW(A150))),"*あり*"),"病児",""),""), "")</f>
        <v/>
      </c>
      <c r="O187" s="94" t="str" cm="1">
        <f t="array" ref="O187">IFERROR(
IF(INDEX(Kintoneデータ抽出!M:M, _xlfn.AGGREGATE(15, 6, ROW(Kintoneデータ抽出!$K$2:$K$5000) / ((Kintoneデータ抽出!$K$2:$K$5000="院内")), ROW(A150)))&lt;&gt;0,INDEX(Kintoneデータ抽出!M:M, _xlfn.AGGREGATE(15, 6, ROW(Kintoneデータ抽出!$K$2:$K$5000) / ((Kintoneデータ抽出!$K$2:$K$5000="院内")), ROW(A150))),""), "")</f>
        <v/>
      </c>
      <c r="P187" s="78" t="str">
        <f t="array" ref="P187">IFERROR(IF(INDEX(Kintoneデータ抽出!L:L, _xlfn.AGGREGATE(15, 6, ROW(Kintoneデータ抽出!$K$2:$K$5000) / ((Kintoneデータ抽出!$K$2:$K$5000="院内")), ROW(A150)))&lt;&gt;"",
IF(COUNTIF(INDEX(Kintoneデータ抽出!L:L, _xlfn.AGGREGATE(15, 6, ROW(Kintoneデータ抽出!$K$2:$K$5000) / ((Kintoneデータ抽出!$K$2:$K$5000="院内")), ROW(A150))),"*企業主導型以外*"),"",
IF(COUNTIF(INDEX(Kintoneデータ抽出!L:L, _xlfn.AGGREGATE(15, 6, ROW(Kintoneデータ抽出!$K$2:$K$5000) / ((Kintoneデータ抽出!$K$2:$K$5000="院内")), ROW(A150))),"*その他*"),"",
IF(COUNTIF(INDEX(Kintoneデータ抽出!L:L, _xlfn.AGGREGATE(15, 6, ROW(Kintoneデータ抽出!$K$2:$K$5000) / ((Kintoneデータ抽出!$K$2:$K$5000="院内")), ROW(A150))),"*新制度*"),"新制度","企業主導型"))),""), "")</f>
        <v/>
      </c>
    </row>
    <row r="188" spans="2:16" ht="34.799999999999997" customHeight="1" x14ac:dyDescent="0.45">
      <c r="B188" s="45"/>
      <c r="C188" s="46"/>
      <c r="D188" s="98" t="str">
        <f t="shared" si="3"/>
        <v/>
      </c>
      <c r="E188" s="99"/>
      <c r="F188" s="75" t="str">
        <f t="array" ref="F188">IFERROR(INDEX(Kintoneデータ抽出!A:A, _xlfn.AGGREGATE(15, 6, ROW(Kintoneデータ抽出!$K$2:$K$5000) / ((Kintoneデータ抽出!$K$2:$K$5000="院内")), ROW(A151))), "")</f>
        <v/>
      </c>
      <c r="G188" s="77" t="str">
        <f t="array" ref="G188">IFERROR(INDEX(Kintoneデータ抽出!D:D, _xlfn.AGGREGATE(15, 6, ROW(Kintoneデータ抽出!$K$2:$K$5000) / ((Kintoneデータ抽出!$K$2:$K$5000="院内")), ROW(A151))), "")</f>
        <v/>
      </c>
      <c r="H188" s="77" t="str">
        <f t="array" ref="H188">IFERROR(INDEX(Kintoneデータ抽出!C:C, _xlfn.AGGREGATE(15, 6, ROW(Kintoneデータ抽出!$K$2:$K$5000) / ((Kintoneデータ抽出!$K$2:$K$5000="院内")), ROW(A151))), "")</f>
        <v/>
      </c>
      <c r="I188" s="75" t="str">
        <f t="array" ref="I188">IFERROR(IF(INDEX(Kintoneデータ抽出!G:G, _xlfn.AGGREGATE(15, 6, ROW(Kintoneデータ抽出!$K$2:$K$5000) / ((Kintoneデータ抽出!$K$2:$K$5000="院内")), ROW(A151)))&lt;&gt;"",INDEX(Kintoneデータ抽出!G:G, _xlfn.AGGREGATE(15, 6, ROW(Kintoneデータ抽出!$K$2:$K$5000) / ((Kintoneデータ抽出!$K$2:$K$5000="院内")), ROW(A151)))&amp;"名",""), "")</f>
        <v/>
      </c>
      <c r="J188" s="76" t="str">
        <f t="array" ref="J188">IFERROR(IF(INDEX(Kintoneデータ抽出!E:E, _xlfn.AGGREGATE(15, 6, ROW(Kintoneデータ抽出!$K$2:$K$5000) / ((Kintoneデータ抽出!$K$2:$K$5000="院内")), ROW(A151)))&lt;&gt;"",
YEAR(INDEX(Kintoneデータ抽出!E:E, _xlfn.AGGREGATE(15, 6, ROW(Kintoneデータ抽出!$K$2:$K$5000) / ((Kintoneデータ抽出!$K$2:$K$5000="院内")), ROW(A151))))&amp;"年"
&amp;MONTH(INDEX(Kintoneデータ抽出!E:E, _xlfn.AGGREGATE(15, 6, ROW(Kintoneデータ抽出!$K$2:$K$5000) / ((Kintoneデータ抽出!$K$2:$K$5000="院内")), ROW(A151))))&amp;"月"
&amp;DAY(INDEX(Kintoneデータ抽出!E:E, _xlfn.AGGREGATE(15, 6, ROW(Kintoneデータ抽出!$K$2:$K$5000) /((Kintoneデータ抽出!$K$2:$K$5000="院内")), ROW(A151))))&amp;"日",""), "")</f>
        <v/>
      </c>
      <c r="K188" s="77" t="str" cm="1">
        <f t="array" ref="K188">IFERROR(IF(INDEX(Kintoneデータ抽出!F:F, _xlfn.AGGREGATE(15, 6, ROW(Kintoneデータ抽出!$K$2:$K$5000) / ((Kintoneデータ抽出!$K$2:$K$5000="院内")), ROW(A151)))&lt;&gt;"",
VLOOKUP(INDEX(Kintoneデータ抽出!F:F, _xlfn.AGGREGATE(15, 6, ROW(Kintoneデータ抽出!$K$2:$K$5000) / ((Kintoneデータ抽出!$K$2:$K$5000="院内")), ROW(A151))),基本開園日の表記!$A$2:$B$13,2,FALSE),""), "")</f>
        <v/>
      </c>
      <c r="L188" s="75" t="str">
        <f t="array" ref="L188">IFERROR(IF(INDEX(Kintoneデータ抽出!F:F, _xlfn.AGGREGATE(15, 6, ROW(Kintoneデータ抽出!$K$2:$K$5000) / ((Kintoneデータ抽出!$K$2:$K$5000="院内")), ROW(A151)))&lt;&gt;"",
IF(COUNTIF(INDEX(Kintoneデータ抽出!F:F, _xlfn.AGGREGATE(15, 6, ROW(Kintoneデータ抽出!$K$2:$K$5000) / ((Kintoneデータ抽出!$K$2:$K$5000="院内")), ROW(A151))),"*あり*"),"夜間",""),""), "")</f>
        <v/>
      </c>
      <c r="M188" s="75" t="str">
        <f t="array" ref="M188">IFERROR(IF(INDEX(Kintoneデータ抽出!I:I, _xlfn.AGGREGATE(15, 6, ROW(Kintoneデータ抽出!$K$2:$K$5000) / ((Kintoneデータ抽出!$K$2:$K$5000="院内")), ROW(A151)))&lt;&gt;"",
IF(COUNTIF(INDEX(Kintoneデータ抽出!I:I, _xlfn.AGGREGATE(15, 6, ROW(Kintoneデータ抽出!$K$2:$K$5000) / ((Kintoneデータ抽出!$K$2:$K$5000="院内")), ROW(A151))),"*あり*"),"学童",""),""), "")</f>
        <v/>
      </c>
      <c r="N188" s="75" t="str">
        <f t="array" ref="N188">IFERROR(IF(INDEX(Kintoneデータ抽出!H:H, _xlfn.AGGREGATE(15, 6, ROW(Kintoneデータ抽出!$K$2:$K$5000) / ((Kintoneデータ抽出!$K$2:$K$5000="院内")), ROW(A151)))&lt;&gt;"",
IF(COUNTIF(INDEX(Kintoneデータ抽出!H:H, _xlfn.AGGREGATE(15, 6, ROW(Kintoneデータ抽出!$K$2:$K$5000) / ((Kintoneデータ抽出!$K$2:$K$5000="院内")), ROW(A151))),"*あり*"),"病児",""),""), "")</f>
        <v/>
      </c>
      <c r="O188" s="94" t="str" cm="1">
        <f t="array" ref="O188">IFERROR(
IF(INDEX(Kintoneデータ抽出!M:M, _xlfn.AGGREGATE(15, 6, ROW(Kintoneデータ抽出!$K$2:$K$5000) / ((Kintoneデータ抽出!$K$2:$K$5000="院内")), ROW(A151)))&lt;&gt;0,INDEX(Kintoneデータ抽出!M:M, _xlfn.AGGREGATE(15, 6, ROW(Kintoneデータ抽出!$K$2:$K$5000) / ((Kintoneデータ抽出!$K$2:$K$5000="院内")), ROW(A151))),""), "")</f>
        <v/>
      </c>
      <c r="P188" s="78" t="str">
        <f t="array" ref="P188">IFERROR(IF(INDEX(Kintoneデータ抽出!L:L, _xlfn.AGGREGATE(15, 6, ROW(Kintoneデータ抽出!$K$2:$K$5000) / ((Kintoneデータ抽出!$K$2:$K$5000="院内")), ROW(A151)))&lt;&gt;"",
IF(COUNTIF(INDEX(Kintoneデータ抽出!L:L, _xlfn.AGGREGATE(15, 6, ROW(Kintoneデータ抽出!$K$2:$K$5000) / ((Kintoneデータ抽出!$K$2:$K$5000="院内")), ROW(A151))),"*企業主導型以外*"),"",
IF(COUNTIF(INDEX(Kintoneデータ抽出!L:L, _xlfn.AGGREGATE(15, 6, ROW(Kintoneデータ抽出!$K$2:$K$5000) / ((Kintoneデータ抽出!$K$2:$K$5000="院内")), ROW(A151))),"*その他*"),"",
IF(COUNTIF(INDEX(Kintoneデータ抽出!L:L, _xlfn.AGGREGATE(15, 6, ROW(Kintoneデータ抽出!$K$2:$K$5000) / ((Kintoneデータ抽出!$K$2:$K$5000="院内")), ROW(A151))),"*新制度*"),"新制度","企業主導型"))),""), "")</f>
        <v/>
      </c>
    </row>
    <row r="189" spans="2:16" ht="34.799999999999997" customHeight="1" x14ac:dyDescent="0.45">
      <c r="B189" s="45"/>
      <c r="C189" s="46"/>
      <c r="D189" s="98" t="str">
        <f t="shared" si="3"/>
        <v/>
      </c>
      <c r="E189" s="99"/>
      <c r="F189" s="75" t="str">
        <f t="array" ref="F189">IFERROR(INDEX(Kintoneデータ抽出!A:A, _xlfn.AGGREGATE(15, 6, ROW(Kintoneデータ抽出!$K$2:$K$5000) / ((Kintoneデータ抽出!$K$2:$K$5000="院内")), ROW(A152))), "")</f>
        <v/>
      </c>
      <c r="G189" s="77" t="str">
        <f t="array" ref="G189">IFERROR(INDEX(Kintoneデータ抽出!D:D, _xlfn.AGGREGATE(15, 6, ROW(Kintoneデータ抽出!$K$2:$K$5000) / ((Kintoneデータ抽出!$K$2:$K$5000="院内")), ROW(A152))), "")</f>
        <v/>
      </c>
      <c r="H189" s="77" t="str">
        <f t="array" ref="H189">IFERROR(INDEX(Kintoneデータ抽出!C:C, _xlfn.AGGREGATE(15, 6, ROW(Kintoneデータ抽出!$K$2:$K$5000) / ((Kintoneデータ抽出!$K$2:$K$5000="院内")), ROW(A152))), "")</f>
        <v/>
      </c>
      <c r="I189" s="75" t="str">
        <f t="array" ref="I189">IFERROR(IF(INDEX(Kintoneデータ抽出!G:G, _xlfn.AGGREGATE(15, 6, ROW(Kintoneデータ抽出!$K$2:$K$5000) / ((Kintoneデータ抽出!$K$2:$K$5000="院内")), ROW(A152)))&lt;&gt;"",INDEX(Kintoneデータ抽出!G:G, _xlfn.AGGREGATE(15, 6, ROW(Kintoneデータ抽出!$K$2:$K$5000) / ((Kintoneデータ抽出!$K$2:$K$5000="院内")), ROW(A152)))&amp;"名",""), "")</f>
        <v/>
      </c>
      <c r="J189" s="76" t="str">
        <f t="array" ref="J189">IFERROR(IF(INDEX(Kintoneデータ抽出!E:E, _xlfn.AGGREGATE(15, 6, ROW(Kintoneデータ抽出!$K$2:$K$5000) / ((Kintoneデータ抽出!$K$2:$K$5000="院内")), ROW(A152)))&lt;&gt;"",
YEAR(INDEX(Kintoneデータ抽出!E:E, _xlfn.AGGREGATE(15, 6, ROW(Kintoneデータ抽出!$K$2:$K$5000) / ((Kintoneデータ抽出!$K$2:$K$5000="院内")), ROW(A152))))&amp;"年"
&amp;MONTH(INDEX(Kintoneデータ抽出!E:E, _xlfn.AGGREGATE(15, 6, ROW(Kintoneデータ抽出!$K$2:$K$5000) / ((Kintoneデータ抽出!$K$2:$K$5000="院内")), ROW(A152))))&amp;"月"
&amp;DAY(INDEX(Kintoneデータ抽出!E:E, _xlfn.AGGREGATE(15, 6, ROW(Kintoneデータ抽出!$K$2:$K$5000) /((Kintoneデータ抽出!$K$2:$K$5000="院内")), ROW(A152))))&amp;"日",""), "")</f>
        <v/>
      </c>
      <c r="K189" s="77" t="str" cm="1">
        <f t="array" ref="K189">IFERROR(IF(INDEX(Kintoneデータ抽出!F:F, _xlfn.AGGREGATE(15, 6, ROW(Kintoneデータ抽出!$K$2:$K$5000) / ((Kintoneデータ抽出!$K$2:$K$5000="院内")), ROW(A152)))&lt;&gt;"",
VLOOKUP(INDEX(Kintoneデータ抽出!F:F, _xlfn.AGGREGATE(15, 6, ROW(Kintoneデータ抽出!$K$2:$K$5000) / ((Kintoneデータ抽出!$K$2:$K$5000="院内")), ROW(A152))),基本開園日の表記!$A$2:$B$13,2,FALSE),""), "")</f>
        <v/>
      </c>
      <c r="L189" s="75" t="str">
        <f t="array" ref="L189">IFERROR(IF(INDEX(Kintoneデータ抽出!F:F, _xlfn.AGGREGATE(15, 6, ROW(Kintoneデータ抽出!$K$2:$K$5000) / ((Kintoneデータ抽出!$K$2:$K$5000="院内")), ROW(A152)))&lt;&gt;"",
IF(COUNTIF(INDEX(Kintoneデータ抽出!F:F, _xlfn.AGGREGATE(15, 6, ROW(Kintoneデータ抽出!$K$2:$K$5000) / ((Kintoneデータ抽出!$K$2:$K$5000="院内")), ROW(A152))),"*あり*"),"夜間",""),""), "")</f>
        <v/>
      </c>
      <c r="M189" s="75" t="str">
        <f t="array" ref="M189">IFERROR(IF(INDEX(Kintoneデータ抽出!I:I, _xlfn.AGGREGATE(15, 6, ROW(Kintoneデータ抽出!$K$2:$K$5000) / ((Kintoneデータ抽出!$K$2:$K$5000="院内")), ROW(A152)))&lt;&gt;"",
IF(COUNTIF(INDEX(Kintoneデータ抽出!I:I, _xlfn.AGGREGATE(15, 6, ROW(Kintoneデータ抽出!$K$2:$K$5000) / ((Kintoneデータ抽出!$K$2:$K$5000="院内")), ROW(A152))),"*あり*"),"学童",""),""), "")</f>
        <v/>
      </c>
      <c r="N189" s="75" t="str">
        <f t="array" ref="N189">IFERROR(IF(INDEX(Kintoneデータ抽出!H:H, _xlfn.AGGREGATE(15, 6, ROW(Kintoneデータ抽出!$K$2:$K$5000) / ((Kintoneデータ抽出!$K$2:$K$5000="院内")), ROW(A152)))&lt;&gt;"",
IF(COUNTIF(INDEX(Kintoneデータ抽出!H:H, _xlfn.AGGREGATE(15, 6, ROW(Kintoneデータ抽出!$K$2:$K$5000) / ((Kintoneデータ抽出!$K$2:$K$5000="院内")), ROW(A152))),"*あり*"),"病児",""),""), "")</f>
        <v/>
      </c>
      <c r="O189" s="94" t="str" cm="1">
        <f t="array" ref="O189">IFERROR(
IF(INDEX(Kintoneデータ抽出!M:M, _xlfn.AGGREGATE(15, 6, ROW(Kintoneデータ抽出!$K$2:$K$5000) / ((Kintoneデータ抽出!$K$2:$K$5000="院内")), ROW(A152)))&lt;&gt;0,INDEX(Kintoneデータ抽出!M:M, _xlfn.AGGREGATE(15, 6, ROW(Kintoneデータ抽出!$K$2:$K$5000) / ((Kintoneデータ抽出!$K$2:$K$5000="院内")), ROW(A152))),""), "")</f>
        <v/>
      </c>
      <c r="P189" s="78" t="str">
        <f t="array" ref="P189">IFERROR(IF(INDEX(Kintoneデータ抽出!L:L, _xlfn.AGGREGATE(15, 6, ROW(Kintoneデータ抽出!$K$2:$K$5000) / ((Kintoneデータ抽出!$K$2:$K$5000="院内")), ROW(A152)))&lt;&gt;"",
IF(COUNTIF(INDEX(Kintoneデータ抽出!L:L, _xlfn.AGGREGATE(15, 6, ROW(Kintoneデータ抽出!$K$2:$K$5000) / ((Kintoneデータ抽出!$K$2:$K$5000="院内")), ROW(A152))),"*企業主導型以外*"),"",
IF(COUNTIF(INDEX(Kintoneデータ抽出!L:L, _xlfn.AGGREGATE(15, 6, ROW(Kintoneデータ抽出!$K$2:$K$5000) / ((Kintoneデータ抽出!$K$2:$K$5000="院内")), ROW(A152))),"*その他*"),"",
IF(COUNTIF(INDEX(Kintoneデータ抽出!L:L, _xlfn.AGGREGATE(15, 6, ROW(Kintoneデータ抽出!$K$2:$K$5000) / ((Kintoneデータ抽出!$K$2:$K$5000="院内")), ROW(A152))),"*新制度*"),"新制度","企業主導型"))),""), "")</f>
        <v/>
      </c>
    </row>
    <row r="190" spans="2:16" ht="34.799999999999997" customHeight="1" x14ac:dyDescent="0.45">
      <c r="B190" s="45"/>
      <c r="C190" s="46"/>
      <c r="D190" s="98" t="str">
        <f t="shared" si="3"/>
        <v/>
      </c>
      <c r="E190" s="99"/>
      <c r="F190" s="75" t="str">
        <f t="array" ref="F190">IFERROR(INDEX(Kintoneデータ抽出!A:A, _xlfn.AGGREGATE(15, 6, ROW(Kintoneデータ抽出!$K$2:$K$5000) / ((Kintoneデータ抽出!$K$2:$K$5000="院内")), ROW(A153))), "")</f>
        <v/>
      </c>
      <c r="G190" s="77" t="str">
        <f t="array" ref="G190">IFERROR(INDEX(Kintoneデータ抽出!D:D, _xlfn.AGGREGATE(15, 6, ROW(Kintoneデータ抽出!$K$2:$K$5000) / ((Kintoneデータ抽出!$K$2:$K$5000="院内")), ROW(A153))), "")</f>
        <v/>
      </c>
      <c r="H190" s="77" t="str">
        <f t="array" ref="H190">IFERROR(INDEX(Kintoneデータ抽出!C:C, _xlfn.AGGREGATE(15, 6, ROW(Kintoneデータ抽出!$K$2:$K$5000) / ((Kintoneデータ抽出!$K$2:$K$5000="院内")), ROW(A153))), "")</f>
        <v/>
      </c>
      <c r="I190" s="75" t="str">
        <f t="array" ref="I190">IFERROR(IF(INDEX(Kintoneデータ抽出!G:G, _xlfn.AGGREGATE(15, 6, ROW(Kintoneデータ抽出!$K$2:$K$5000) / ((Kintoneデータ抽出!$K$2:$K$5000="院内")), ROW(A153)))&lt;&gt;"",INDEX(Kintoneデータ抽出!G:G, _xlfn.AGGREGATE(15, 6, ROW(Kintoneデータ抽出!$K$2:$K$5000) / ((Kintoneデータ抽出!$K$2:$K$5000="院内")), ROW(A153)))&amp;"名",""), "")</f>
        <v/>
      </c>
      <c r="J190" s="76" t="str">
        <f t="array" ref="J190">IFERROR(IF(INDEX(Kintoneデータ抽出!E:E, _xlfn.AGGREGATE(15, 6, ROW(Kintoneデータ抽出!$K$2:$K$5000) / ((Kintoneデータ抽出!$K$2:$K$5000="院内")), ROW(A153)))&lt;&gt;"",
YEAR(INDEX(Kintoneデータ抽出!E:E, _xlfn.AGGREGATE(15, 6, ROW(Kintoneデータ抽出!$K$2:$K$5000) / ((Kintoneデータ抽出!$K$2:$K$5000="院内")), ROW(A153))))&amp;"年"
&amp;MONTH(INDEX(Kintoneデータ抽出!E:E, _xlfn.AGGREGATE(15, 6, ROW(Kintoneデータ抽出!$K$2:$K$5000) / ((Kintoneデータ抽出!$K$2:$K$5000="院内")), ROW(A153))))&amp;"月"
&amp;DAY(INDEX(Kintoneデータ抽出!E:E, _xlfn.AGGREGATE(15, 6, ROW(Kintoneデータ抽出!$K$2:$K$5000) /((Kintoneデータ抽出!$K$2:$K$5000="院内")), ROW(A153))))&amp;"日",""), "")</f>
        <v/>
      </c>
      <c r="K190" s="77" t="str" cm="1">
        <f t="array" ref="K190">IFERROR(IF(INDEX(Kintoneデータ抽出!F:F, _xlfn.AGGREGATE(15, 6, ROW(Kintoneデータ抽出!$K$2:$K$5000) / ((Kintoneデータ抽出!$K$2:$K$5000="院内")), ROW(A153)))&lt;&gt;"",
VLOOKUP(INDEX(Kintoneデータ抽出!F:F, _xlfn.AGGREGATE(15, 6, ROW(Kintoneデータ抽出!$K$2:$K$5000) / ((Kintoneデータ抽出!$K$2:$K$5000="院内")), ROW(A153))),基本開園日の表記!$A$2:$B$13,2,FALSE),""), "")</f>
        <v/>
      </c>
      <c r="L190" s="75" t="str">
        <f t="array" ref="L190">IFERROR(IF(INDEX(Kintoneデータ抽出!F:F, _xlfn.AGGREGATE(15, 6, ROW(Kintoneデータ抽出!$K$2:$K$5000) / ((Kintoneデータ抽出!$K$2:$K$5000="院内")), ROW(A153)))&lt;&gt;"",
IF(COUNTIF(INDEX(Kintoneデータ抽出!F:F, _xlfn.AGGREGATE(15, 6, ROW(Kintoneデータ抽出!$K$2:$K$5000) / ((Kintoneデータ抽出!$K$2:$K$5000="院内")), ROW(A153))),"*あり*"),"夜間",""),""), "")</f>
        <v/>
      </c>
      <c r="M190" s="75" t="str">
        <f t="array" ref="M190">IFERROR(IF(INDEX(Kintoneデータ抽出!I:I, _xlfn.AGGREGATE(15, 6, ROW(Kintoneデータ抽出!$K$2:$K$5000) / ((Kintoneデータ抽出!$K$2:$K$5000="院内")), ROW(A153)))&lt;&gt;"",
IF(COUNTIF(INDEX(Kintoneデータ抽出!I:I, _xlfn.AGGREGATE(15, 6, ROW(Kintoneデータ抽出!$K$2:$K$5000) / ((Kintoneデータ抽出!$K$2:$K$5000="院内")), ROW(A153))),"*あり*"),"学童",""),""), "")</f>
        <v/>
      </c>
      <c r="N190" s="75" t="str">
        <f t="array" ref="N190">IFERROR(IF(INDEX(Kintoneデータ抽出!H:H, _xlfn.AGGREGATE(15, 6, ROW(Kintoneデータ抽出!$K$2:$K$5000) / ((Kintoneデータ抽出!$K$2:$K$5000="院内")), ROW(A153)))&lt;&gt;"",
IF(COUNTIF(INDEX(Kintoneデータ抽出!H:H, _xlfn.AGGREGATE(15, 6, ROW(Kintoneデータ抽出!$K$2:$K$5000) / ((Kintoneデータ抽出!$K$2:$K$5000="院内")), ROW(A153))),"*あり*"),"病児",""),""), "")</f>
        <v/>
      </c>
      <c r="O190" s="94" t="str" cm="1">
        <f t="array" ref="O190">IFERROR(
IF(INDEX(Kintoneデータ抽出!M:M, _xlfn.AGGREGATE(15, 6, ROW(Kintoneデータ抽出!$K$2:$K$5000) / ((Kintoneデータ抽出!$K$2:$K$5000="院内")), ROW(A153)))&lt;&gt;0,INDEX(Kintoneデータ抽出!M:M, _xlfn.AGGREGATE(15, 6, ROW(Kintoneデータ抽出!$K$2:$K$5000) / ((Kintoneデータ抽出!$K$2:$K$5000="院内")), ROW(A153))),""), "")</f>
        <v/>
      </c>
      <c r="P190" s="78" t="str">
        <f t="array" ref="P190">IFERROR(IF(INDEX(Kintoneデータ抽出!L:L, _xlfn.AGGREGATE(15, 6, ROW(Kintoneデータ抽出!$K$2:$K$5000) / ((Kintoneデータ抽出!$K$2:$K$5000="院内")), ROW(A153)))&lt;&gt;"",
IF(COUNTIF(INDEX(Kintoneデータ抽出!L:L, _xlfn.AGGREGATE(15, 6, ROW(Kintoneデータ抽出!$K$2:$K$5000) / ((Kintoneデータ抽出!$K$2:$K$5000="院内")), ROW(A153))),"*企業主導型以外*"),"",
IF(COUNTIF(INDEX(Kintoneデータ抽出!L:L, _xlfn.AGGREGATE(15, 6, ROW(Kintoneデータ抽出!$K$2:$K$5000) / ((Kintoneデータ抽出!$K$2:$K$5000="院内")), ROW(A153))),"*その他*"),"",
IF(COUNTIF(INDEX(Kintoneデータ抽出!L:L, _xlfn.AGGREGATE(15, 6, ROW(Kintoneデータ抽出!$K$2:$K$5000) / ((Kintoneデータ抽出!$K$2:$K$5000="院内")), ROW(A153))),"*新制度*"),"新制度","企業主導型"))),""), "")</f>
        <v/>
      </c>
    </row>
    <row r="191" spans="2:16" ht="34.799999999999997" customHeight="1" x14ac:dyDescent="0.45">
      <c r="B191" s="45"/>
      <c r="C191" s="46"/>
      <c r="D191" s="98" t="str">
        <f t="shared" si="3"/>
        <v/>
      </c>
      <c r="E191" s="99"/>
      <c r="F191" s="75" t="str">
        <f t="array" ref="F191">IFERROR(INDEX(Kintoneデータ抽出!A:A, _xlfn.AGGREGATE(15, 6, ROW(Kintoneデータ抽出!$K$2:$K$5000) / ((Kintoneデータ抽出!$K$2:$K$5000="院内")), ROW(A154))), "")</f>
        <v/>
      </c>
      <c r="G191" s="77" t="str">
        <f t="array" ref="G191">IFERROR(INDEX(Kintoneデータ抽出!D:D, _xlfn.AGGREGATE(15, 6, ROW(Kintoneデータ抽出!$K$2:$K$5000) / ((Kintoneデータ抽出!$K$2:$K$5000="院内")), ROW(A154))), "")</f>
        <v/>
      </c>
      <c r="H191" s="77" t="str">
        <f t="array" ref="H191">IFERROR(INDEX(Kintoneデータ抽出!C:C, _xlfn.AGGREGATE(15, 6, ROW(Kintoneデータ抽出!$K$2:$K$5000) / ((Kintoneデータ抽出!$K$2:$K$5000="院内")), ROW(A154))), "")</f>
        <v/>
      </c>
      <c r="I191" s="75" t="str">
        <f t="array" ref="I191">IFERROR(IF(INDEX(Kintoneデータ抽出!G:G, _xlfn.AGGREGATE(15, 6, ROW(Kintoneデータ抽出!$K$2:$K$5000) / ((Kintoneデータ抽出!$K$2:$K$5000="院内")), ROW(A154)))&lt;&gt;"",INDEX(Kintoneデータ抽出!G:G, _xlfn.AGGREGATE(15, 6, ROW(Kintoneデータ抽出!$K$2:$K$5000) / ((Kintoneデータ抽出!$K$2:$K$5000="院内")), ROW(A154)))&amp;"名",""), "")</f>
        <v/>
      </c>
      <c r="J191" s="76" t="str">
        <f t="array" ref="J191">IFERROR(IF(INDEX(Kintoneデータ抽出!E:E, _xlfn.AGGREGATE(15, 6, ROW(Kintoneデータ抽出!$K$2:$K$5000) / ((Kintoneデータ抽出!$K$2:$K$5000="院内")), ROW(A154)))&lt;&gt;"",
YEAR(INDEX(Kintoneデータ抽出!E:E, _xlfn.AGGREGATE(15, 6, ROW(Kintoneデータ抽出!$K$2:$K$5000) / ((Kintoneデータ抽出!$K$2:$K$5000="院内")), ROW(A154))))&amp;"年"
&amp;MONTH(INDEX(Kintoneデータ抽出!E:E, _xlfn.AGGREGATE(15, 6, ROW(Kintoneデータ抽出!$K$2:$K$5000) / ((Kintoneデータ抽出!$K$2:$K$5000="院内")), ROW(A154))))&amp;"月"
&amp;DAY(INDEX(Kintoneデータ抽出!E:E, _xlfn.AGGREGATE(15, 6, ROW(Kintoneデータ抽出!$K$2:$K$5000) /((Kintoneデータ抽出!$K$2:$K$5000="院内")), ROW(A154))))&amp;"日",""), "")</f>
        <v/>
      </c>
      <c r="K191" s="77" t="str" cm="1">
        <f t="array" ref="K191">IFERROR(IF(INDEX(Kintoneデータ抽出!F:F, _xlfn.AGGREGATE(15, 6, ROW(Kintoneデータ抽出!$K$2:$K$5000) / ((Kintoneデータ抽出!$K$2:$K$5000="院内")), ROW(A154)))&lt;&gt;"",
VLOOKUP(INDEX(Kintoneデータ抽出!F:F, _xlfn.AGGREGATE(15, 6, ROW(Kintoneデータ抽出!$K$2:$K$5000) / ((Kintoneデータ抽出!$K$2:$K$5000="院内")), ROW(A154))),基本開園日の表記!$A$2:$B$13,2,FALSE),""), "")</f>
        <v/>
      </c>
      <c r="L191" s="75" t="str">
        <f t="array" ref="L191">IFERROR(IF(INDEX(Kintoneデータ抽出!F:F, _xlfn.AGGREGATE(15, 6, ROW(Kintoneデータ抽出!$K$2:$K$5000) / ((Kintoneデータ抽出!$K$2:$K$5000="院内")), ROW(A154)))&lt;&gt;"",
IF(COUNTIF(INDEX(Kintoneデータ抽出!F:F, _xlfn.AGGREGATE(15, 6, ROW(Kintoneデータ抽出!$K$2:$K$5000) / ((Kintoneデータ抽出!$K$2:$K$5000="院内")), ROW(A154))),"*あり*"),"夜間",""),""), "")</f>
        <v/>
      </c>
      <c r="M191" s="75" t="str">
        <f t="array" ref="M191">IFERROR(IF(INDEX(Kintoneデータ抽出!I:I, _xlfn.AGGREGATE(15, 6, ROW(Kintoneデータ抽出!$K$2:$K$5000) / ((Kintoneデータ抽出!$K$2:$K$5000="院内")), ROW(A154)))&lt;&gt;"",
IF(COUNTIF(INDEX(Kintoneデータ抽出!I:I, _xlfn.AGGREGATE(15, 6, ROW(Kintoneデータ抽出!$K$2:$K$5000) / ((Kintoneデータ抽出!$K$2:$K$5000="院内")), ROW(A154))),"*あり*"),"学童",""),""), "")</f>
        <v/>
      </c>
      <c r="N191" s="75" t="str">
        <f t="array" ref="N191">IFERROR(IF(INDEX(Kintoneデータ抽出!H:H, _xlfn.AGGREGATE(15, 6, ROW(Kintoneデータ抽出!$K$2:$K$5000) / ((Kintoneデータ抽出!$K$2:$K$5000="院内")), ROW(A154)))&lt;&gt;"",
IF(COUNTIF(INDEX(Kintoneデータ抽出!H:H, _xlfn.AGGREGATE(15, 6, ROW(Kintoneデータ抽出!$K$2:$K$5000) / ((Kintoneデータ抽出!$K$2:$K$5000="院内")), ROW(A154))),"*あり*"),"病児",""),""), "")</f>
        <v/>
      </c>
      <c r="O191" s="94" t="str" cm="1">
        <f t="array" ref="O191">IFERROR(
IF(INDEX(Kintoneデータ抽出!M:M, _xlfn.AGGREGATE(15, 6, ROW(Kintoneデータ抽出!$K$2:$K$5000) / ((Kintoneデータ抽出!$K$2:$K$5000="院内")), ROW(A154)))&lt;&gt;0,INDEX(Kintoneデータ抽出!M:M, _xlfn.AGGREGATE(15, 6, ROW(Kintoneデータ抽出!$K$2:$K$5000) / ((Kintoneデータ抽出!$K$2:$K$5000="院内")), ROW(A154))),""), "")</f>
        <v/>
      </c>
      <c r="P191" s="78" t="str">
        <f t="array" ref="P191">IFERROR(IF(INDEX(Kintoneデータ抽出!L:L, _xlfn.AGGREGATE(15, 6, ROW(Kintoneデータ抽出!$K$2:$K$5000) / ((Kintoneデータ抽出!$K$2:$K$5000="院内")), ROW(A154)))&lt;&gt;"",
IF(COUNTIF(INDEX(Kintoneデータ抽出!L:L, _xlfn.AGGREGATE(15, 6, ROW(Kintoneデータ抽出!$K$2:$K$5000) / ((Kintoneデータ抽出!$K$2:$K$5000="院内")), ROW(A154))),"*企業主導型以外*"),"",
IF(COUNTIF(INDEX(Kintoneデータ抽出!L:L, _xlfn.AGGREGATE(15, 6, ROW(Kintoneデータ抽出!$K$2:$K$5000) / ((Kintoneデータ抽出!$K$2:$K$5000="院内")), ROW(A154))),"*その他*"),"",
IF(COUNTIF(INDEX(Kintoneデータ抽出!L:L, _xlfn.AGGREGATE(15, 6, ROW(Kintoneデータ抽出!$K$2:$K$5000) / ((Kintoneデータ抽出!$K$2:$K$5000="院内")), ROW(A154))),"*新制度*"),"新制度","企業主導型"))),""), "")</f>
        <v/>
      </c>
    </row>
    <row r="192" spans="2:16" ht="34.799999999999997" customHeight="1" x14ac:dyDescent="0.45">
      <c r="B192" s="45"/>
      <c r="C192" s="46"/>
      <c r="D192" s="98" t="str">
        <f t="shared" si="3"/>
        <v/>
      </c>
      <c r="E192" s="99"/>
      <c r="F192" s="75" t="str">
        <f t="array" ref="F192">IFERROR(INDEX(Kintoneデータ抽出!A:A, _xlfn.AGGREGATE(15, 6, ROW(Kintoneデータ抽出!$K$2:$K$5000) / ((Kintoneデータ抽出!$K$2:$K$5000="院内")), ROW(A155))), "")</f>
        <v/>
      </c>
      <c r="G192" s="77" t="str">
        <f t="array" ref="G192">IFERROR(INDEX(Kintoneデータ抽出!D:D, _xlfn.AGGREGATE(15, 6, ROW(Kintoneデータ抽出!$K$2:$K$5000) / ((Kintoneデータ抽出!$K$2:$K$5000="院内")), ROW(A155))), "")</f>
        <v/>
      </c>
      <c r="H192" s="77" t="str">
        <f t="array" ref="H192">IFERROR(INDEX(Kintoneデータ抽出!C:C, _xlfn.AGGREGATE(15, 6, ROW(Kintoneデータ抽出!$K$2:$K$5000) / ((Kintoneデータ抽出!$K$2:$K$5000="院内")), ROW(A155))), "")</f>
        <v/>
      </c>
      <c r="I192" s="75" t="str">
        <f t="array" ref="I192">IFERROR(IF(INDEX(Kintoneデータ抽出!G:G, _xlfn.AGGREGATE(15, 6, ROW(Kintoneデータ抽出!$K$2:$K$5000) / ((Kintoneデータ抽出!$K$2:$K$5000="院内")), ROW(A155)))&lt;&gt;"",INDEX(Kintoneデータ抽出!G:G, _xlfn.AGGREGATE(15, 6, ROW(Kintoneデータ抽出!$K$2:$K$5000) / ((Kintoneデータ抽出!$K$2:$K$5000="院内")), ROW(A155)))&amp;"名",""), "")</f>
        <v/>
      </c>
      <c r="J192" s="76" t="str">
        <f t="array" ref="J192">IFERROR(IF(INDEX(Kintoneデータ抽出!E:E, _xlfn.AGGREGATE(15, 6, ROW(Kintoneデータ抽出!$K$2:$K$5000) / ((Kintoneデータ抽出!$K$2:$K$5000="院内")), ROW(A155)))&lt;&gt;"",
YEAR(INDEX(Kintoneデータ抽出!E:E, _xlfn.AGGREGATE(15, 6, ROW(Kintoneデータ抽出!$K$2:$K$5000) / ((Kintoneデータ抽出!$K$2:$K$5000="院内")), ROW(A155))))&amp;"年"
&amp;MONTH(INDEX(Kintoneデータ抽出!E:E, _xlfn.AGGREGATE(15, 6, ROW(Kintoneデータ抽出!$K$2:$K$5000) / ((Kintoneデータ抽出!$K$2:$K$5000="院内")), ROW(A155))))&amp;"月"
&amp;DAY(INDEX(Kintoneデータ抽出!E:E, _xlfn.AGGREGATE(15, 6, ROW(Kintoneデータ抽出!$K$2:$K$5000) /((Kintoneデータ抽出!$K$2:$K$5000="院内")), ROW(A155))))&amp;"日",""), "")</f>
        <v/>
      </c>
      <c r="K192" s="77" t="str" cm="1">
        <f t="array" ref="K192">IFERROR(IF(INDEX(Kintoneデータ抽出!F:F, _xlfn.AGGREGATE(15, 6, ROW(Kintoneデータ抽出!$K$2:$K$5000) / ((Kintoneデータ抽出!$K$2:$K$5000="院内")), ROW(A155)))&lt;&gt;"",
VLOOKUP(INDEX(Kintoneデータ抽出!F:F, _xlfn.AGGREGATE(15, 6, ROW(Kintoneデータ抽出!$K$2:$K$5000) / ((Kintoneデータ抽出!$K$2:$K$5000="院内")), ROW(A155))),基本開園日の表記!$A$2:$B$13,2,FALSE),""), "")</f>
        <v/>
      </c>
      <c r="L192" s="75" t="str">
        <f t="array" ref="L192">IFERROR(IF(INDEX(Kintoneデータ抽出!F:F, _xlfn.AGGREGATE(15, 6, ROW(Kintoneデータ抽出!$K$2:$K$5000) / ((Kintoneデータ抽出!$K$2:$K$5000="院内")), ROW(A155)))&lt;&gt;"",
IF(COUNTIF(INDEX(Kintoneデータ抽出!F:F, _xlfn.AGGREGATE(15, 6, ROW(Kintoneデータ抽出!$K$2:$K$5000) / ((Kintoneデータ抽出!$K$2:$K$5000="院内")), ROW(A155))),"*あり*"),"夜間",""),""), "")</f>
        <v/>
      </c>
      <c r="M192" s="75" t="str">
        <f t="array" ref="M192">IFERROR(IF(INDEX(Kintoneデータ抽出!I:I, _xlfn.AGGREGATE(15, 6, ROW(Kintoneデータ抽出!$K$2:$K$5000) / ((Kintoneデータ抽出!$K$2:$K$5000="院内")), ROW(A155)))&lt;&gt;"",
IF(COUNTIF(INDEX(Kintoneデータ抽出!I:I, _xlfn.AGGREGATE(15, 6, ROW(Kintoneデータ抽出!$K$2:$K$5000) / ((Kintoneデータ抽出!$K$2:$K$5000="院内")), ROW(A155))),"*あり*"),"学童",""),""), "")</f>
        <v/>
      </c>
      <c r="N192" s="75" t="str">
        <f t="array" ref="N192">IFERROR(IF(INDEX(Kintoneデータ抽出!H:H, _xlfn.AGGREGATE(15, 6, ROW(Kintoneデータ抽出!$K$2:$K$5000) / ((Kintoneデータ抽出!$K$2:$K$5000="院内")), ROW(A155)))&lt;&gt;"",
IF(COUNTIF(INDEX(Kintoneデータ抽出!H:H, _xlfn.AGGREGATE(15, 6, ROW(Kintoneデータ抽出!$K$2:$K$5000) / ((Kintoneデータ抽出!$K$2:$K$5000="院内")), ROW(A155))),"*あり*"),"病児",""),""), "")</f>
        <v/>
      </c>
      <c r="O192" s="94" t="str" cm="1">
        <f t="array" ref="O192">IFERROR(
IF(INDEX(Kintoneデータ抽出!M:M, _xlfn.AGGREGATE(15, 6, ROW(Kintoneデータ抽出!$K$2:$K$5000) / ((Kintoneデータ抽出!$K$2:$K$5000="院内")), ROW(A155)))&lt;&gt;0,INDEX(Kintoneデータ抽出!M:M, _xlfn.AGGREGATE(15, 6, ROW(Kintoneデータ抽出!$K$2:$K$5000) / ((Kintoneデータ抽出!$K$2:$K$5000="院内")), ROW(A155))),""), "")</f>
        <v/>
      </c>
      <c r="P192" s="78" t="str">
        <f t="array" ref="P192">IFERROR(IF(INDEX(Kintoneデータ抽出!L:L, _xlfn.AGGREGATE(15, 6, ROW(Kintoneデータ抽出!$K$2:$K$5000) / ((Kintoneデータ抽出!$K$2:$K$5000="院内")), ROW(A155)))&lt;&gt;"",
IF(COUNTIF(INDEX(Kintoneデータ抽出!L:L, _xlfn.AGGREGATE(15, 6, ROW(Kintoneデータ抽出!$K$2:$K$5000) / ((Kintoneデータ抽出!$K$2:$K$5000="院内")), ROW(A155))),"*企業主導型以外*"),"",
IF(COUNTIF(INDEX(Kintoneデータ抽出!L:L, _xlfn.AGGREGATE(15, 6, ROW(Kintoneデータ抽出!$K$2:$K$5000) / ((Kintoneデータ抽出!$K$2:$K$5000="院内")), ROW(A155))),"*その他*"),"",
IF(COUNTIF(INDEX(Kintoneデータ抽出!L:L, _xlfn.AGGREGATE(15, 6, ROW(Kintoneデータ抽出!$K$2:$K$5000) / ((Kintoneデータ抽出!$K$2:$K$5000="院内")), ROW(A155))),"*新制度*"),"新制度","企業主導型"))),""), "")</f>
        <v/>
      </c>
    </row>
    <row r="193" spans="2:16" ht="34.799999999999997" customHeight="1" x14ac:dyDescent="0.45">
      <c r="B193" s="45"/>
      <c r="C193" s="46"/>
      <c r="D193" s="98" t="str">
        <f t="shared" si="3"/>
        <v/>
      </c>
      <c r="E193" s="99"/>
      <c r="F193" s="75" t="str">
        <f t="array" ref="F193">IFERROR(INDEX(Kintoneデータ抽出!A:A, _xlfn.AGGREGATE(15, 6, ROW(Kintoneデータ抽出!$K$2:$K$5000) / ((Kintoneデータ抽出!$K$2:$K$5000="院内")), ROW(A156))), "")</f>
        <v/>
      </c>
      <c r="G193" s="77" t="str">
        <f t="array" ref="G193">IFERROR(INDEX(Kintoneデータ抽出!D:D, _xlfn.AGGREGATE(15, 6, ROW(Kintoneデータ抽出!$K$2:$K$5000) / ((Kintoneデータ抽出!$K$2:$K$5000="院内")), ROW(A156))), "")</f>
        <v/>
      </c>
      <c r="H193" s="77" t="str">
        <f t="array" ref="H193">IFERROR(INDEX(Kintoneデータ抽出!C:C, _xlfn.AGGREGATE(15, 6, ROW(Kintoneデータ抽出!$K$2:$K$5000) / ((Kintoneデータ抽出!$K$2:$K$5000="院内")), ROW(A156))), "")</f>
        <v/>
      </c>
      <c r="I193" s="75" t="str">
        <f t="array" ref="I193">IFERROR(IF(INDEX(Kintoneデータ抽出!G:G, _xlfn.AGGREGATE(15, 6, ROW(Kintoneデータ抽出!$K$2:$K$5000) / ((Kintoneデータ抽出!$K$2:$K$5000="院内")), ROW(A156)))&lt;&gt;"",INDEX(Kintoneデータ抽出!G:G, _xlfn.AGGREGATE(15, 6, ROW(Kintoneデータ抽出!$K$2:$K$5000) / ((Kintoneデータ抽出!$K$2:$K$5000="院内")), ROW(A156)))&amp;"名",""), "")</f>
        <v/>
      </c>
      <c r="J193" s="76" t="str">
        <f t="array" ref="J193">IFERROR(IF(INDEX(Kintoneデータ抽出!E:E, _xlfn.AGGREGATE(15, 6, ROW(Kintoneデータ抽出!$K$2:$K$5000) / ((Kintoneデータ抽出!$K$2:$K$5000="院内")), ROW(A156)))&lt;&gt;"",
YEAR(INDEX(Kintoneデータ抽出!E:E, _xlfn.AGGREGATE(15, 6, ROW(Kintoneデータ抽出!$K$2:$K$5000) / ((Kintoneデータ抽出!$K$2:$K$5000="院内")), ROW(A156))))&amp;"年"
&amp;MONTH(INDEX(Kintoneデータ抽出!E:E, _xlfn.AGGREGATE(15, 6, ROW(Kintoneデータ抽出!$K$2:$K$5000) / ((Kintoneデータ抽出!$K$2:$K$5000="院内")), ROW(A156))))&amp;"月"
&amp;DAY(INDEX(Kintoneデータ抽出!E:E, _xlfn.AGGREGATE(15, 6, ROW(Kintoneデータ抽出!$K$2:$K$5000) /((Kintoneデータ抽出!$K$2:$K$5000="院内")), ROW(A156))))&amp;"日",""), "")</f>
        <v/>
      </c>
      <c r="K193" s="77" t="str" cm="1">
        <f t="array" ref="K193">IFERROR(IF(INDEX(Kintoneデータ抽出!F:F, _xlfn.AGGREGATE(15, 6, ROW(Kintoneデータ抽出!$K$2:$K$5000) / ((Kintoneデータ抽出!$K$2:$K$5000="院内")), ROW(A156)))&lt;&gt;"",
VLOOKUP(INDEX(Kintoneデータ抽出!F:F, _xlfn.AGGREGATE(15, 6, ROW(Kintoneデータ抽出!$K$2:$K$5000) / ((Kintoneデータ抽出!$K$2:$K$5000="院内")), ROW(A156))),基本開園日の表記!$A$2:$B$13,2,FALSE),""), "")</f>
        <v/>
      </c>
      <c r="L193" s="75" t="str">
        <f t="array" ref="L193">IFERROR(IF(INDEX(Kintoneデータ抽出!F:F, _xlfn.AGGREGATE(15, 6, ROW(Kintoneデータ抽出!$K$2:$K$5000) / ((Kintoneデータ抽出!$K$2:$K$5000="院内")), ROW(A156)))&lt;&gt;"",
IF(COUNTIF(INDEX(Kintoneデータ抽出!F:F, _xlfn.AGGREGATE(15, 6, ROW(Kintoneデータ抽出!$K$2:$K$5000) / ((Kintoneデータ抽出!$K$2:$K$5000="院内")), ROW(A156))),"*あり*"),"夜間",""),""), "")</f>
        <v/>
      </c>
      <c r="M193" s="75" t="str">
        <f t="array" ref="M193">IFERROR(IF(INDEX(Kintoneデータ抽出!I:I, _xlfn.AGGREGATE(15, 6, ROW(Kintoneデータ抽出!$K$2:$K$5000) / ((Kintoneデータ抽出!$K$2:$K$5000="院内")), ROW(A156)))&lt;&gt;"",
IF(COUNTIF(INDEX(Kintoneデータ抽出!I:I, _xlfn.AGGREGATE(15, 6, ROW(Kintoneデータ抽出!$K$2:$K$5000) / ((Kintoneデータ抽出!$K$2:$K$5000="院内")), ROW(A156))),"*あり*"),"学童",""),""), "")</f>
        <v/>
      </c>
      <c r="N193" s="75" t="str">
        <f t="array" ref="N193">IFERROR(IF(INDEX(Kintoneデータ抽出!H:H, _xlfn.AGGREGATE(15, 6, ROW(Kintoneデータ抽出!$K$2:$K$5000) / ((Kintoneデータ抽出!$K$2:$K$5000="院内")), ROW(A156)))&lt;&gt;"",
IF(COUNTIF(INDEX(Kintoneデータ抽出!H:H, _xlfn.AGGREGATE(15, 6, ROW(Kintoneデータ抽出!$K$2:$K$5000) / ((Kintoneデータ抽出!$K$2:$K$5000="院内")), ROW(A156))),"*あり*"),"病児",""),""), "")</f>
        <v/>
      </c>
      <c r="O193" s="94" t="str" cm="1">
        <f t="array" ref="O193">IFERROR(
IF(INDEX(Kintoneデータ抽出!M:M, _xlfn.AGGREGATE(15, 6, ROW(Kintoneデータ抽出!$K$2:$K$5000) / ((Kintoneデータ抽出!$K$2:$K$5000="院内")), ROW(A156)))&lt;&gt;0,INDEX(Kintoneデータ抽出!M:M, _xlfn.AGGREGATE(15, 6, ROW(Kintoneデータ抽出!$K$2:$K$5000) / ((Kintoneデータ抽出!$K$2:$K$5000="院内")), ROW(A156))),""), "")</f>
        <v/>
      </c>
      <c r="P193" s="78" t="str">
        <f t="array" ref="P193">IFERROR(IF(INDEX(Kintoneデータ抽出!L:L, _xlfn.AGGREGATE(15, 6, ROW(Kintoneデータ抽出!$K$2:$K$5000) / ((Kintoneデータ抽出!$K$2:$K$5000="院内")), ROW(A156)))&lt;&gt;"",
IF(COUNTIF(INDEX(Kintoneデータ抽出!L:L, _xlfn.AGGREGATE(15, 6, ROW(Kintoneデータ抽出!$K$2:$K$5000) / ((Kintoneデータ抽出!$K$2:$K$5000="院内")), ROW(A156))),"*企業主導型以外*"),"",
IF(COUNTIF(INDEX(Kintoneデータ抽出!L:L, _xlfn.AGGREGATE(15, 6, ROW(Kintoneデータ抽出!$K$2:$K$5000) / ((Kintoneデータ抽出!$K$2:$K$5000="院内")), ROW(A156))),"*その他*"),"",
IF(COUNTIF(INDEX(Kintoneデータ抽出!L:L, _xlfn.AGGREGATE(15, 6, ROW(Kintoneデータ抽出!$K$2:$K$5000) / ((Kintoneデータ抽出!$K$2:$K$5000="院内")), ROW(A156))),"*新制度*"),"新制度","企業主導型"))),""), "")</f>
        <v/>
      </c>
    </row>
    <row r="194" spans="2:16" ht="34.799999999999997" customHeight="1" x14ac:dyDescent="0.45">
      <c r="B194" s="45"/>
      <c r="C194" s="46"/>
      <c r="D194" s="98" t="str">
        <f t="shared" si="3"/>
        <v/>
      </c>
      <c r="E194" s="99"/>
      <c r="F194" s="75" t="str">
        <f t="array" ref="F194">IFERROR(INDEX(Kintoneデータ抽出!A:A, _xlfn.AGGREGATE(15, 6, ROW(Kintoneデータ抽出!$K$2:$K$5000) / ((Kintoneデータ抽出!$K$2:$K$5000="院内")), ROW(A157))), "")</f>
        <v/>
      </c>
      <c r="G194" s="77" t="str">
        <f t="array" ref="G194">IFERROR(INDEX(Kintoneデータ抽出!D:D, _xlfn.AGGREGATE(15, 6, ROW(Kintoneデータ抽出!$K$2:$K$5000) / ((Kintoneデータ抽出!$K$2:$K$5000="院内")), ROW(A157))), "")</f>
        <v/>
      </c>
      <c r="H194" s="77" t="str">
        <f t="array" ref="H194">IFERROR(INDEX(Kintoneデータ抽出!C:C, _xlfn.AGGREGATE(15, 6, ROW(Kintoneデータ抽出!$K$2:$K$5000) / ((Kintoneデータ抽出!$K$2:$K$5000="院内")), ROW(A157))), "")</f>
        <v/>
      </c>
      <c r="I194" s="75" t="str">
        <f t="array" ref="I194">IFERROR(IF(INDEX(Kintoneデータ抽出!G:G, _xlfn.AGGREGATE(15, 6, ROW(Kintoneデータ抽出!$K$2:$K$5000) / ((Kintoneデータ抽出!$K$2:$K$5000="院内")), ROW(A157)))&lt;&gt;"",INDEX(Kintoneデータ抽出!G:G, _xlfn.AGGREGATE(15, 6, ROW(Kintoneデータ抽出!$K$2:$K$5000) / ((Kintoneデータ抽出!$K$2:$K$5000="院内")), ROW(A157)))&amp;"名",""), "")</f>
        <v/>
      </c>
      <c r="J194" s="76" t="str">
        <f t="array" ref="J194">IFERROR(IF(INDEX(Kintoneデータ抽出!E:E, _xlfn.AGGREGATE(15, 6, ROW(Kintoneデータ抽出!$K$2:$K$5000) / ((Kintoneデータ抽出!$K$2:$K$5000="院内")), ROW(A157)))&lt;&gt;"",
YEAR(INDEX(Kintoneデータ抽出!E:E, _xlfn.AGGREGATE(15, 6, ROW(Kintoneデータ抽出!$K$2:$K$5000) / ((Kintoneデータ抽出!$K$2:$K$5000="院内")), ROW(A157))))&amp;"年"
&amp;MONTH(INDEX(Kintoneデータ抽出!E:E, _xlfn.AGGREGATE(15, 6, ROW(Kintoneデータ抽出!$K$2:$K$5000) / ((Kintoneデータ抽出!$K$2:$K$5000="院内")), ROW(A157))))&amp;"月"
&amp;DAY(INDEX(Kintoneデータ抽出!E:E, _xlfn.AGGREGATE(15, 6, ROW(Kintoneデータ抽出!$K$2:$K$5000) /((Kintoneデータ抽出!$K$2:$K$5000="院内")), ROW(A157))))&amp;"日",""), "")</f>
        <v/>
      </c>
      <c r="K194" s="77" t="str" cm="1">
        <f t="array" ref="K194">IFERROR(IF(INDEX(Kintoneデータ抽出!F:F, _xlfn.AGGREGATE(15, 6, ROW(Kintoneデータ抽出!$K$2:$K$5000) / ((Kintoneデータ抽出!$K$2:$K$5000="院内")), ROW(A157)))&lt;&gt;"",
VLOOKUP(INDEX(Kintoneデータ抽出!F:F, _xlfn.AGGREGATE(15, 6, ROW(Kintoneデータ抽出!$K$2:$K$5000) / ((Kintoneデータ抽出!$K$2:$K$5000="院内")), ROW(A157))),基本開園日の表記!$A$2:$B$13,2,FALSE),""), "")</f>
        <v/>
      </c>
      <c r="L194" s="75" t="str">
        <f t="array" ref="L194">IFERROR(IF(INDEX(Kintoneデータ抽出!F:F, _xlfn.AGGREGATE(15, 6, ROW(Kintoneデータ抽出!$K$2:$K$5000) / ((Kintoneデータ抽出!$K$2:$K$5000="院内")), ROW(A157)))&lt;&gt;"",
IF(COUNTIF(INDEX(Kintoneデータ抽出!F:F, _xlfn.AGGREGATE(15, 6, ROW(Kintoneデータ抽出!$K$2:$K$5000) / ((Kintoneデータ抽出!$K$2:$K$5000="院内")), ROW(A157))),"*あり*"),"夜間",""),""), "")</f>
        <v/>
      </c>
      <c r="M194" s="75" t="str">
        <f t="array" ref="M194">IFERROR(IF(INDEX(Kintoneデータ抽出!I:I, _xlfn.AGGREGATE(15, 6, ROW(Kintoneデータ抽出!$K$2:$K$5000) / ((Kintoneデータ抽出!$K$2:$K$5000="院内")), ROW(A157)))&lt;&gt;"",
IF(COUNTIF(INDEX(Kintoneデータ抽出!I:I, _xlfn.AGGREGATE(15, 6, ROW(Kintoneデータ抽出!$K$2:$K$5000) / ((Kintoneデータ抽出!$K$2:$K$5000="院内")), ROW(A157))),"*あり*"),"学童",""),""), "")</f>
        <v/>
      </c>
      <c r="N194" s="75" t="str">
        <f t="array" ref="N194">IFERROR(IF(INDEX(Kintoneデータ抽出!H:H, _xlfn.AGGREGATE(15, 6, ROW(Kintoneデータ抽出!$K$2:$K$5000) / ((Kintoneデータ抽出!$K$2:$K$5000="院内")), ROW(A157)))&lt;&gt;"",
IF(COUNTIF(INDEX(Kintoneデータ抽出!H:H, _xlfn.AGGREGATE(15, 6, ROW(Kintoneデータ抽出!$K$2:$K$5000) / ((Kintoneデータ抽出!$K$2:$K$5000="院内")), ROW(A157))),"*あり*"),"病児",""),""), "")</f>
        <v/>
      </c>
      <c r="O194" s="94" t="str" cm="1">
        <f t="array" ref="O194">IFERROR(
IF(INDEX(Kintoneデータ抽出!M:M, _xlfn.AGGREGATE(15, 6, ROW(Kintoneデータ抽出!$K$2:$K$5000) / ((Kintoneデータ抽出!$K$2:$K$5000="院内")), ROW(A157)))&lt;&gt;0,INDEX(Kintoneデータ抽出!M:M, _xlfn.AGGREGATE(15, 6, ROW(Kintoneデータ抽出!$K$2:$K$5000) / ((Kintoneデータ抽出!$K$2:$K$5000="院内")), ROW(A157))),""), "")</f>
        <v/>
      </c>
      <c r="P194" s="78" t="str">
        <f t="array" ref="P194">IFERROR(IF(INDEX(Kintoneデータ抽出!L:L, _xlfn.AGGREGATE(15, 6, ROW(Kintoneデータ抽出!$K$2:$K$5000) / ((Kintoneデータ抽出!$K$2:$K$5000="院内")), ROW(A157)))&lt;&gt;"",
IF(COUNTIF(INDEX(Kintoneデータ抽出!L:L, _xlfn.AGGREGATE(15, 6, ROW(Kintoneデータ抽出!$K$2:$K$5000) / ((Kintoneデータ抽出!$K$2:$K$5000="院内")), ROW(A157))),"*企業主導型以外*"),"",
IF(COUNTIF(INDEX(Kintoneデータ抽出!L:L, _xlfn.AGGREGATE(15, 6, ROW(Kintoneデータ抽出!$K$2:$K$5000) / ((Kintoneデータ抽出!$K$2:$K$5000="院内")), ROW(A157))),"*その他*"),"",
IF(COUNTIF(INDEX(Kintoneデータ抽出!L:L, _xlfn.AGGREGATE(15, 6, ROW(Kintoneデータ抽出!$K$2:$K$5000) / ((Kintoneデータ抽出!$K$2:$K$5000="院内")), ROW(A157))),"*新制度*"),"新制度","企業主導型"))),""), "")</f>
        <v/>
      </c>
    </row>
    <row r="195" spans="2:16" ht="34.799999999999997" customHeight="1" x14ac:dyDescent="0.45">
      <c r="B195" s="45"/>
      <c r="C195" s="46"/>
      <c r="D195" s="98" t="str">
        <f t="shared" si="3"/>
        <v/>
      </c>
      <c r="E195" s="99"/>
      <c r="F195" s="75" t="str">
        <f t="array" ref="F195">IFERROR(INDEX(Kintoneデータ抽出!A:A, _xlfn.AGGREGATE(15, 6, ROW(Kintoneデータ抽出!$K$2:$K$5000) / ((Kintoneデータ抽出!$K$2:$K$5000="院内")), ROW(A158))), "")</f>
        <v/>
      </c>
      <c r="G195" s="77" t="str">
        <f t="array" ref="G195">IFERROR(INDEX(Kintoneデータ抽出!D:D, _xlfn.AGGREGATE(15, 6, ROW(Kintoneデータ抽出!$K$2:$K$5000) / ((Kintoneデータ抽出!$K$2:$K$5000="院内")), ROW(A158))), "")</f>
        <v/>
      </c>
      <c r="H195" s="77" t="str">
        <f t="array" ref="H195">IFERROR(INDEX(Kintoneデータ抽出!C:C, _xlfn.AGGREGATE(15, 6, ROW(Kintoneデータ抽出!$K$2:$K$5000) / ((Kintoneデータ抽出!$K$2:$K$5000="院内")), ROW(A158))), "")</f>
        <v/>
      </c>
      <c r="I195" s="75" t="str">
        <f t="array" ref="I195">IFERROR(IF(INDEX(Kintoneデータ抽出!G:G, _xlfn.AGGREGATE(15, 6, ROW(Kintoneデータ抽出!$K$2:$K$5000) / ((Kintoneデータ抽出!$K$2:$K$5000="院内")), ROW(A158)))&lt;&gt;"",INDEX(Kintoneデータ抽出!G:G, _xlfn.AGGREGATE(15, 6, ROW(Kintoneデータ抽出!$K$2:$K$5000) / ((Kintoneデータ抽出!$K$2:$K$5000="院内")), ROW(A158)))&amp;"名",""), "")</f>
        <v/>
      </c>
      <c r="J195" s="76" t="str">
        <f t="array" ref="J195">IFERROR(IF(INDEX(Kintoneデータ抽出!E:E, _xlfn.AGGREGATE(15, 6, ROW(Kintoneデータ抽出!$K$2:$K$5000) / ((Kintoneデータ抽出!$K$2:$K$5000="院内")), ROW(A158)))&lt;&gt;"",
YEAR(INDEX(Kintoneデータ抽出!E:E, _xlfn.AGGREGATE(15, 6, ROW(Kintoneデータ抽出!$K$2:$K$5000) / ((Kintoneデータ抽出!$K$2:$K$5000="院内")), ROW(A158))))&amp;"年"
&amp;MONTH(INDEX(Kintoneデータ抽出!E:E, _xlfn.AGGREGATE(15, 6, ROW(Kintoneデータ抽出!$K$2:$K$5000) / ((Kintoneデータ抽出!$K$2:$K$5000="院内")), ROW(A158))))&amp;"月"
&amp;DAY(INDEX(Kintoneデータ抽出!E:E, _xlfn.AGGREGATE(15, 6, ROW(Kintoneデータ抽出!$K$2:$K$5000) /((Kintoneデータ抽出!$K$2:$K$5000="院内")), ROW(A158))))&amp;"日",""), "")</f>
        <v/>
      </c>
      <c r="K195" s="77" t="str" cm="1">
        <f t="array" ref="K195">IFERROR(IF(INDEX(Kintoneデータ抽出!F:F, _xlfn.AGGREGATE(15, 6, ROW(Kintoneデータ抽出!$K$2:$K$5000) / ((Kintoneデータ抽出!$K$2:$K$5000="院内")), ROW(A158)))&lt;&gt;"",
VLOOKUP(INDEX(Kintoneデータ抽出!F:F, _xlfn.AGGREGATE(15, 6, ROW(Kintoneデータ抽出!$K$2:$K$5000) / ((Kintoneデータ抽出!$K$2:$K$5000="院内")), ROW(A158))),基本開園日の表記!$A$2:$B$13,2,FALSE),""), "")</f>
        <v/>
      </c>
      <c r="L195" s="75" t="str">
        <f t="array" ref="L195">IFERROR(IF(INDEX(Kintoneデータ抽出!F:F, _xlfn.AGGREGATE(15, 6, ROW(Kintoneデータ抽出!$K$2:$K$5000) / ((Kintoneデータ抽出!$K$2:$K$5000="院内")), ROW(A158)))&lt;&gt;"",
IF(COUNTIF(INDEX(Kintoneデータ抽出!F:F, _xlfn.AGGREGATE(15, 6, ROW(Kintoneデータ抽出!$K$2:$K$5000) / ((Kintoneデータ抽出!$K$2:$K$5000="院内")), ROW(A158))),"*あり*"),"夜間",""),""), "")</f>
        <v/>
      </c>
      <c r="M195" s="75" t="str">
        <f t="array" ref="M195">IFERROR(IF(INDEX(Kintoneデータ抽出!I:I, _xlfn.AGGREGATE(15, 6, ROW(Kintoneデータ抽出!$K$2:$K$5000) / ((Kintoneデータ抽出!$K$2:$K$5000="院内")), ROW(A158)))&lt;&gt;"",
IF(COUNTIF(INDEX(Kintoneデータ抽出!I:I, _xlfn.AGGREGATE(15, 6, ROW(Kintoneデータ抽出!$K$2:$K$5000) / ((Kintoneデータ抽出!$K$2:$K$5000="院内")), ROW(A158))),"*あり*"),"学童",""),""), "")</f>
        <v/>
      </c>
      <c r="N195" s="75" t="str">
        <f t="array" ref="N195">IFERROR(IF(INDEX(Kintoneデータ抽出!H:H, _xlfn.AGGREGATE(15, 6, ROW(Kintoneデータ抽出!$K$2:$K$5000) / ((Kintoneデータ抽出!$K$2:$K$5000="院内")), ROW(A158)))&lt;&gt;"",
IF(COUNTIF(INDEX(Kintoneデータ抽出!H:H, _xlfn.AGGREGATE(15, 6, ROW(Kintoneデータ抽出!$K$2:$K$5000) / ((Kintoneデータ抽出!$K$2:$K$5000="院内")), ROW(A158))),"*あり*"),"病児",""),""), "")</f>
        <v/>
      </c>
      <c r="O195" s="94" t="str" cm="1">
        <f t="array" ref="O195">IFERROR(
IF(INDEX(Kintoneデータ抽出!M:M, _xlfn.AGGREGATE(15, 6, ROW(Kintoneデータ抽出!$K$2:$K$5000) / ((Kintoneデータ抽出!$K$2:$K$5000="院内")), ROW(A158)))&lt;&gt;0,INDEX(Kintoneデータ抽出!M:M, _xlfn.AGGREGATE(15, 6, ROW(Kintoneデータ抽出!$K$2:$K$5000) / ((Kintoneデータ抽出!$K$2:$K$5000="院内")), ROW(A158))),""), "")</f>
        <v/>
      </c>
      <c r="P195" s="78" t="str">
        <f t="array" ref="P195">IFERROR(IF(INDEX(Kintoneデータ抽出!L:L, _xlfn.AGGREGATE(15, 6, ROW(Kintoneデータ抽出!$K$2:$K$5000) / ((Kintoneデータ抽出!$K$2:$K$5000="院内")), ROW(A158)))&lt;&gt;"",
IF(COUNTIF(INDEX(Kintoneデータ抽出!L:L, _xlfn.AGGREGATE(15, 6, ROW(Kintoneデータ抽出!$K$2:$K$5000) / ((Kintoneデータ抽出!$K$2:$K$5000="院内")), ROW(A158))),"*企業主導型以外*"),"",
IF(COUNTIF(INDEX(Kintoneデータ抽出!L:L, _xlfn.AGGREGATE(15, 6, ROW(Kintoneデータ抽出!$K$2:$K$5000) / ((Kintoneデータ抽出!$K$2:$K$5000="院内")), ROW(A158))),"*その他*"),"",
IF(COUNTIF(INDEX(Kintoneデータ抽出!L:L, _xlfn.AGGREGATE(15, 6, ROW(Kintoneデータ抽出!$K$2:$K$5000) / ((Kintoneデータ抽出!$K$2:$K$5000="院内")), ROW(A158))),"*新制度*"),"新制度","企業主導型"))),""), "")</f>
        <v/>
      </c>
    </row>
    <row r="196" spans="2:16" ht="34.799999999999997" customHeight="1" x14ac:dyDescent="0.45">
      <c r="B196" s="45"/>
      <c r="C196" s="46"/>
      <c r="D196" s="98" t="str">
        <f t="shared" si="3"/>
        <v/>
      </c>
      <c r="E196" s="99"/>
      <c r="F196" s="75" t="str">
        <f t="array" ref="F196">IFERROR(INDEX(Kintoneデータ抽出!A:A, _xlfn.AGGREGATE(15, 6, ROW(Kintoneデータ抽出!$K$2:$K$5000) / ((Kintoneデータ抽出!$K$2:$K$5000="院内")), ROW(A159))), "")</f>
        <v/>
      </c>
      <c r="G196" s="77" t="str">
        <f t="array" ref="G196">IFERROR(INDEX(Kintoneデータ抽出!D:D, _xlfn.AGGREGATE(15, 6, ROW(Kintoneデータ抽出!$K$2:$K$5000) / ((Kintoneデータ抽出!$K$2:$K$5000="院内")), ROW(A159))), "")</f>
        <v/>
      </c>
      <c r="H196" s="77" t="str">
        <f t="array" ref="H196">IFERROR(INDEX(Kintoneデータ抽出!C:C, _xlfn.AGGREGATE(15, 6, ROW(Kintoneデータ抽出!$K$2:$K$5000) / ((Kintoneデータ抽出!$K$2:$K$5000="院内")), ROW(A159))), "")</f>
        <v/>
      </c>
      <c r="I196" s="75" t="str">
        <f t="array" ref="I196">IFERROR(IF(INDEX(Kintoneデータ抽出!G:G, _xlfn.AGGREGATE(15, 6, ROW(Kintoneデータ抽出!$K$2:$K$5000) / ((Kintoneデータ抽出!$K$2:$K$5000="院内")), ROW(A159)))&lt;&gt;"",INDEX(Kintoneデータ抽出!G:G, _xlfn.AGGREGATE(15, 6, ROW(Kintoneデータ抽出!$K$2:$K$5000) / ((Kintoneデータ抽出!$K$2:$K$5000="院内")), ROW(A159)))&amp;"名",""), "")</f>
        <v/>
      </c>
      <c r="J196" s="76" t="str">
        <f t="array" ref="J196">IFERROR(IF(INDEX(Kintoneデータ抽出!E:E, _xlfn.AGGREGATE(15, 6, ROW(Kintoneデータ抽出!$K$2:$K$5000) / ((Kintoneデータ抽出!$K$2:$K$5000="院内")), ROW(A159)))&lt;&gt;"",
YEAR(INDEX(Kintoneデータ抽出!E:E, _xlfn.AGGREGATE(15, 6, ROW(Kintoneデータ抽出!$K$2:$K$5000) / ((Kintoneデータ抽出!$K$2:$K$5000="院内")), ROW(A159))))&amp;"年"
&amp;MONTH(INDEX(Kintoneデータ抽出!E:E, _xlfn.AGGREGATE(15, 6, ROW(Kintoneデータ抽出!$K$2:$K$5000) / ((Kintoneデータ抽出!$K$2:$K$5000="院内")), ROW(A159))))&amp;"月"
&amp;DAY(INDEX(Kintoneデータ抽出!E:E, _xlfn.AGGREGATE(15, 6, ROW(Kintoneデータ抽出!$K$2:$K$5000) /((Kintoneデータ抽出!$K$2:$K$5000="院内")), ROW(A159))))&amp;"日",""), "")</f>
        <v/>
      </c>
      <c r="K196" s="77" t="str" cm="1">
        <f t="array" ref="K196">IFERROR(IF(INDEX(Kintoneデータ抽出!F:F, _xlfn.AGGREGATE(15, 6, ROW(Kintoneデータ抽出!$K$2:$K$5000) / ((Kintoneデータ抽出!$K$2:$K$5000="院内")), ROW(A159)))&lt;&gt;"",
VLOOKUP(INDEX(Kintoneデータ抽出!F:F, _xlfn.AGGREGATE(15, 6, ROW(Kintoneデータ抽出!$K$2:$K$5000) / ((Kintoneデータ抽出!$K$2:$K$5000="院内")), ROW(A159))),基本開園日の表記!$A$2:$B$13,2,FALSE),""), "")</f>
        <v/>
      </c>
      <c r="L196" s="75" t="str">
        <f t="array" ref="L196">IFERROR(IF(INDEX(Kintoneデータ抽出!F:F, _xlfn.AGGREGATE(15, 6, ROW(Kintoneデータ抽出!$K$2:$K$5000) / ((Kintoneデータ抽出!$K$2:$K$5000="院内")), ROW(A159)))&lt;&gt;"",
IF(COUNTIF(INDEX(Kintoneデータ抽出!F:F, _xlfn.AGGREGATE(15, 6, ROW(Kintoneデータ抽出!$K$2:$K$5000) / ((Kintoneデータ抽出!$K$2:$K$5000="院内")), ROW(A159))),"*あり*"),"夜間",""),""), "")</f>
        <v/>
      </c>
      <c r="M196" s="75" t="str">
        <f t="array" ref="M196">IFERROR(IF(INDEX(Kintoneデータ抽出!I:I, _xlfn.AGGREGATE(15, 6, ROW(Kintoneデータ抽出!$K$2:$K$5000) / ((Kintoneデータ抽出!$K$2:$K$5000="院内")), ROW(A159)))&lt;&gt;"",
IF(COUNTIF(INDEX(Kintoneデータ抽出!I:I, _xlfn.AGGREGATE(15, 6, ROW(Kintoneデータ抽出!$K$2:$K$5000) / ((Kintoneデータ抽出!$K$2:$K$5000="院内")), ROW(A159))),"*あり*"),"学童",""),""), "")</f>
        <v/>
      </c>
      <c r="N196" s="75" t="str">
        <f t="array" ref="N196">IFERROR(IF(INDEX(Kintoneデータ抽出!H:H, _xlfn.AGGREGATE(15, 6, ROW(Kintoneデータ抽出!$K$2:$K$5000) / ((Kintoneデータ抽出!$K$2:$K$5000="院内")), ROW(A159)))&lt;&gt;"",
IF(COUNTIF(INDEX(Kintoneデータ抽出!H:H, _xlfn.AGGREGATE(15, 6, ROW(Kintoneデータ抽出!$K$2:$K$5000) / ((Kintoneデータ抽出!$K$2:$K$5000="院内")), ROW(A159))),"*あり*"),"病児",""),""), "")</f>
        <v/>
      </c>
      <c r="O196" s="94" t="str" cm="1">
        <f t="array" ref="O196">IFERROR(
IF(INDEX(Kintoneデータ抽出!M:M, _xlfn.AGGREGATE(15, 6, ROW(Kintoneデータ抽出!$K$2:$K$5000) / ((Kintoneデータ抽出!$K$2:$K$5000="院内")), ROW(A159)))&lt;&gt;0,INDEX(Kintoneデータ抽出!M:M, _xlfn.AGGREGATE(15, 6, ROW(Kintoneデータ抽出!$K$2:$K$5000) / ((Kintoneデータ抽出!$K$2:$K$5000="院内")), ROW(A159))),""), "")</f>
        <v/>
      </c>
      <c r="P196" s="78" t="str">
        <f t="array" ref="P196">IFERROR(IF(INDEX(Kintoneデータ抽出!L:L, _xlfn.AGGREGATE(15, 6, ROW(Kintoneデータ抽出!$K$2:$K$5000) / ((Kintoneデータ抽出!$K$2:$K$5000="院内")), ROW(A159)))&lt;&gt;"",
IF(COUNTIF(INDEX(Kintoneデータ抽出!L:L, _xlfn.AGGREGATE(15, 6, ROW(Kintoneデータ抽出!$K$2:$K$5000) / ((Kintoneデータ抽出!$K$2:$K$5000="院内")), ROW(A159))),"*企業主導型以外*"),"",
IF(COUNTIF(INDEX(Kintoneデータ抽出!L:L, _xlfn.AGGREGATE(15, 6, ROW(Kintoneデータ抽出!$K$2:$K$5000) / ((Kintoneデータ抽出!$K$2:$K$5000="院内")), ROW(A159))),"*その他*"),"",
IF(COUNTIF(INDEX(Kintoneデータ抽出!L:L, _xlfn.AGGREGATE(15, 6, ROW(Kintoneデータ抽出!$K$2:$K$5000) / ((Kintoneデータ抽出!$K$2:$K$5000="院内")), ROW(A159))),"*新制度*"),"新制度","企業主導型"))),""), "")</f>
        <v/>
      </c>
    </row>
    <row r="197" spans="2:16" ht="34.799999999999997" customHeight="1" x14ac:dyDescent="0.45">
      <c r="B197" s="45"/>
      <c r="C197" s="46"/>
      <c r="D197" s="98" t="str">
        <f t="shared" si="3"/>
        <v/>
      </c>
      <c r="E197" s="99"/>
      <c r="F197" s="75" t="str">
        <f t="array" ref="F197">IFERROR(INDEX(Kintoneデータ抽出!A:A, _xlfn.AGGREGATE(15, 6, ROW(Kintoneデータ抽出!$K$2:$K$5000) / ((Kintoneデータ抽出!$K$2:$K$5000="院内")), ROW(A160))), "")</f>
        <v/>
      </c>
      <c r="G197" s="77" t="str">
        <f t="array" ref="G197">IFERROR(INDEX(Kintoneデータ抽出!D:D, _xlfn.AGGREGATE(15, 6, ROW(Kintoneデータ抽出!$K$2:$K$5000) / ((Kintoneデータ抽出!$K$2:$K$5000="院内")), ROW(A160))), "")</f>
        <v/>
      </c>
      <c r="H197" s="77" t="str">
        <f t="array" ref="H197">IFERROR(INDEX(Kintoneデータ抽出!C:C, _xlfn.AGGREGATE(15, 6, ROW(Kintoneデータ抽出!$K$2:$K$5000) / ((Kintoneデータ抽出!$K$2:$K$5000="院内")), ROW(A160))), "")</f>
        <v/>
      </c>
      <c r="I197" s="75" t="str">
        <f t="array" ref="I197">IFERROR(IF(INDEX(Kintoneデータ抽出!G:G, _xlfn.AGGREGATE(15, 6, ROW(Kintoneデータ抽出!$K$2:$K$5000) / ((Kintoneデータ抽出!$K$2:$K$5000="院内")), ROW(A160)))&lt;&gt;"",INDEX(Kintoneデータ抽出!G:G, _xlfn.AGGREGATE(15, 6, ROW(Kintoneデータ抽出!$K$2:$K$5000) / ((Kintoneデータ抽出!$K$2:$K$5000="院内")), ROW(A160)))&amp;"名",""), "")</f>
        <v/>
      </c>
      <c r="J197" s="76" t="str">
        <f t="array" ref="J197">IFERROR(IF(INDEX(Kintoneデータ抽出!E:E, _xlfn.AGGREGATE(15, 6, ROW(Kintoneデータ抽出!$K$2:$K$5000) / ((Kintoneデータ抽出!$K$2:$K$5000="院内")), ROW(A160)))&lt;&gt;"",
YEAR(INDEX(Kintoneデータ抽出!E:E, _xlfn.AGGREGATE(15, 6, ROW(Kintoneデータ抽出!$K$2:$K$5000) / ((Kintoneデータ抽出!$K$2:$K$5000="院内")), ROW(A160))))&amp;"年"
&amp;MONTH(INDEX(Kintoneデータ抽出!E:E, _xlfn.AGGREGATE(15, 6, ROW(Kintoneデータ抽出!$K$2:$K$5000) / ((Kintoneデータ抽出!$K$2:$K$5000="院内")), ROW(A160))))&amp;"月"
&amp;DAY(INDEX(Kintoneデータ抽出!E:E, _xlfn.AGGREGATE(15, 6, ROW(Kintoneデータ抽出!$K$2:$K$5000) /((Kintoneデータ抽出!$K$2:$K$5000="院内")), ROW(A160))))&amp;"日",""), "")</f>
        <v/>
      </c>
      <c r="K197" s="77" t="str" cm="1">
        <f t="array" ref="K197">IFERROR(IF(INDEX(Kintoneデータ抽出!F:F, _xlfn.AGGREGATE(15, 6, ROW(Kintoneデータ抽出!$K$2:$K$5000) / ((Kintoneデータ抽出!$K$2:$K$5000="院内")), ROW(A160)))&lt;&gt;"",
VLOOKUP(INDEX(Kintoneデータ抽出!F:F, _xlfn.AGGREGATE(15, 6, ROW(Kintoneデータ抽出!$K$2:$K$5000) / ((Kintoneデータ抽出!$K$2:$K$5000="院内")), ROW(A160))),基本開園日の表記!$A$2:$B$13,2,FALSE),""), "")</f>
        <v/>
      </c>
      <c r="L197" s="75" t="str">
        <f t="array" ref="L197">IFERROR(IF(INDEX(Kintoneデータ抽出!F:F, _xlfn.AGGREGATE(15, 6, ROW(Kintoneデータ抽出!$K$2:$K$5000) / ((Kintoneデータ抽出!$K$2:$K$5000="院内")), ROW(A160)))&lt;&gt;"",
IF(COUNTIF(INDEX(Kintoneデータ抽出!F:F, _xlfn.AGGREGATE(15, 6, ROW(Kintoneデータ抽出!$K$2:$K$5000) / ((Kintoneデータ抽出!$K$2:$K$5000="院内")), ROW(A160))),"*あり*"),"夜間",""),""), "")</f>
        <v/>
      </c>
      <c r="M197" s="75" t="str">
        <f t="array" ref="M197">IFERROR(IF(INDEX(Kintoneデータ抽出!I:I, _xlfn.AGGREGATE(15, 6, ROW(Kintoneデータ抽出!$K$2:$K$5000) / ((Kintoneデータ抽出!$K$2:$K$5000="院内")), ROW(A160)))&lt;&gt;"",
IF(COUNTIF(INDEX(Kintoneデータ抽出!I:I, _xlfn.AGGREGATE(15, 6, ROW(Kintoneデータ抽出!$K$2:$K$5000) / ((Kintoneデータ抽出!$K$2:$K$5000="院内")), ROW(A160))),"*あり*"),"学童",""),""), "")</f>
        <v/>
      </c>
      <c r="N197" s="75" t="str">
        <f t="array" ref="N197">IFERROR(IF(INDEX(Kintoneデータ抽出!H:H, _xlfn.AGGREGATE(15, 6, ROW(Kintoneデータ抽出!$K$2:$K$5000) / ((Kintoneデータ抽出!$K$2:$K$5000="院内")), ROW(A160)))&lt;&gt;"",
IF(COUNTIF(INDEX(Kintoneデータ抽出!H:H, _xlfn.AGGREGATE(15, 6, ROW(Kintoneデータ抽出!$K$2:$K$5000) / ((Kintoneデータ抽出!$K$2:$K$5000="院内")), ROW(A160))),"*あり*"),"病児",""),""), "")</f>
        <v/>
      </c>
      <c r="O197" s="94" t="str" cm="1">
        <f t="array" ref="O197">IFERROR(
IF(INDEX(Kintoneデータ抽出!M:M, _xlfn.AGGREGATE(15, 6, ROW(Kintoneデータ抽出!$K$2:$K$5000) / ((Kintoneデータ抽出!$K$2:$K$5000="院内")), ROW(A160)))&lt;&gt;0,INDEX(Kintoneデータ抽出!M:M, _xlfn.AGGREGATE(15, 6, ROW(Kintoneデータ抽出!$K$2:$K$5000) / ((Kintoneデータ抽出!$K$2:$K$5000="院内")), ROW(A160))),""), "")</f>
        <v/>
      </c>
      <c r="P197" s="78" t="str">
        <f t="array" ref="P197">IFERROR(IF(INDEX(Kintoneデータ抽出!L:L, _xlfn.AGGREGATE(15, 6, ROW(Kintoneデータ抽出!$K$2:$K$5000) / ((Kintoneデータ抽出!$K$2:$K$5000="院内")), ROW(A160)))&lt;&gt;"",
IF(COUNTIF(INDEX(Kintoneデータ抽出!L:L, _xlfn.AGGREGATE(15, 6, ROW(Kintoneデータ抽出!$K$2:$K$5000) / ((Kintoneデータ抽出!$K$2:$K$5000="院内")), ROW(A160))),"*企業主導型以外*"),"",
IF(COUNTIF(INDEX(Kintoneデータ抽出!L:L, _xlfn.AGGREGATE(15, 6, ROW(Kintoneデータ抽出!$K$2:$K$5000) / ((Kintoneデータ抽出!$K$2:$K$5000="院内")), ROW(A160))),"*その他*"),"",
IF(COUNTIF(INDEX(Kintoneデータ抽出!L:L, _xlfn.AGGREGATE(15, 6, ROW(Kintoneデータ抽出!$K$2:$K$5000) / ((Kintoneデータ抽出!$K$2:$K$5000="院内")), ROW(A160))),"*新制度*"),"新制度","企業主導型"))),""), "")</f>
        <v/>
      </c>
    </row>
    <row r="198" spans="2:16" ht="34.799999999999997" customHeight="1" x14ac:dyDescent="0.45">
      <c r="B198" s="45"/>
      <c r="C198" s="46"/>
      <c r="D198" s="98" t="str">
        <f t="shared" si="3"/>
        <v/>
      </c>
      <c r="E198" s="99"/>
      <c r="F198" s="75" t="str">
        <f t="array" ref="F198">IFERROR(INDEX(Kintoneデータ抽出!A:A, _xlfn.AGGREGATE(15, 6, ROW(Kintoneデータ抽出!$K$2:$K$5000) / ((Kintoneデータ抽出!$K$2:$K$5000="院内")), ROW(A161))), "")</f>
        <v/>
      </c>
      <c r="G198" s="77" t="str">
        <f t="array" ref="G198">IFERROR(INDEX(Kintoneデータ抽出!D:D, _xlfn.AGGREGATE(15, 6, ROW(Kintoneデータ抽出!$K$2:$K$5000) / ((Kintoneデータ抽出!$K$2:$K$5000="院内")), ROW(A161))), "")</f>
        <v/>
      </c>
      <c r="H198" s="77" t="str">
        <f t="array" ref="H198">IFERROR(INDEX(Kintoneデータ抽出!C:C, _xlfn.AGGREGATE(15, 6, ROW(Kintoneデータ抽出!$K$2:$K$5000) / ((Kintoneデータ抽出!$K$2:$K$5000="院内")), ROW(A161))), "")</f>
        <v/>
      </c>
      <c r="I198" s="75" t="str">
        <f t="array" ref="I198">IFERROR(IF(INDEX(Kintoneデータ抽出!G:G, _xlfn.AGGREGATE(15, 6, ROW(Kintoneデータ抽出!$K$2:$K$5000) / ((Kintoneデータ抽出!$K$2:$K$5000="院内")), ROW(A161)))&lt;&gt;"",INDEX(Kintoneデータ抽出!G:G, _xlfn.AGGREGATE(15, 6, ROW(Kintoneデータ抽出!$K$2:$K$5000) / ((Kintoneデータ抽出!$K$2:$K$5000="院内")), ROW(A161)))&amp;"名",""), "")</f>
        <v/>
      </c>
      <c r="J198" s="76" t="str">
        <f t="array" ref="J198">IFERROR(IF(INDEX(Kintoneデータ抽出!E:E, _xlfn.AGGREGATE(15, 6, ROW(Kintoneデータ抽出!$K$2:$K$5000) / ((Kintoneデータ抽出!$K$2:$K$5000="院内")), ROW(A161)))&lt;&gt;"",
YEAR(INDEX(Kintoneデータ抽出!E:E, _xlfn.AGGREGATE(15, 6, ROW(Kintoneデータ抽出!$K$2:$K$5000) / ((Kintoneデータ抽出!$K$2:$K$5000="院内")), ROW(A161))))&amp;"年"
&amp;MONTH(INDEX(Kintoneデータ抽出!E:E, _xlfn.AGGREGATE(15, 6, ROW(Kintoneデータ抽出!$K$2:$K$5000) / ((Kintoneデータ抽出!$K$2:$K$5000="院内")), ROW(A161))))&amp;"月"
&amp;DAY(INDEX(Kintoneデータ抽出!E:E, _xlfn.AGGREGATE(15, 6, ROW(Kintoneデータ抽出!$K$2:$K$5000) /((Kintoneデータ抽出!$K$2:$K$5000="院内")), ROW(A161))))&amp;"日",""), "")</f>
        <v/>
      </c>
      <c r="K198" s="77" t="str" cm="1">
        <f t="array" ref="K198">IFERROR(IF(INDEX(Kintoneデータ抽出!F:F, _xlfn.AGGREGATE(15, 6, ROW(Kintoneデータ抽出!$K$2:$K$5000) / ((Kintoneデータ抽出!$K$2:$K$5000="院内")), ROW(A161)))&lt;&gt;"",
VLOOKUP(INDEX(Kintoneデータ抽出!F:F, _xlfn.AGGREGATE(15, 6, ROW(Kintoneデータ抽出!$K$2:$K$5000) / ((Kintoneデータ抽出!$K$2:$K$5000="院内")), ROW(A161))),基本開園日の表記!$A$2:$B$13,2,FALSE),""), "")</f>
        <v/>
      </c>
      <c r="L198" s="75" t="str">
        <f t="array" ref="L198">IFERROR(IF(INDEX(Kintoneデータ抽出!F:F, _xlfn.AGGREGATE(15, 6, ROW(Kintoneデータ抽出!$K$2:$K$5000) / ((Kintoneデータ抽出!$K$2:$K$5000="院内")), ROW(A161)))&lt;&gt;"",
IF(COUNTIF(INDEX(Kintoneデータ抽出!F:F, _xlfn.AGGREGATE(15, 6, ROW(Kintoneデータ抽出!$K$2:$K$5000) / ((Kintoneデータ抽出!$K$2:$K$5000="院内")), ROW(A161))),"*あり*"),"夜間",""),""), "")</f>
        <v/>
      </c>
      <c r="M198" s="75" t="str">
        <f t="array" ref="M198">IFERROR(IF(INDEX(Kintoneデータ抽出!I:I, _xlfn.AGGREGATE(15, 6, ROW(Kintoneデータ抽出!$K$2:$K$5000) / ((Kintoneデータ抽出!$K$2:$K$5000="院内")), ROW(A161)))&lt;&gt;"",
IF(COUNTIF(INDEX(Kintoneデータ抽出!I:I, _xlfn.AGGREGATE(15, 6, ROW(Kintoneデータ抽出!$K$2:$K$5000) / ((Kintoneデータ抽出!$K$2:$K$5000="院内")), ROW(A161))),"*あり*"),"学童",""),""), "")</f>
        <v/>
      </c>
      <c r="N198" s="75" t="str">
        <f t="array" ref="N198">IFERROR(IF(INDEX(Kintoneデータ抽出!H:H, _xlfn.AGGREGATE(15, 6, ROW(Kintoneデータ抽出!$K$2:$K$5000) / ((Kintoneデータ抽出!$K$2:$K$5000="院内")), ROW(A161)))&lt;&gt;"",
IF(COUNTIF(INDEX(Kintoneデータ抽出!H:H, _xlfn.AGGREGATE(15, 6, ROW(Kintoneデータ抽出!$K$2:$K$5000) / ((Kintoneデータ抽出!$K$2:$K$5000="院内")), ROW(A161))),"*あり*"),"病児",""),""), "")</f>
        <v/>
      </c>
      <c r="O198" s="94" t="str" cm="1">
        <f t="array" ref="O198">IFERROR(
IF(INDEX(Kintoneデータ抽出!M:M, _xlfn.AGGREGATE(15, 6, ROW(Kintoneデータ抽出!$K$2:$K$5000) / ((Kintoneデータ抽出!$K$2:$K$5000="院内")), ROW(A161)))&lt;&gt;0,INDEX(Kintoneデータ抽出!M:M, _xlfn.AGGREGATE(15, 6, ROW(Kintoneデータ抽出!$K$2:$K$5000) / ((Kintoneデータ抽出!$K$2:$K$5000="院内")), ROW(A161))),""), "")</f>
        <v/>
      </c>
      <c r="P198" s="78" t="str">
        <f t="array" ref="P198">IFERROR(IF(INDEX(Kintoneデータ抽出!L:L, _xlfn.AGGREGATE(15, 6, ROW(Kintoneデータ抽出!$K$2:$K$5000) / ((Kintoneデータ抽出!$K$2:$K$5000="院内")), ROW(A161)))&lt;&gt;"",
IF(COUNTIF(INDEX(Kintoneデータ抽出!L:L, _xlfn.AGGREGATE(15, 6, ROW(Kintoneデータ抽出!$K$2:$K$5000) / ((Kintoneデータ抽出!$K$2:$K$5000="院内")), ROW(A161))),"*企業主導型以外*"),"",
IF(COUNTIF(INDEX(Kintoneデータ抽出!L:L, _xlfn.AGGREGATE(15, 6, ROW(Kintoneデータ抽出!$K$2:$K$5000) / ((Kintoneデータ抽出!$K$2:$K$5000="院内")), ROW(A161))),"*その他*"),"",
IF(COUNTIF(INDEX(Kintoneデータ抽出!L:L, _xlfn.AGGREGATE(15, 6, ROW(Kintoneデータ抽出!$K$2:$K$5000) / ((Kintoneデータ抽出!$K$2:$K$5000="院内")), ROW(A161))),"*新制度*"),"新制度","企業主導型"))),""), "")</f>
        <v/>
      </c>
    </row>
    <row r="199" spans="2:16" ht="34.799999999999997" customHeight="1" x14ac:dyDescent="0.45">
      <c r="B199" s="45"/>
      <c r="C199" s="46"/>
      <c r="D199" s="98" t="str">
        <f t="shared" si="3"/>
        <v/>
      </c>
      <c r="E199" s="99"/>
      <c r="F199" s="75" t="str">
        <f t="array" ref="F199">IFERROR(INDEX(Kintoneデータ抽出!A:A, _xlfn.AGGREGATE(15, 6, ROW(Kintoneデータ抽出!$K$2:$K$5000) / ((Kintoneデータ抽出!$K$2:$K$5000="院内")), ROW(A162))), "")</f>
        <v/>
      </c>
      <c r="G199" s="77" t="str">
        <f t="array" ref="G199">IFERROR(INDEX(Kintoneデータ抽出!D:D, _xlfn.AGGREGATE(15, 6, ROW(Kintoneデータ抽出!$K$2:$K$5000) / ((Kintoneデータ抽出!$K$2:$K$5000="院内")), ROW(A162))), "")</f>
        <v/>
      </c>
      <c r="H199" s="77" t="str">
        <f t="array" ref="H199">IFERROR(INDEX(Kintoneデータ抽出!C:C, _xlfn.AGGREGATE(15, 6, ROW(Kintoneデータ抽出!$K$2:$K$5000) / ((Kintoneデータ抽出!$K$2:$K$5000="院内")), ROW(A162))), "")</f>
        <v/>
      </c>
      <c r="I199" s="75" t="str">
        <f t="array" ref="I199">IFERROR(IF(INDEX(Kintoneデータ抽出!G:G, _xlfn.AGGREGATE(15, 6, ROW(Kintoneデータ抽出!$K$2:$K$5000) / ((Kintoneデータ抽出!$K$2:$K$5000="院内")), ROW(A162)))&lt;&gt;"",INDEX(Kintoneデータ抽出!G:G, _xlfn.AGGREGATE(15, 6, ROW(Kintoneデータ抽出!$K$2:$K$5000) / ((Kintoneデータ抽出!$K$2:$K$5000="院内")), ROW(A162)))&amp;"名",""), "")</f>
        <v/>
      </c>
      <c r="J199" s="76" t="str">
        <f t="array" ref="J199">IFERROR(IF(INDEX(Kintoneデータ抽出!E:E, _xlfn.AGGREGATE(15, 6, ROW(Kintoneデータ抽出!$K$2:$K$5000) / ((Kintoneデータ抽出!$K$2:$K$5000="院内")), ROW(A162)))&lt;&gt;"",
YEAR(INDEX(Kintoneデータ抽出!E:E, _xlfn.AGGREGATE(15, 6, ROW(Kintoneデータ抽出!$K$2:$K$5000) / ((Kintoneデータ抽出!$K$2:$K$5000="院内")), ROW(A162))))&amp;"年"
&amp;MONTH(INDEX(Kintoneデータ抽出!E:E, _xlfn.AGGREGATE(15, 6, ROW(Kintoneデータ抽出!$K$2:$K$5000) / ((Kintoneデータ抽出!$K$2:$K$5000="院内")), ROW(A162))))&amp;"月"
&amp;DAY(INDEX(Kintoneデータ抽出!E:E, _xlfn.AGGREGATE(15, 6, ROW(Kintoneデータ抽出!$K$2:$K$5000) /((Kintoneデータ抽出!$K$2:$K$5000="院内")), ROW(A162))))&amp;"日",""), "")</f>
        <v/>
      </c>
      <c r="K199" s="77" t="str" cm="1">
        <f t="array" ref="K199">IFERROR(IF(INDEX(Kintoneデータ抽出!F:F, _xlfn.AGGREGATE(15, 6, ROW(Kintoneデータ抽出!$K$2:$K$5000) / ((Kintoneデータ抽出!$K$2:$K$5000="院内")), ROW(A162)))&lt;&gt;"",
VLOOKUP(INDEX(Kintoneデータ抽出!F:F, _xlfn.AGGREGATE(15, 6, ROW(Kintoneデータ抽出!$K$2:$K$5000) / ((Kintoneデータ抽出!$K$2:$K$5000="院内")), ROW(A162))),基本開園日の表記!$A$2:$B$13,2,FALSE),""), "")</f>
        <v/>
      </c>
      <c r="L199" s="75" t="str">
        <f t="array" ref="L199">IFERROR(IF(INDEX(Kintoneデータ抽出!F:F, _xlfn.AGGREGATE(15, 6, ROW(Kintoneデータ抽出!$K$2:$K$5000) / ((Kintoneデータ抽出!$K$2:$K$5000="院内")), ROW(A162)))&lt;&gt;"",
IF(COUNTIF(INDEX(Kintoneデータ抽出!F:F, _xlfn.AGGREGATE(15, 6, ROW(Kintoneデータ抽出!$K$2:$K$5000) / ((Kintoneデータ抽出!$K$2:$K$5000="院内")), ROW(A162))),"*あり*"),"夜間",""),""), "")</f>
        <v/>
      </c>
      <c r="M199" s="75" t="str">
        <f t="array" ref="M199">IFERROR(IF(INDEX(Kintoneデータ抽出!I:I, _xlfn.AGGREGATE(15, 6, ROW(Kintoneデータ抽出!$K$2:$K$5000) / ((Kintoneデータ抽出!$K$2:$K$5000="院内")), ROW(A162)))&lt;&gt;"",
IF(COUNTIF(INDEX(Kintoneデータ抽出!I:I, _xlfn.AGGREGATE(15, 6, ROW(Kintoneデータ抽出!$K$2:$K$5000) / ((Kintoneデータ抽出!$K$2:$K$5000="院内")), ROW(A162))),"*あり*"),"学童",""),""), "")</f>
        <v/>
      </c>
      <c r="N199" s="75" t="str">
        <f t="array" ref="N199">IFERROR(IF(INDEX(Kintoneデータ抽出!H:H, _xlfn.AGGREGATE(15, 6, ROW(Kintoneデータ抽出!$K$2:$K$5000) / ((Kintoneデータ抽出!$K$2:$K$5000="院内")), ROW(A162)))&lt;&gt;"",
IF(COUNTIF(INDEX(Kintoneデータ抽出!H:H, _xlfn.AGGREGATE(15, 6, ROW(Kintoneデータ抽出!$K$2:$K$5000) / ((Kintoneデータ抽出!$K$2:$K$5000="院内")), ROW(A162))),"*あり*"),"病児",""),""), "")</f>
        <v/>
      </c>
      <c r="O199" s="94" t="str" cm="1">
        <f t="array" ref="O199">IFERROR(
IF(INDEX(Kintoneデータ抽出!M:M, _xlfn.AGGREGATE(15, 6, ROW(Kintoneデータ抽出!$K$2:$K$5000) / ((Kintoneデータ抽出!$K$2:$K$5000="院内")), ROW(A162)))&lt;&gt;0,INDEX(Kintoneデータ抽出!M:M, _xlfn.AGGREGATE(15, 6, ROW(Kintoneデータ抽出!$K$2:$K$5000) / ((Kintoneデータ抽出!$K$2:$K$5000="院内")), ROW(A162))),""), "")</f>
        <v/>
      </c>
      <c r="P199" s="78" t="str">
        <f t="array" ref="P199">IFERROR(IF(INDEX(Kintoneデータ抽出!L:L, _xlfn.AGGREGATE(15, 6, ROW(Kintoneデータ抽出!$K$2:$K$5000) / ((Kintoneデータ抽出!$K$2:$K$5000="院内")), ROW(A162)))&lt;&gt;"",
IF(COUNTIF(INDEX(Kintoneデータ抽出!L:L, _xlfn.AGGREGATE(15, 6, ROW(Kintoneデータ抽出!$K$2:$K$5000) / ((Kintoneデータ抽出!$K$2:$K$5000="院内")), ROW(A162))),"*企業主導型以外*"),"",
IF(COUNTIF(INDEX(Kintoneデータ抽出!L:L, _xlfn.AGGREGATE(15, 6, ROW(Kintoneデータ抽出!$K$2:$K$5000) / ((Kintoneデータ抽出!$K$2:$K$5000="院内")), ROW(A162))),"*その他*"),"",
IF(COUNTIF(INDEX(Kintoneデータ抽出!L:L, _xlfn.AGGREGATE(15, 6, ROW(Kintoneデータ抽出!$K$2:$K$5000) / ((Kintoneデータ抽出!$K$2:$K$5000="院内")), ROW(A162))),"*新制度*"),"新制度","企業主導型"))),""), "")</f>
        <v/>
      </c>
    </row>
    <row r="200" spans="2:16" ht="34.799999999999997" customHeight="1" x14ac:dyDescent="0.45">
      <c r="B200" s="28"/>
      <c r="C200" s="29"/>
      <c r="D200" s="98" t="str">
        <f t="shared" si="3"/>
        <v/>
      </c>
      <c r="E200" s="99"/>
      <c r="F200" s="75" t="str">
        <f t="array" ref="F200">IFERROR(INDEX(Kintoneデータ抽出!A:A, _xlfn.AGGREGATE(15, 6, ROW(Kintoneデータ抽出!$K$2:$K$5000) / ((Kintoneデータ抽出!$K$2:$K$5000="院内")), ROW(A163))), "")</f>
        <v/>
      </c>
      <c r="G200" s="77" t="str">
        <f t="array" ref="G200">IFERROR(INDEX(Kintoneデータ抽出!D:D, _xlfn.AGGREGATE(15, 6, ROW(Kintoneデータ抽出!$K$2:$K$5000) / ((Kintoneデータ抽出!$K$2:$K$5000="院内")), ROW(A163))), "")</f>
        <v/>
      </c>
      <c r="H200" s="77" t="str">
        <f t="array" ref="H200">IFERROR(INDEX(Kintoneデータ抽出!C:C, _xlfn.AGGREGATE(15, 6, ROW(Kintoneデータ抽出!$K$2:$K$5000) / ((Kintoneデータ抽出!$K$2:$K$5000="院内")), ROW(A163))), "")</f>
        <v/>
      </c>
      <c r="I200" s="75" t="str">
        <f t="array" ref="I200">IFERROR(IF(INDEX(Kintoneデータ抽出!G:G, _xlfn.AGGREGATE(15, 6, ROW(Kintoneデータ抽出!$K$2:$K$5000) / ((Kintoneデータ抽出!$K$2:$K$5000="院内")), ROW(A163)))&lt;&gt;"",INDEX(Kintoneデータ抽出!G:G, _xlfn.AGGREGATE(15, 6, ROW(Kintoneデータ抽出!$K$2:$K$5000) / ((Kintoneデータ抽出!$K$2:$K$5000="院内")), ROW(A163)))&amp;"名",""), "")</f>
        <v/>
      </c>
      <c r="J200" s="76" t="str">
        <f t="array" ref="J200">IFERROR(IF(INDEX(Kintoneデータ抽出!E:E, _xlfn.AGGREGATE(15, 6, ROW(Kintoneデータ抽出!$K$2:$K$5000) / ((Kintoneデータ抽出!$K$2:$K$5000="院内")), ROW(A163)))&lt;&gt;"",
YEAR(INDEX(Kintoneデータ抽出!E:E, _xlfn.AGGREGATE(15, 6, ROW(Kintoneデータ抽出!$K$2:$K$5000) / ((Kintoneデータ抽出!$K$2:$K$5000="院内")), ROW(A163))))&amp;"年"
&amp;MONTH(INDEX(Kintoneデータ抽出!E:E, _xlfn.AGGREGATE(15, 6, ROW(Kintoneデータ抽出!$K$2:$K$5000) / ((Kintoneデータ抽出!$K$2:$K$5000="院内")), ROW(A163))))&amp;"月"
&amp;DAY(INDEX(Kintoneデータ抽出!E:E, _xlfn.AGGREGATE(15, 6, ROW(Kintoneデータ抽出!$K$2:$K$5000) /((Kintoneデータ抽出!$K$2:$K$5000="院内")), ROW(A163))))&amp;"日",""), "")</f>
        <v/>
      </c>
      <c r="K200" s="77" t="str" cm="1">
        <f t="array" ref="K200">IFERROR(IF(INDEX(Kintoneデータ抽出!F:F, _xlfn.AGGREGATE(15, 6, ROW(Kintoneデータ抽出!$K$2:$K$5000) / ((Kintoneデータ抽出!$K$2:$K$5000="院内")), ROW(A163)))&lt;&gt;"",
VLOOKUP(INDEX(Kintoneデータ抽出!F:F, _xlfn.AGGREGATE(15, 6, ROW(Kintoneデータ抽出!$K$2:$K$5000) / ((Kintoneデータ抽出!$K$2:$K$5000="院内")), ROW(A163))),基本開園日の表記!$A$2:$B$13,2,FALSE),""), "")</f>
        <v/>
      </c>
      <c r="L200" s="75" t="str">
        <f t="array" ref="L200">IFERROR(IF(INDEX(Kintoneデータ抽出!F:F, _xlfn.AGGREGATE(15, 6, ROW(Kintoneデータ抽出!$K$2:$K$5000) / ((Kintoneデータ抽出!$K$2:$K$5000="院内")), ROW(A163)))&lt;&gt;"",
IF(COUNTIF(INDEX(Kintoneデータ抽出!F:F, _xlfn.AGGREGATE(15, 6, ROW(Kintoneデータ抽出!$K$2:$K$5000) / ((Kintoneデータ抽出!$K$2:$K$5000="院内")), ROW(A163))),"*あり*"),"夜間",""),""), "")</f>
        <v/>
      </c>
      <c r="M200" s="75" t="str">
        <f t="array" ref="M200">IFERROR(IF(INDEX(Kintoneデータ抽出!I:I, _xlfn.AGGREGATE(15, 6, ROW(Kintoneデータ抽出!$K$2:$K$5000) / ((Kintoneデータ抽出!$K$2:$K$5000="院内")), ROW(A163)))&lt;&gt;"",
IF(COUNTIF(INDEX(Kintoneデータ抽出!I:I, _xlfn.AGGREGATE(15, 6, ROW(Kintoneデータ抽出!$K$2:$K$5000) / ((Kintoneデータ抽出!$K$2:$K$5000="院内")), ROW(A163))),"*あり*"),"学童",""),""), "")</f>
        <v/>
      </c>
      <c r="N200" s="75" t="str">
        <f t="array" ref="N200">IFERROR(IF(INDEX(Kintoneデータ抽出!H:H, _xlfn.AGGREGATE(15, 6, ROW(Kintoneデータ抽出!$K$2:$K$5000) / ((Kintoneデータ抽出!$K$2:$K$5000="院内")), ROW(A163)))&lt;&gt;"",
IF(COUNTIF(INDEX(Kintoneデータ抽出!H:H, _xlfn.AGGREGATE(15, 6, ROW(Kintoneデータ抽出!$K$2:$K$5000) / ((Kintoneデータ抽出!$K$2:$K$5000="院内")), ROW(A163))),"*あり*"),"病児",""),""), "")</f>
        <v/>
      </c>
      <c r="O200" s="94" t="str" cm="1">
        <f t="array" ref="O200">IFERROR(
IF(INDEX(Kintoneデータ抽出!M:M, _xlfn.AGGREGATE(15, 6, ROW(Kintoneデータ抽出!$K$2:$K$5000) / ((Kintoneデータ抽出!$K$2:$K$5000="院内")), ROW(A163)))&lt;&gt;0,INDEX(Kintoneデータ抽出!M:M, _xlfn.AGGREGATE(15, 6, ROW(Kintoneデータ抽出!$K$2:$K$5000) / ((Kintoneデータ抽出!$K$2:$K$5000="院内")), ROW(A163))),""), "")</f>
        <v/>
      </c>
      <c r="P200" s="78" t="str">
        <f t="array" ref="P200">IFERROR(IF(INDEX(Kintoneデータ抽出!L:L, _xlfn.AGGREGATE(15, 6, ROW(Kintoneデータ抽出!$K$2:$K$5000) / ((Kintoneデータ抽出!$K$2:$K$5000="院内")), ROW(A163)))&lt;&gt;"",
IF(COUNTIF(INDEX(Kintoneデータ抽出!L:L, _xlfn.AGGREGATE(15, 6, ROW(Kintoneデータ抽出!$K$2:$K$5000) / ((Kintoneデータ抽出!$K$2:$K$5000="院内")), ROW(A163))),"*企業主導型以外*"),"",
IF(COUNTIF(INDEX(Kintoneデータ抽出!L:L, _xlfn.AGGREGATE(15, 6, ROW(Kintoneデータ抽出!$K$2:$K$5000) / ((Kintoneデータ抽出!$K$2:$K$5000="院内")), ROW(A163))),"*その他*"),"",
IF(COUNTIF(INDEX(Kintoneデータ抽出!L:L, _xlfn.AGGREGATE(15, 6, ROW(Kintoneデータ抽出!$K$2:$K$5000) / ((Kintoneデータ抽出!$K$2:$K$5000="院内")), ROW(A163))),"*新制度*"),"新制度","企業主導型"))),""), "")</f>
        <v/>
      </c>
    </row>
    <row r="201" spans="2:16" ht="34.799999999999997" customHeight="1" x14ac:dyDescent="0.45">
      <c r="B201" s="28"/>
      <c r="C201" s="29"/>
      <c r="D201" s="98" t="str">
        <f t="shared" si="3"/>
        <v/>
      </c>
      <c r="E201" s="99"/>
      <c r="F201" s="75" t="str">
        <f t="array" ref="F201">IFERROR(INDEX(Kintoneデータ抽出!A:A, _xlfn.AGGREGATE(15, 6, ROW(Kintoneデータ抽出!$K$2:$K$5000) / ((Kintoneデータ抽出!$K$2:$K$5000="院内")), ROW(A164))), "")</f>
        <v/>
      </c>
      <c r="G201" s="77" t="str">
        <f t="array" ref="G201">IFERROR(INDEX(Kintoneデータ抽出!D:D, _xlfn.AGGREGATE(15, 6, ROW(Kintoneデータ抽出!$K$2:$K$5000) / ((Kintoneデータ抽出!$K$2:$K$5000="院内")), ROW(A164))), "")</f>
        <v/>
      </c>
      <c r="H201" s="77" t="str">
        <f t="array" ref="H201">IFERROR(INDEX(Kintoneデータ抽出!C:C, _xlfn.AGGREGATE(15, 6, ROW(Kintoneデータ抽出!$K$2:$K$5000) / ((Kintoneデータ抽出!$K$2:$K$5000="院内")), ROW(A164))), "")</f>
        <v/>
      </c>
      <c r="I201" s="75" t="str">
        <f t="array" ref="I201">IFERROR(IF(INDEX(Kintoneデータ抽出!G:G, _xlfn.AGGREGATE(15, 6, ROW(Kintoneデータ抽出!$K$2:$K$5000) / ((Kintoneデータ抽出!$K$2:$K$5000="院内")), ROW(A164)))&lt;&gt;"",INDEX(Kintoneデータ抽出!G:G, _xlfn.AGGREGATE(15, 6, ROW(Kintoneデータ抽出!$K$2:$K$5000) / ((Kintoneデータ抽出!$K$2:$K$5000="院内")), ROW(A164)))&amp;"名",""), "")</f>
        <v/>
      </c>
      <c r="J201" s="76" t="str">
        <f t="array" ref="J201">IFERROR(IF(INDEX(Kintoneデータ抽出!E:E, _xlfn.AGGREGATE(15, 6, ROW(Kintoneデータ抽出!$K$2:$K$5000) / ((Kintoneデータ抽出!$K$2:$K$5000="院内")), ROW(A164)))&lt;&gt;"",
YEAR(INDEX(Kintoneデータ抽出!E:E, _xlfn.AGGREGATE(15, 6, ROW(Kintoneデータ抽出!$K$2:$K$5000) / ((Kintoneデータ抽出!$K$2:$K$5000="院内")), ROW(A164))))&amp;"年"
&amp;MONTH(INDEX(Kintoneデータ抽出!E:E, _xlfn.AGGREGATE(15, 6, ROW(Kintoneデータ抽出!$K$2:$K$5000) / ((Kintoneデータ抽出!$K$2:$K$5000="院内")), ROW(A164))))&amp;"月"
&amp;DAY(INDEX(Kintoneデータ抽出!E:E, _xlfn.AGGREGATE(15, 6, ROW(Kintoneデータ抽出!$K$2:$K$5000) /((Kintoneデータ抽出!$K$2:$K$5000="院内")), ROW(A164))))&amp;"日",""), "")</f>
        <v/>
      </c>
      <c r="K201" s="77" t="str" cm="1">
        <f t="array" ref="K201">IFERROR(IF(INDEX(Kintoneデータ抽出!F:F, _xlfn.AGGREGATE(15, 6, ROW(Kintoneデータ抽出!$K$2:$K$5000) / ((Kintoneデータ抽出!$K$2:$K$5000="院内")), ROW(A164)))&lt;&gt;"",
VLOOKUP(INDEX(Kintoneデータ抽出!F:F, _xlfn.AGGREGATE(15, 6, ROW(Kintoneデータ抽出!$K$2:$K$5000) / ((Kintoneデータ抽出!$K$2:$K$5000="院内")), ROW(A164))),基本開園日の表記!$A$2:$B$13,2,FALSE),""), "")</f>
        <v/>
      </c>
      <c r="L201" s="75" t="str">
        <f t="array" ref="L201">IFERROR(IF(INDEX(Kintoneデータ抽出!F:F, _xlfn.AGGREGATE(15, 6, ROW(Kintoneデータ抽出!$K$2:$K$5000) / ((Kintoneデータ抽出!$K$2:$K$5000="院内")), ROW(A164)))&lt;&gt;"",
IF(COUNTIF(INDEX(Kintoneデータ抽出!F:F, _xlfn.AGGREGATE(15, 6, ROW(Kintoneデータ抽出!$K$2:$K$5000) / ((Kintoneデータ抽出!$K$2:$K$5000="院内")), ROW(A164))),"*あり*"),"夜間",""),""), "")</f>
        <v/>
      </c>
      <c r="M201" s="75" t="str">
        <f t="array" ref="M201">IFERROR(IF(INDEX(Kintoneデータ抽出!I:I, _xlfn.AGGREGATE(15, 6, ROW(Kintoneデータ抽出!$K$2:$K$5000) / ((Kintoneデータ抽出!$K$2:$K$5000="院内")), ROW(A164)))&lt;&gt;"",
IF(COUNTIF(INDEX(Kintoneデータ抽出!I:I, _xlfn.AGGREGATE(15, 6, ROW(Kintoneデータ抽出!$K$2:$K$5000) / ((Kintoneデータ抽出!$K$2:$K$5000="院内")), ROW(A164))),"*あり*"),"学童",""),""), "")</f>
        <v/>
      </c>
      <c r="N201" s="75" t="str">
        <f t="array" ref="N201">IFERROR(IF(INDEX(Kintoneデータ抽出!H:H, _xlfn.AGGREGATE(15, 6, ROW(Kintoneデータ抽出!$K$2:$K$5000) / ((Kintoneデータ抽出!$K$2:$K$5000="院内")), ROW(A164)))&lt;&gt;"",
IF(COUNTIF(INDEX(Kintoneデータ抽出!H:H, _xlfn.AGGREGATE(15, 6, ROW(Kintoneデータ抽出!$K$2:$K$5000) / ((Kintoneデータ抽出!$K$2:$K$5000="院内")), ROW(A164))),"*あり*"),"病児",""),""), "")</f>
        <v/>
      </c>
      <c r="O201" s="94" t="str" cm="1">
        <f t="array" ref="O201">IFERROR(
IF(INDEX(Kintoneデータ抽出!M:M, _xlfn.AGGREGATE(15, 6, ROW(Kintoneデータ抽出!$K$2:$K$5000) / ((Kintoneデータ抽出!$K$2:$K$5000="院内")), ROW(A164)))&lt;&gt;0,INDEX(Kintoneデータ抽出!M:M, _xlfn.AGGREGATE(15, 6, ROW(Kintoneデータ抽出!$K$2:$K$5000) / ((Kintoneデータ抽出!$K$2:$K$5000="院内")), ROW(A164))),""), "")</f>
        <v/>
      </c>
      <c r="P201" s="78" t="str">
        <f t="array" ref="P201">IFERROR(IF(INDEX(Kintoneデータ抽出!L:L, _xlfn.AGGREGATE(15, 6, ROW(Kintoneデータ抽出!$K$2:$K$5000) / ((Kintoneデータ抽出!$K$2:$K$5000="院内")), ROW(A164)))&lt;&gt;"",
IF(COUNTIF(INDEX(Kintoneデータ抽出!L:L, _xlfn.AGGREGATE(15, 6, ROW(Kintoneデータ抽出!$K$2:$K$5000) / ((Kintoneデータ抽出!$K$2:$K$5000="院内")), ROW(A164))),"*企業主導型以外*"),"",
IF(COUNTIF(INDEX(Kintoneデータ抽出!L:L, _xlfn.AGGREGATE(15, 6, ROW(Kintoneデータ抽出!$K$2:$K$5000) / ((Kintoneデータ抽出!$K$2:$K$5000="院内")), ROW(A164))),"*その他*"),"",
IF(COUNTIF(INDEX(Kintoneデータ抽出!L:L, _xlfn.AGGREGATE(15, 6, ROW(Kintoneデータ抽出!$K$2:$K$5000) / ((Kintoneデータ抽出!$K$2:$K$5000="院内")), ROW(A164))),"*新制度*"),"新制度","企業主導型"))),""), "")</f>
        <v/>
      </c>
    </row>
    <row r="202" spans="2:16" ht="34.799999999999997" customHeight="1" x14ac:dyDescent="0.45">
      <c r="B202" s="28"/>
      <c r="C202" s="29"/>
      <c r="D202" s="98" t="str">
        <f t="shared" si="3"/>
        <v/>
      </c>
      <c r="E202" s="99"/>
      <c r="F202" s="75" t="str">
        <f t="array" ref="F202">IFERROR(INDEX(Kintoneデータ抽出!A:A, _xlfn.AGGREGATE(15, 6, ROW(Kintoneデータ抽出!$K$2:$K$5000) / ((Kintoneデータ抽出!$K$2:$K$5000="院内")), ROW(A165))), "")</f>
        <v/>
      </c>
      <c r="G202" s="77" t="str">
        <f t="array" ref="G202">IFERROR(INDEX(Kintoneデータ抽出!D:D, _xlfn.AGGREGATE(15, 6, ROW(Kintoneデータ抽出!$K$2:$K$5000) / ((Kintoneデータ抽出!$K$2:$K$5000="院内")), ROW(A165))), "")</f>
        <v/>
      </c>
      <c r="H202" s="77" t="str">
        <f t="array" ref="H202">IFERROR(INDEX(Kintoneデータ抽出!C:C, _xlfn.AGGREGATE(15, 6, ROW(Kintoneデータ抽出!$K$2:$K$5000) / ((Kintoneデータ抽出!$K$2:$K$5000="院内")), ROW(A165))), "")</f>
        <v/>
      </c>
      <c r="I202" s="75" t="str">
        <f t="array" ref="I202">IFERROR(IF(INDEX(Kintoneデータ抽出!G:G, _xlfn.AGGREGATE(15, 6, ROW(Kintoneデータ抽出!$K$2:$K$5000) / ((Kintoneデータ抽出!$K$2:$K$5000="院内")), ROW(A165)))&lt;&gt;"",INDEX(Kintoneデータ抽出!G:G, _xlfn.AGGREGATE(15, 6, ROW(Kintoneデータ抽出!$K$2:$K$5000) / ((Kintoneデータ抽出!$K$2:$K$5000="院内")), ROW(A165)))&amp;"名",""), "")</f>
        <v/>
      </c>
      <c r="J202" s="76" t="str">
        <f t="array" ref="J202">IFERROR(IF(INDEX(Kintoneデータ抽出!E:E, _xlfn.AGGREGATE(15, 6, ROW(Kintoneデータ抽出!$K$2:$K$5000) / ((Kintoneデータ抽出!$K$2:$K$5000="院内")), ROW(A165)))&lt;&gt;"",
YEAR(INDEX(Kintoneデータ抽出!E:E, _xlfn.AGGREGATE(15, 6, ROW(Kintoneデータ抽出!$K$2:$K$5000) / ((Kintoneデータ抽出!$K$2:$K$5000="院内")), ROW(A165))))&amp;"年"
&amp;MONTH(INDEX(Kintoneデータ抽出!E:E, _xlfn.AGGREGATE(15, 6, ROW(Kintoneデータ抽出!$K$2:$K$5000) / ((Kintoneデータ抽出!$K$2:$K$5000="院内")), ROW(A165))))&amp;"月"
&amp;DAY(INDEX(Kintoneデータ抽出!E:E, _xlfn.AGGREGATE(15, 6, ROW(Kintoneデータ抽出!$K$2:$K$5000) /((Kintoneデータ抽出!$K$2:$K$5000="院内")), ROW(A165))))&amp;"日",""), "")</f>
        <v/>
      </c>
      <c r="K202" s="77" t="str" cm="1">
        <f t="array" ref="K202">IFERROR(IF(INDEX(Kintoneデータ抽出!F:F, _xlfn.AGGREGATE(15, 6, ROW(Kintoneデータ抽出!$K$2:$K$5000) / ((Kintoneデータ抽出!$K$2:$K$5000="院内")), ROW(A165)))&lt;&gt;"",
VLOOKUP(INDEX(Kintoneデータ抽出!F:F, _xlfn.AGGREGATE(15, 6, ROW(Kintoneデータ抽出!$K$2:$K$5000) / ((Kintoneデータ抽出!$K$2:$K$5000="院内")), ROW(A165))),基本開園日の表記!$A$2:$B$13,2,FALSE),""), "")</f>
        <v/>
      </c>
      <c r="L202" s="75" t="str">
        <f t="array" ref="L202">IFERROR(IF(INDEX(Kintoneデータ抽出!F:F, _xlfn.AGGREGATE(15, 6, ROW(Kintoneデータ抽出!$K$2:$K$5000) / ((Kintoneデータ抽出!$K$2:$K$5000="院内")), ROW(A165)))&lt;&gt;"",
IF(COUNTIF(INDEX(Kintoneデータ抽出!F:F, _xlfn.AGGREGATE(15, 6, ROW(Kintoneデータ抽出!$K$2:$K$5000) / ((Kintoneデータ抽出!$K$2:$K$5000="院内")), ROW(A165))),"*あり*"),"夜間",""),""), "")</f>
        <v/>
      </c>
      <c r="M202" s="75" t="str">
        <f t="array" ref="M202">IFERROR(IF(INDEX(Kintoneデータ抽出!I:I, _xlfn.AGGREGATE(15, 6, ROW(Kintoneデータ抽出!$K$2:$K$5000) / ((Kintoneデータ抽出!$K$2:$K$5000="院内")), ROW(A165)))&lt;&gt;"",
IF(COUNTIF(INDEX(Kintoneデータ抽出!I:I, _xlfn.AGGREGATE(15, 6, ROW(Kintoneデータ抽出!$K$2:$K$5000) / ((Kintoneデータ抽出!$K$2:$K$5000="院内")), ROW(A165))),"*あり*"),"学童",""),""), "")</f>
        <v/>
      </c>
      <c r="N202" s="75" t="str">
        <f t="array" ref="N202">IFERROR(IF(INDEX(Kintoneデータ抽出!H:H, _xlfn.AGGREGATE(15, 6, ROW(Kintoneデータ抽出!$K$2:$K$5000) / ((Kintoneデータ抽出!$K$2:$K$5000="院内")), ROW(A165)))&lt;&gt;"",
IF(COUNTIF(INDEX(Kintoneデータ抽出!H:H, _xlfn.AGGREGATE(15, 6, ROW(Kintoneデータ抽出!$K$2:$K$5000) / ((Kintoneデータ抽出!$K$2:$K$5000="院内")), ROW(A165))),"*あり*"),"病児",""),""), "")</f>
        <v/>
      </c>
      <c r="O202" s="94" t="str" cm="1">
        <f t="array" ref="O202">IFERROR(
IF(INDEX(Kintoneデータ抽出!M:M, _xlfn.AGGREGATE(15, 6, ROW(Kintoneデータ抽出!$K$2:$K$5000) / ((Kintoneデータ抽出!$K$2:$K$5000="院内")), ROW(A165)))&lt;&gt;0,INDEX(Kintoneデータ抽出!M:M, _xlfn.AGGREGATE(15, 6, ROW(Kintoneデータ抽出!$K$2:$K$5000) / ((Kintoneデータ抽出!$K$2:$K$5000="院内")), ROW(A165))),""), "")</f>
        <v/>
      </c>
      <c r="P202" s="78" t="str">
        <f t="array" ref="P202">IFERROR(IF(INDEX(Kintoneデータ抽出!L:L, _xlfn.AGGREGATE(15, 6, ROW(Kintoneデータ抽出!$K$2:$K$5000) / ((Kintoneデータ抽出!$K$2:$K$5000="院内")), ROW(A165)))&lt;&gt;"",
IF(COUNTIF(INDEX(Kintoneデータ抽出!L:L, _xlfn.AGGREGATE(15, 6, ROW(Kintoneデータ抽出!$K$2:$K$5000) / ((Kintoneデータ抽出!$K$2:$K$5000="院内")), ROW(A165))),"*企業主導型以外*"),"",
IF(COUNTIF(INDEX(Kintoneデータ抽出!L:L, _xlfn.AGGREGATE(15, 6, ROW(Kintoneデータ抽出!$K$2:$K$5000) / ((Kintoneデータ抽出!$K$2:$K$5000="院内")), ROW(A165))),"*その他*"),"",
IF(COUNTIF(INDEX(Kintoneデータ抽出!L:L, _xlfn.AGGREGATE(15, 6, ROW(Kintoneデータ抽出!$K$2:$K$5000) / ((Kintoneデータ抽出!$K$2:$K$5000="院内")), ROW(A165))),"*新制度*"),"新制度","企業主導型"))),""), "")</f>
        <v/>
      </c>
    </row>
    <row r="203" spans="2:16" ht="34.799999999999997" customHeight="1" x14ac:dyDescent="0.45">
      <c r="B203" s="28"/>
      <c r="C203" s="29"/>
      <c r="D203" s="98" t="str">
        <f t="shared" si="3"/>
        <v/>
      </c>
      <c r="E203" s="99"/>
      <c r="F203" s="75" t="str">
        <f t="array" ref="F203">IFERROR(INDEX(Kintoneデータ抽出!A:A, _xlfn.AGGREGATE(15, 6, ROW(Kintoneデータ抽出!$K$2:$K$5000) / ((Kintoneデータ抽出!$K$2:$K$5000="院内")), ROW(A166))), "")</f>
        <v/>
      </c>
      <c r="G203" s="77" t="str">
        <f t="array" ref="G203">IFERROR(INDEX(Kintoneデータ抽出!D:D, _xlfn.AGGREGATE(15, 6, ROW(Kintoneデータ抽出!$K$2:$K$5000) / ((Kintoneデータ抽出!$K$2:$K$5000="院内")), ROW(A166))), "")</f>
        <v/>
      </c>
      <c r="H203" s="77" t="str">
        <f t="array" ref="H203">IFERROR(INDEX(Kintoneデータ抽出!C:C, _xlfn.AGGREGATE(15, 6, ROW(Kintoneデータ抽出!$K$2:$K$5000) / ((Kintoneデータ抽出!$K$2:$K$5000="院内")), ROW(A166))), "")</f>
        <v/>
      </c>
      <c r="I203" s="75" t="str">
        <f t="array" ref="I203">IFERROR(IF(INDEX(Kintoneデータ抽出!G:G, _xlfn.AGGREGATE(15, 6, ROW(Kintoneデータ抽出!$K$2:$K$5000) / ((Kintoneデータ抽出!$K$2:$K$5000="院内")), ROW(A166)))&lt;&gt;"",INDEX(Kintoneデータ抽出!G:G, _xlfn.AGGREGATE(15, 6, ROW(Kintoneデータ抽出!$K$2:$K$5000) / ((Kintoneデータ抽出!$K$2:$K$5000="院内")), ROW(A166)))&amp;"名",""), "")</f>
        <v/>
      </c>
      <c r="J203" s="76" t="str">
        <f t="array" ref="J203">IFERROR(IF(INDEX(Kintoneデータ抽出!E:E, _xlfn.AGGREGATE(15, 6, ROW(Kintoneデータ抽出!$K$2:$K$5000) / ((Kintoneデータ抽出!$K$2:$K$5000="院内")), ROW(A166)))&lt;&gt;"",
YEAR(INDEX(Kintoneデータ抽出!E:E, _xlfn.AGGREGATE(15, 6, ROW(Kintoneデータ抽出!$K$2:$K$5000) / ((Kintoneデータ抽出!$K$2:$K$5000="院内")), ROW(A166))))&amp;"年"
&amp;MONTH(INDEX(Kintoneデータ抽出!E:E, _xlfn.AGGREGATE(15, 6, ROW(Kintoneデータ抽出!$K$2:$K$5000) / ((Kintoneデータ抽出!$K$2:$K$5000="院内")), ROW(A166))))&amp;"月"
&amp;DAY(INDEX(Kintoneデータ抽出!E:E, _xlfn.AGGREGATE(15, 6, ROW(Kintoneデータ抽出!$K$2:$K$5000) /((Kintoneデータ抽出!$K$2:$K$5000="院内")), ROW(A166))))&amp;"日",""), "")</f>
        <v/>
      </c>
      <c r="K203" s="77" t="str" cm="1">
        <f t="array" ref="K203">IFERROR(IF(INDEX(Kintoneデータ抽出!F:F, _xlfn.AGGREGATE(15, 6, ROW(Kintoneデータ抽出!$K$2:$K$5000) / ((Kintoneデータ抽出!$K$2:$K$5000="院内")), ROW(A166)))&lt;&gt;"",
VLOOKUP(INDEX(Kintoneデータ抽出!F:F, _xlfn.AGGREGATE(15, 6, ROW(Kintoneデータ抽出!$K$2:$K$5000) / ((Kintoneデータ抽出!$K$2:$K$5000="院内")), ROW(A166))),基本開園日の表記!$A$2:$B$13,2,FALSE),""), "")</f>
        <v/>
      </c>
      <c r="L203" s="75" t="str">
        <f t="array" ref="L203">IFERROR(IF(INDEX(Kintoneデータ抽出!F:F, _xlfn.AGGREGATE(15, 6, ROW(Kintoneデータ抽出!$K$2:$K$5000) / ((Kintoneデータ抽出!$K$2:$K$5000="院内")), ROW(A166)))&lt;&gt;"",
IF(COUNTIF(INDEX(Kintoneデータ抽出!F:F, _xlfn.AGGREGATE(15, 6, ROW(Kintoneデータ抽出!$K$2:$K$5000) / ((Kintoneデータ抽出!$K$2:$K$5000="院内")), ROW(A166))),"*あり*"),"夜間",""),""), "")</f>
        <v/>
      </c>
      <c r="M203" s="75" t="str">
        <f t="array" ref="M203">IFERROR(IF(INDEX(Kintoneデータ抽出!I:I, _xlfn.AGGREGATE(15, 6, ROW(Kintoneデータ抽出!$K$2:$K$5000) / ((Kintoneデータ抽出!$K$2:$K$5000="院内")), ROW(A166)))&lt;&gt;"",
IF(COUNTIF(INDEX(Kintoneデータ抽出!I:I, _xlfn.AGGREGATE(15, 6, ROW(Kintoneデータ抽出!$K$2:$K$5000) / ((Kintoneデータ抽出!$K$2:$K$5000="院内")), ROW(A166))),"*あり*"),"学童",""),""), "")</f>
        <v/>
      </c>
      <c r="N203" s="75" t="str">
        <f t="array" ref="N203">IFERROR(IF(INDEX(Kintoneデータ抽出!H:H, _xlfn.AGGREGATE(15, 6, ROW(Kintoneデータ抽出!$K$2:$K$5000) / ((Kintoneデータ抽出!$K$2:$K$5000="院内")), ROW(A166)))&lt;&gt;"",
IF(COUNTIF(INDEX(Kintoneデータ抽出!H:H, _xlfn.AGGREGATE(15, 6, ROW(Kintoneデータ抽出!$K$2:$K$5000) / ((Kintoneデータ抽出!$K$2:$K$5000="院内")), ROW(A166))),"*あり*"),"病児",""),""), "")</f>
        <v/>
      </c>
      <c r="O203" s="94" t="str" cm="1">
        <f t="array" ref="O203">IFERROR(
IF(INDEX(Kintoneデータ抽出!M:M, _xlfn.AGGREGATE(15, 6, ROW(Kintoneデータ抽出!$K$2:$K$5000) / ((Kintoneデータ抽出!$K$2:$K$5000="院内")), ROW(A166)))&lt;&gt;0,INDEX(Kintoneデータ抽出!M:M, _xlfn.AGGREGATE(15, 6, ROW(Kintoneデータ抽出!$K$2:$K$5000) / ((Kintoneデータ抽出!$K$2:$K$5000="院内")), ROW(A166))),""), "")</f>
        <v/>
      </c>
      <c r="P203" s="78" t="str">
        <f t="array" ref="P203">IFERROR(IF(INDEX(Kintoneデータ抽出!L:L, _xlfn.AGGREGATE(15, 6, ROW(Kintoneデータ抽出!$K$2:$K$5000) / ((Kintoneデータ抽出!$K$2:$K$5000="院内")), ROW(A166)))&lt;&gt;"",
IF(COUNTIF(INDEX(Kintoneデータ抽出!L:L, _xlfn.AGGREGATE(15, 6, ROW(Kintoneデータ抽出!$K$2:$K$5000) / ((Kintoneデータ抽出!$K$2:$K$5000="院内")), ROW(A166))),"*企業主導型以外*"),"",
IF(COUNTIF(INDEX(Kintoneデータ抽出!L:L, _xlfn.AGGREGATE(15, 6, ROW(Kintoneデータ抽出!$K$2:$K$5000) / ((Kintoneデータ抽出!$K$2:$K$5000="院内")), ROW(A166))),"*その他*"),"",
IF(COUNTIF(INDEX(Kintoneデータ抽出!L:L, _xlfn.AGGREGATE(15, 6, ROW(Kintoneデータ抽出!$K$2:$K$5000) / ((Kintoneデータ抽出!$K$2:$K$5000="院内")), ROW(A166))),"*新制度*"),"新制度","企業主導型"))),""), "")</f>
        <v/>
      </c>
    </row>
    <row r="204" spans="2:16" ht="34.799999999999997" customHeight="1" x14ac:dyDescent="0.45">
      <c r="B204" s="28"/>
      <c r="C204" s="29"/>
      <c r="D204" s="98" t="str">
        <f t="shared" si="3"/>
        <v/>
      </c>
      <c r="E204" s="99"/>
      <c r="F204" s="75" t="str">
        <f t="array" ref="F204">IFERROR(INDEX(Kintoneデータ抽出!A:A, _xlfn.AGGREGATE(15, 6, ROW(Kintoneデータ抽出!$K$2:$K$5000) / ((Kintoneデータ抽出!$K$2:$K$5000="院内")), ROW(A167))), "")</f>
        <v/>
      </c>
      <c r="G204" s="77" t="str">
        <f t="array" ref="G204">IFERROR(INDEX(Kintoneデータ抽出!D:D, _xlfn.AGGREGATE(15, 6, ROW(Kintoneデータ抽出!$K$2:$K$5000) / ((Kintoneデータ抽出!$K$2:$K$5000="院内")), ROW(A167))), "")</f>
        <v/>
      </c>
      <c r="H204" s="77" t="str">
        <f t="array" ref="H204">IFERROR(INDEX(Kintoneデータ抽出!C:C, _xlfn.AGGREGATE(15, 6, ROW(Kintoneデータ抽出!$K$2:$K$5000) / ((Kintoneデータ抽出!$K$2:$K$5000="院内")), ROW(A167))), "")</f>
        <v/>
      </c>
      <c r="I204" s="75" t="str">
        <f t="array" ref="I204">IFERROR(IF(INDEX(Kintoneデータ抽出!G:G, _xlfn.AGGREGATE(15, 6, ROW(Kintoneデータ抽出!$K$2:$K$5000) / ((Kintoneデータ抽出!$K$2:$K$5000="院内")), ROW(A167)))&lt;&gt;"",INDEX(Kintoneデータ抽出!G:G, _xlfn.AGGREGATE(15, 6, ROW(Kintoneデータ抽出!$K$2:$K$5000) / ((Kintoneデータ抽出!$K$2:$K$5000="院内")), ROW(A167)))&amp;"名",""), "")</f>
        <v/>
      </c>
      <c r="J204" s="76" t="str">
        <f t="array" ref="J204">IFERROR(IF(INDEX(Kintoneデータ抽出!E:E, _xlfn.AGGREGATE(15, 6, ROW(Kintoneデータ抽出!$K$2:$K$5000) / ((Kintoneデータ抽出!$K$2:$K$5000="院内")), ROW(A167)))&lt;&gt;"",
YEAR(INDEX(Kintoneデータ抽出!E:E, _xlfn.AGGREGATE(15, 6, ROW(Kintoneデータ抽出!$K$2:$K$5000) / ((Kintoneデータ抽出!$K$2:$K$5000="院内")), ROW(A167))))&amp;"年"
&amp;MONTH(INDEX(Kintoneデータ抽出!E:E, _xlfn.AGGREGATE(15, 6, ROW(Kintoneデータ抽出!$K$2:$K$5000) / ((Kintoneデータ抽出!$K$2:$K$5000="院内")), ROW(A167))))&amp;"月"
&amp;DAY(INDEX(Kintoneデータ抽出!E:E, _xlfn.AGGREGATE(15, 6, ROW(Kintoneデータ抽出!$K$2:$K$5000) /((Kintoneデータ抽出!$K$2:$K$5000="院内")), ROW(A167))))&amp;"日",""), "")</f>
        <v/>
      </c>
      <c r="K204" s="77" t="str" cm="1">
        <f t="array" ref="K204">IFERROR(IF(INDEX(Kintoneデータ抽出!F:F, _xlfn.AGGREGATE(15, 6, ROW(Kintoneデータ抽出!$K$2:$K$5000) / ((Kintoneデータ抽出!$K$2:$K$5000="院内")), ROW(A167)))&lt;&gt;"",
VLOOKUP(INDEX(Kintoneデータ抽出!F:F, _xlfn.AGGREGATE(15, 6, ROW(Kintoneデータ抽出!$K$2:$K$5000) / ((Kintoneデータ抽出!$K$2:$K$5000="院内")), ROW(A167))),基本開園日の表記!$A$2:$B$13,2,FALSE),""), "")</f>
        <v/>
      </c>
      <c r="L204" s="75" t="str">
        <f t="array" ref="L204">IFERROR(IF(INDEX(Kintoneデータ抽出!F:F, _xlfn.AGGREGATE(15, 6, ROW(Kintoneデータ抽出!$K$2:$K$5000) / ((Kintoneデータ抽出!$K$2:$K$5000="院内")), ROW(A167)))&lt;&gt;"",
IF(COUNTIF(INDEX(Kintoneデータ抽出!F:F, _xlfn.AGGREGATE(15, 6, ROW(Kintoneデータ抽出!$K$2:$K$5000) / ((Kintoneデータ抽出!$K$2:$K$5000="院内")), ROW(A167))),"*あり*"),"夜間",""),""), "")</f>
        <v/>
      </c>
      <c r="M204" s="75" t="str">
        <f t="array" ref="M204">IFERROR(IF(INDEX(Kintoneデータ抽出!I:I, _xlfn.AGGREGATE(15, 6, ROW(Kintoneデータ抽出!$K$2:$K$5000) / ((Kintoneデータ抽出!$K$2:$K$5000="院内")), ROW(A167)))&lt;&gt;"",
IF(COUNTIF(INDEX(Kintoneデータ抽出!I:I, _xlfn.AGGREGATE(15, 6, ROW(Kintoneデータ抽出!$K$2:$K$5000) / ((Kintoneデータ抽出!$K$2:$K$5000="院内")), ROW(A167))),"*あり*"),"学童",""),""), "")</f>
        <v/>
      </c>
      <c r="N204" s="75" t="str">
        <f t="array" ref="N204">IFERROR(IF(INDEX(Kintoneデータ抽出!H:H, _xlfn.AGGREGATE(15, 6, ROW(Kintoneデータ抽出!$K$2:$K$5000) / ((Kintoneデータ抽出!$K$2:$K$5000="院内")), ROW(A167)))&lt;&gt;"",
IF(COUNTIF(INDEX(Kintoneデータ抽出!H:H, _xlfn.AGGREGATE(15, 6, ROW(Kintoneデータ抽出!$K$2:$K$5000) / ((Kintoneデータ抽出!$K$2:$K$5000="院内")), ROW(A167))),"*あり*"),"病児",""),""), "")</f>
        <v/>
      </c>
      <c r="O204" s="94" t="str" cm="1">
        <f t="array" ref="O204">IFERROR(
IF(INDEX(Kintoneデータ抽出!M:M, _xlfn.AGGREGATE(15, 6, ROW(Kintoneデータ抽出!$K$2:$K$5000) / ((Kintoneデータ抽出!$K$2:$K$5000="院内")), ROW(A167)))&lt;&gt;0,INDEX(Kintoneデータ抽出!M:M, _xlfn.AGGREGATE(15, 6, ROW(Kintoneデータ抽出!$K$2:$K$5000) / ((Kintoneデータ抽出!$K$2:$K$5000="院内")), ROW(A167))),""), "")</f>
        <v/>
      </c>
      <c r="P204" s="78" t="str">
        <f t="array" ref="P204">IFERROR(IF(INDEX(Kintoneデータ抽出!L:L, _xlfn.AGGREGATE(15, 6, ROW(Kintoneデータ抽出!$K$2:$K$5000) / ((Kintoneデータ抽出!$K$2:$K$5000="院内")), ROW(A167)))&lt;&gt;"",
IF(COUNTIF(INDEX(Kintoneデータ抽出!L:L, _xlfn.AGGREGATE(15, 6, ROW(Kintoneデータ抽出!$K$2:$K$5000) / ((Kintoneデータ抽出!$K$2:$K$5000="院内")), ROW(A167))),"*企業主導型以外*"),"",
IF(COUNTIF(INDEX(Kintoneデータ抽出!L:L, _xlfn.AGGREGATE(15, 6, ROW(Kintoneデータ抽出!$K$2:$K$5000) / ((Kintoneデータ抽出!$K$2:$K$5000="院内")), ROW(A167))),"*その他*"),"",
IF(COUNTIF(INDEX(Kintoneデータ抽出!L:L, _xlfn.AGGREGATE(15, 6, ROW(Kintoneデータ抽出!$K$2:$K$5000) / ((Kintoneデータ抽出!$K$2:$K$5000="院内")), ROW(A167))),"*新制度*"),"新制度","企業主導型"))),""), "")</f>
        <v/>
      </c>
    </row>
    <row r="205" spans="2:16" ht="34.799999999999997" customHeight="1" x14ac:dyDescent="0.45">
      <c r="B205" s="28"/>
      <c r="C205" s="29"/>
      <c r="D205" s="98" t="str">
        <f t="shared" si="3"/>
        <v/>
      </c>
      <c r="E205" s="99"/>
      <c r="F205" s="75" t="str">
        <f t="array" ref="F205">IFERROR(INDEX(Kintoneデータ抽出!A:A, _xlfn.AGGREGATE(15, 6, ROW(Kintoneデータ抽出!$K$2:$K$5000) / ((Kintoneデータ抽出!$K$2:$K$5000="院内")), ROW(A168))), "")</f>
        <v/>
      </c>
      <c r="G205" s="77" t="str">
        <f t="array" ref="G205">IFERROR(INDEX(Kintoneデータ抽出!D:D, _xlfn.AGGREGATE(15, 6, ROW(Kintoneデータ抽出!$K$2:$K$5000) / ((Kintoneデータ抽出!$K$2:$K$5000="院内")), ROW(A168))), "")</f>
        <v/>
      </c>
      <c r="H205" s="77" t="str">
        <f t="array" ref="H205">IFERROR(INDEX(Kintoneデータ抽出!C:C, _xlfn.AGGREGATE(15, 6, ROW(Kintoneデータ抽出!$K$2:$K$5000) / ((Kintoneデータ抽出!$K$2:$K$5000="院内")), ROW(A168))), "")</f>
        <v/>
      </c>
      <c r="I205" s="75" t="str">
        <f t="array" ref="I205">IFERROR(IF(INDEX(Kintoneデータ抽出!G:G, _xlfn.AGGREGATE(15, 6, ROW(Kintoneデータ抽出!$K$2:$K$5000) / ((Kintoneデータ抽出!$K$2:$K$5000="院内")), ROW(A168)))&lt;&gt;"",INDEX(Kintoneデータ抽出!G:G, _xlfn.AGGREGATE(15, 6, ROW(Kintoneデータ抽出!$K$2:$K$5000) / ((Kintoneデータ抽出!$K$2:$K$5000="院内")), ROW(A168)))&amp;"名",""), "")</f>
        <v/>
      </c>
      <c r="J205" s="76" t="str">
        <f t="array" ref="J205">IFERROR(IF(INDEX(Kintoneデータ抽出!E:E, _xlfn.AGGREGATE(15, 6, ROW(Kintoneデータ抽出!$K$2:$K$5000) / ((Kintoneデータ抽出!$K$2:$K$5000="院内")), ROW(A168)))&lt;&gt;"",
YEAR(INDEX(Kintoneデータ抽出!E:E, _xlfn.AGGREGATE(15, 6, ROW(Kintoneデータ抽出!$K$2:$K$5000) / ((Kintoneデータ抽出!$K$2:$K$5000="院内")), ROW(A168))))&amp;"年"
&amp;MONTH(INDEX(Kintoneデータ抽出!E:E, _xlfn.AGGREGATE(15, 6, ROW(Kintoneデータ抽出!$K$2:$K$5000) / ((Kintoneデータ抽出!$K$2:$K$5000="院内")), ROW(A168))))&amp;"月"
&amp;DAY(INDEX(Kintoneデータ抽出!E:E, _xlfn.AGGREGATE(15, 6, ROW(Kintoneデータ抽出!$K$2:$K$5000) /((Kintoneデータ抽出!$K$2:$K$5000="院内")), ROW(A168))))&amp;"日",""), "")</f>
        <v/>
      </c>
      <c r="K205" s="77" t="str" cm="1">
        <f t="array" ref="K205">IFERROR(IF(INDEX(Kintoneデータ抽出!F:F, _xlfn.AGGREGATE(15, 6, ROW(Kintoneデータ抽出!$K$2:$K$5000) / ((Kintoneデータ抽出!$K$2:$K$5000="院内")), ROW(A168)))&lt;&gt;"",
VLOOKUP(INDEX(Kintoneデータ抽出!F:F, _xlfn.AGGREGATE(15, 6, ROW(Kintoneデータ抽出!$K$2:$K$5000) / ((Kintoneデータ抽出!$K$2:$K$5000="院内")), ROW(A168))),基本開園日の表記!$A$2:$B$13,2,FALSE),""), "")</f>
        <v/>
      </c>
      <c r="L205" s="75" t="str">
        <f t="array" ref="L205">IFERROR(IF(INDEX(Kintoneデータ抽出!F:F, _xlfn.AGGREGATE(15, 6, ROW(Kintoneデータ抽出!$K$2:$K$5000) / ((Kintoneデータ抽出!$K$2:$K$5000="院内")), ROW(A168)))&lt;&gt;"",
IF(COUNTIF(INDEX(Kintoneデータ抽出!F:F, _xlfn.AGGREGATE(15, 6, ROW(Kintoneデータ抽出!$K$2:$K$5000) / ((Kintoneデータ抽出!$K$2:$K$5000="院内")), ROW(A168))),"*あり*"),"夜間",""),""), "")</f>
        <v/>
      </c>
      <c r="M205" s="75" t="str">
        <f t="array" ref="M205">IFERROR(IF(INDEX(Kintoneデータ抽出!I:I, _xlfn.AGGREGATE(15, 6, ROW(Kintoneデータ抽出!$K$2:$K$5000) / ((Kintoneデータ抽出!$K$2:$K$5000="院内")), ROW(A168)))&lt;&gt;"",
IF(COUNTIF(INDEX(Kintoneデータ抽出!I:I, _xlfn.AGGREGATE(15, 6, ROW(Kintoneデータ抽出!$K$2:$K$5000) / ((Kintoneデータ抽出!$K$2:$K$5000="院内")), ROW(A168))),"*あり*"),"学童",""),""), "")</f>
        <v/>
      </c>
      <c r="N205" s="75" t="str">
        <f t="array" ref="N205">IFERROR(IF(INDEX(Kintoneデータ抽出!H:H, _xlfn.AGGREGATE(15, 6, ROW(Kintoneデータ抽出!$K$2:$K$5000) / ((Kintoneデータ抽出!$K$2:$K$5000="院内")), ROW(A168)))&lt;&gt;"",
IF(COUNTIF(INDEX(Kintoneデータ抽出!H:H, _xlfn.AGGREGATE(15, 6, ROW(Kintoneデータ抽出!$K$2:$K$5000) / ((Kintoneデータ抽出!$K$2:$K$5000="院内")), ROW(A168))),"*あり*"),"病児",""),""), "")</f>
        <v/>
      </c>
      <c r="O205" s="94" t="str" cm="1">
        <f t="array" ref="O205">IFERROR(
IF(INDEX(Kintoneデータ抽出!M:M, _xlfn.AGGREGATE(15, 6, ROW(Kintoneデータ抽出!$K$2:$K$5000) / ((Kintoneデータ抽出!$K$2:$K$5000="院内")), ROW(A168)))&lt;&gt;0,INDEX(Kintoneデータ抽出!M:M, _xlfn.AGGREGATE(15, 6, ROW(Kintoneデータ抽出!$K$2:$K$5000) / ((Kintoneデータ抽出!$K$2:$K$5000="院内")), ROW(A168))),""), "")</f>
        <v/>
      </c>
      <c r="P205" s="78" t="str">
        <f t="array" ref="P205">IFERROR(IF(INDEX(Kintoneデータ抽出!L:L, _xlfn.AGGREGATE(15, 6, ROW(Kintoneデータ抽出!$K$2:$K$5000) / ((Kintoneデータ抽出!$K$2:$K$5000="院内")), ROW(A168)))&lt;&gt;"",
IF(COUNTIF(INDEX(Kintoneデータ抽出!L:L, _xlfn.AGGREGATE(15, 6, ROW(Kintoneデータ抽出!$K$2:$K$5000) / ((Kintoneデータ抽出!$K$2:$K$5000="院内")), ROW(A168))),"*企業主導型以外*"),"",
IF(COUNTIF(INDEX(Kintoneデータ抽出!L:L, _xlfn.AGGREGATE(15, 6, ROW(Kintoneデータ抽出!$K$2:$K$5000) / ((Kintoneデータ抽出!$K$2:$K$5000="院内")), ROW(A168))),"*その他*"),"",
IF(COUNTIF(INDEX(Kintoneデータ抽出!L:L, _xlfn.AGGREGATE(15, 6, ROW(Kintoneデータ抽出!$K$2:$K$5000) / ((Kintoneデータ抽出!$K$2:$K$5000="院内")), ROW(A168))),"*新制度*"),"新制度","企業主導型"))),""), "")</f>
        <v/>
      </c>
    </row>
    <row r="206" spans="2:16" ht="34.799999999999997" customHeight="1" x14ac:dyDescent="0.45">
      <c r="B206" s="28"/>
      <c r="C206" s="29"/>
      <c r="D206" s="98" t="str">
        <f t="shared" si="3"/>
        <v/>
      </c>
      <c r="E206" s="99"/>
      <c r="F206" s="75" t="str">
        <f t="array" ref="F206">IFERROR(INDEX(Kintoneデータ抽出!A:A, _xlfn.AGGREGATE(15, 6, ROW(Kintoneデータ抽出!$K$2:$K$5000) / ((Kintoneデータ抽出!$K$2:$K$5000="院内")), ROW(A169))), "")</f>
        <v/>
      </c>
      <c r="G206" s="77" t="str">
        <f t="array" ref="G206">IFERROR(INDEX(Kintoneデータ抽出!D:D, _xlfn.AGGREGATE(15, 6, ROW(Kintoneデータ抽出!$K$2:$K$5000) / ((Kintoneデータ抽出!$K$2:$K$5000="院内")), ROW(A169))), "")</f>
        <v/>
      </c>
      <c r="H206" s="77" t="str">
        <f t="array" ref="H206">IFERROR(INDEX(Kintoneデータ抽出!C:C, _xlfn.AGGREGATE(15, 6, ROW(Kintoneデータ抽出!$K$2:$K$5000) / ((Kintoneデータ抽出!$K$2:$K$5000="院内")), ROW(A169))), "")</f>
        <v/>
      </c>
      <c r="I206" s="75" t="str">
        <f t="array" ref="I206">IFERROR(IF(INDEX(Kintoneデータ抽出!G:G, _xlfn.AGGREGATE(15, 6, ROW(Kintoneデータ抽出!$K$2:$K$5000) / ((Kintoneデータ抽出!$K$2:$K$5000="院内")), ROW(A169)))&lt;&gt;"",INDEX(Kintoneデータ抽出!G:G, _xlfn.AGGREGATE(15, 6, ROW(Kintoneデータ抽出!$K$2:$K$5000) / ((Kintoneデータ抽出!$K$2:$K$5000="院内")), ROW(A169)))&amp;"名",""), "")</f>
        <v/>
      </c>
      <c r="J206" s="76" t="str">
        <f t="array" ref="J206">IFERROR(IF(INDEX(Kintoneデータ抽出!E:E, _xlfn.AGGREGATE(15, 6, ROW(Kintoneデータ抽出!$K$2:$K$5000) / ((Kintoneデータ抽出!$K$2:$K$5000="院内")), ROW(A169)))&lt;&gt;"",
YEAR(INDEX(Kintoneデータ抽出!E:E, _xlfn.AGGREGATE(15, 6, ROW(Kintoneデータ抽出!$K$2:$K$5000) / ((Kintoneデータ抽出!$K$2:$K$5000="院内")), ROW(A169))))&amp;"年"
&amp;MONTH(INDEX(Kintoneデータ抽出!E:E, _xlfn.AGGREGATE(15, 6, ROW(Kintoneデータ抽出!$K$2:$K$5000) / ((Kintoneデータ抽出!$K$2:$K$5000="院内")), ROW(A169))))&amp;"月"
&amp;DAY(INDEX(Kintoneデータ抽出!E:E, _xlfn.AGGREGATE(15, 6, ROW(Kintoneデータ抽出!$K$2:$K$5000) /((Kintoneデータ抽出!$K$2:$K$5000="院内")), ROW(A169))))&amp;"日",""), "")</f>
        <v/>
      </c>
      <c r="K206" s="77" t="str" cm="1">
        <f t="array" ref="K206">IFERROR(IF(INDEX(Kintoneデータ抽出!F:F, _xlfn.AGGREGATE(15, 6, ROW(Kintoneデータ抽出!$K$2:$K$5000) / ((Kintoneデータ抽出!$K$2:$K$5000="院内")), ROW(A169)))&lt;&gt;"",
VLOOKUP(INDEX(Kintoneデータ抽出!F:F, _xlfn.AGGREGATE(15, 6, ROW(Kintoneデータ抽出!$K$2:$K$5000) / ((Kintoneデータ抽出!$K$2:$K$5000="院内")), ROW(A169))),基本開園日の表記!$A$2:$B$13,2,FALSE),""), "")</f>
        <v/>
      </c>
      <c r="L206" s="75" t="str">
        <f t="array" ref="L206">IFERROR(IF(INDEX(Kintoneデータ抽出!F:F, _xlfn.AGGREGATE(15, 6, ROW(Kintoneデータ抽出!$K$2:$K$5000) / ((Kintoneデータ抽出!$K$2:$K$5000="院内")), ROW(A169)))&lt;&gt;"",
IF(COUNTIF(INDEX(Kintoneデータ抽出!F:F, _xlfn.AGGREGATE(15, 6, ROW(Kintoneデータ抽出!$K$2:$K$5000) / ((Kintoneデータ抽出!$K$2:$K$5000="院内")), ROW(A169))),"*あり*"),"夜間",""),""), "")</f>
        <v/>
      </c>
      <c r="M206" s="75" t="str">
        <f t="array" ref="M206">IFERROR(IF(INDEX(Kintoneデータ抽出!I:I, _xlfn.AGGREGATE(15, 6, ROW(Kintoneデータ抽出!$K$2:$K$5000) / ((Kintoneデータ抽出!$K$2:$K$5000="院内")), ROW(A169)))&lt;&gt;"",
IF(COUNTIF(INDEX(Kintoneデータ抽出!I:I, _xlfn.AGGREGATE(15, 6, ROW(Kintoneデータ抽出!$K$2:$K$5000) / ((Kintoneデータ抽出!$K$2:$K$5000="院内")), ROW(A169))),"*あり*"),"学童",""),""), "")</f>
        <v/>
      </c>
      <c r="N206" s="75" t="str">
        <f t="array" ref="N206">IFERROR(IF(INDEX(Kintoneデータ抽出!H:H, _xlfn.AGGREGATE(15, 6, ROW(Kintoneデータ抽出!$K$2:$K$5000) / ((Kintoneデータ抽出!$K$2:$K$5000="院内")), ROW(A169)))&lt;&gt;"",
IF(COUNTIF(INDEX(Kintoneデータ抽出!H:H, _xlfn.AGGREGATE(15, 6, ROW(Kintoneデータ抽出!$K$2:$K$5000) / ((Kintoneデータ抽出!$K$2:$K$5000="院内")), ROW(A169))),"*あり*"),"病児",""),""), "")</f>
        <v/>
      </c>
      <c r="O206" s="94" t="str" cm="1">
        <f t="array" ref="O206">IFERROR(
IF(INDEX(Kintoneデータ抽出!M:M, _xlfn.AGGREGATE(15, 6, ROW(Kintoneデータ抽出!$K$2:$K$5000) / ((Kintoneデータ抽出!$K$2:$K$5000="院内")), ROW(A169)))&lt;&gt;0,INDEX(Kintoneデータ抽出!M:M, _xlfn.AGGREGATE(15, 6, ROW(Kintoneデータ抽出!$K$2:$K$5000) / ((Kintoneデータ抽出!$K$2:$K$5000="院内")), ROW(A169))),""), "")</f>
        <v/>
      </c>
      <c r="P206" s="78" t="str">
        <f t="array" ref="P206">IFERROR(IF(INDEX(Kintoneデータ抽出!L:L, _xlfn.AGGREGATE(15, 6, ROW(Kintoneデータ抽出!$K$2:$K$5000) / ((Kintoneデータ抽出!$K$2:$K$5000="院内")), ROW(A169)))&lt;&gt;"",
IF(COUNTIF(INDEX(Kintoneデータ抽出!L:L, _xlfn.AGGREGATE(15, 6, ROW(Kintoneデータ抽出!$K$2:$K$5000) / ((Kintoneデータ抽出!$K$2:$K$5000="院内")), ROW(A169))),"*企業主導型以外*"),"",
IF(COUNTIF(INDEX(Kintoneデータ抽出!L:L, _xlfn.AGGREGATE(15, 6, ROW(Kintoneデータ抽出!$K$2:$K$5000) / ((Kintoneデータ抽出!$K$2:$K$5000="院内")), ROW(A169))),"*その他*"),"",
IF(COUNTIF(INDEX(Kintoneデータ抽出!L:L, _xlfn.AGGREGATE(15, 6, ROW(Kintoneデータ抽出!$K$2:$K$5000) / ((Kintoneデータ抽出!$K$2:$K$5000="院内")), ROW(A169))),"*新制度*"),"新制度","企業主導型"))),""), "")</f>
        <v/>
      </c>
    </row>
    <row r="207" spans="2:16" ht="34.799999999999997" customHeight="1" x14ac:dyDescent="0.45">
      <c r="B207" s="28"/>
      <c r="C207" s="29"/>
      <c r="D207" s="98" t="str">
        <f t="shared" si="3"/>
        <v/>
      </c>
      <c r="E207" s="99"/>
      <c r="F207" s="75" t="str">
        <f t="array" ref="F207">IFERROR(INDEX(Kintoneデータ抽出!A:A, _xlfn.AGGREGATE(15, 6, ROW(Kintoneデータ抽出!$K$2:$K$5000) / ((Kintoneデータ抽出!$K$2:$K$5000="院内")), ROW(A170))), "")</f>
        <v/>
      </c>
      <c r="G207" s="77" t="str">
        <f t="array" ref="G207">IFERROR(INDEX(Kintoneデータ抽出!D:D, _xlfn.AGGREGATE(15, 6, ROW(Kintoneデータ抽出!$K$2:$K$5000) / ((Kintoneデータ抽出!$K$2:$K$5000="院内")), ROW(A170))), "")</f>
        <v/>
      </c>
      <c r="H207" s="77" t="str">
        <f t="array" ref="H207">IFERROR(INDEX(Kintoneデータ抽出!C:C, _xlfn.AGGREGATE(15, 6, ROW(Kintoneデータ抽出!$K$2:$K$5000) / ((Kintoneデータ抽出!$K$2:$K$5000="院内")), ROW(A170))), "")</f>
        <v/>
      </c>
      <c r="I207" s="75" t="str">
        <f t="array" ref="I207">IFERROR(IF(INDEX(Kintoneデータ抽出!G:G, _xlfn.AGGREGATE(15, 6, ROW(Kintoneデータ抽出!$K$2:$K$5000) / ((Kintoneデータ抽出!$K$2:$K$5000="院内")), ROW(A170)))&lt;&gt;"",INDEX(Kintoneデータ抽出!G:G, _xlfn.AGGREGATE(15, 6, ROW(Kintoneデータ抽出!$K$2:$K$5000) / ((Kintoneデータ抽出!$K$2:$K$5000="院内")), ROW(A170)))&amp;"名",""), "")</f>
        <v/>
      </c>
      <c r="J207" s="76" t="str">
        <f t="array" ref="J207">IFERROR(IF(INDEX(Kintoneデータ抽出!E:E, _xlfn.AGGREGATE(15, 6, ROW(Kintoneデータ抽出!$K$2:$K$5000) / ((Kintoneデータ抽出!$K$2:$K$5000="院内")), ROW(A170)))&lt;&gt;"",
YEAR(INDEX(Kintoneデータ抽出!E:E, _xlfn.AGGREGATE(15, 6, ROW(Kintoneデータ抽出!$K$2:$K$5000) / ((Kintoneデータ抽出!$K$2:$K$5000="院内")), ROW(A170))))&amp;"年"
&amp;MONTH(INDEX(Kintoneデータ抽出!E:E, _xlfn.AGGREGATE(15, 6, ROW(Kintoneデータ抽出!$K$2:$K$5000) / ((Kintoneデータ抽出!$K$2:$K$5000="院内")), ROW(A170))))&amp;"月"
&amp;DAY(INDEX(Kintoneデータ抽出!E:E, _xlfn.AGGREGATE(15, 6, ROW(Kintoneデータ抽出!$K$2:$K$5000) /((Kintoneデータ抽出!$K$2:$K$5000="院内")), ROW(A170))))&amp;"日",""), "")</f>
        <v/>
      </c>
      <c r="K207" s="77" t="str" cm="1">
        <f t="array" ref="K207">IFERROR(IF(INDEX(Kintoneデータ抽出!F:F, _xlfn.AGGREGATE(15, 6, ROW(Kintoneデータ抽出!$K$2:$K$5000) / ((Kintoneデータ抽出!$K$2:$K$5000="院内")), ROW(A170)))&lt;&gt;"",
VLOOKUP(INDEX(Kintoneデータ抽出!F:F, _xlfn.AGGREGATE(15, 6, ROW(Kintoneデータ抽出!$K$2:$K$5000) / ((Kintoneデータ抽出!$K$2:$K$5000="院内")), ROW(A170))),基本開園日の表記!$A$2:$B$13,2,FALSE),""), "")</f>
        <v/>
      </c>
      <c r="L207" s="75" t="str">
        <f t="array" ref="L207">IFERROR(IF(INDEX(Kintoneデータ抽出!F:F, _xlfn.AGGREGATE(15, 6, ROW(Kintoneデータ抽出!$K$2:$K$5000) / ((Kintoneデータ抽出!$K$2:$K$5000="院内")), ROW(A170)))&lt;&gt;"",
IF(COUNTIF(INDEX(Kintoneデータ抽出!F:F, _xlfn.AGGREGATE(15, 6, ROW(Kintoneデータ抽出!$K$2:$K$5000) / ((Kintoneデータ抽出!$K$2:$K$5000="院内")), ROW(A170))),"*あり*"),"夜間",""),""), "")</f>
        <v/>
      </c>
      <c r="M207" s="75" t="str">
        <f t="array" ref="M207">IFERROR(IF(INDEX(Kintoneデータ抽出!I:I, _xlfn.AGGREGATE(15, 6, ROW(Kintoneデータ抽出!$K$2:$K$5000) / ((Kintoneデータ抽出!$K$2:$K$5000="院内")), ROW(A170)))&lt;&gt;"",
IF(COUNTIF(INDEX(Kintoneデータ抽出!I:I, _xlfn.AGGREGATE(15, 6, ROW(Kintoneデータ抽出!$K$2:$K$5000) / ((Kintoneデータ抽出!$K$2:$K$5000="院内")), ROW(A170))),"*あり*"),"学童",""),""), "")</f>
        <v/>
      </c>
      <c r="N207" s="75" t="str">
        <f t="array" ref="N207">IFERROR(IF(INDEX(Kintoneデータ抽出!H:H, _xlfn.AGGREGATE(15, 6, ROW(Kintoneデータ抽出!$K$2:$K$5000) / ((Kintoneデータ抽出!$K$2:$K$5000="院内")), ROW(A170)))&lt;&gt;"",
IF(COUNTIF(INDEX(Kintoneデータ抽出!H:H, _xlfn.AGGREGATE(15, 6, ROW(Kintoneデータ抽出!$K$2:$K$5000) / ((Kintoneデータ抽出!$K$2:$K$5000="院内")), ROW(A170))),"*あり*"),"病児",""),""), "")</f>
        <v/>
      </c>
      <c r="O207" s="94" t="str" cm="1">
        <f t="array" ref="O207">IFERROR(
IF(INDEX(Kintoneデータ抽出!M:M, _xlfn.AGGREGATE(15, 6, ROW(Kintoneデータ抽出!$K$2:$K$5000) / ((Kintoneデータ抽出!$K$2:$K$5000="院内")), ROW(A170)))&lt;&gt;0,INDEX(Kintoneデータ抽出!M:M, _xlfn.AGGREGATE(15, 6, ROW(Kintoneデータ抽出!$K$2:$K$5000) / ((Kintoneデータ抽出!$K$2:$K$5000="院内")), ROW(A170))),""), "")</f>
        <v/>
      </c>
      <c r="P207" s="78" t="str">
        <f t="array" ref="P207">IFERROR(IF(INDEX(Kintoneデータ抽出!L:L, _xlfn.AGGREGATE(15, 6, ROW(Kintoneデータ抽出!$K$2:$K$5000) / ((Kintoneデータ抽出!$K$2:$K$5000="院内")), ROW(A170)))&lt;&gt;"",
IF(COUNTIF(INDEX(Kintoneデータ抽出!L:L, _xlfn.AGGREGATE(15, 6, ROW(Kintoneデータ抽出!$K$2:$K$5000) / ((Kintoneデータ抽出!$K$2:$K$5000="院内")), ROW(A170))),"*企業主導型以外*"),"",
IF(COUNTIF(INDEX(Kintoneデータ抽出!L:L, _xlfn.AGGREGATE(15, 6, ROW(Kintoneデータ抽出!$K$2:$K$5000) / ((Kintoneデータ抽出!$K$2:$K$5000="院内")), ROW(A170))),"*その他*"),"",
IF(COUNTIF(INDEX(Kintoneデータ抽出!L:L, _xlfn.AGGREGATE(15, 6, ROW(Kintoneデータ抽出!$K$2:$K$5000) / ((Kintoneデータ抽出!$K$2:$K$5000="院内")), ROW(A170))),"*新制度*"),"新制度","企業主導型"))),""), "")</f>
        <v/>
      </c>
    </row>
    <row r="208" spans="2:16" ht="34.799999999999997" customHeight="1" x14ac:dyDescent="0.45">
      <c r="B208" s="57" t="s">
        <v>42</v>
      </c>
      <c r="C208" s="50"/>
      <c r="D208" s="98" t="str">
        <f t="shared" si="3"/>
        <v/>
      </c>
      <c r="E208" s="99"/>
      <c r="F208" s="75" t="str">
        <f t="array" ref="F208">IFERROR(INDEX(Kintoneデータ抽出!A:A, _xlfn.AGGREGATE(15, 6, ROW(Kintoneデータ抽出!$K$2:$K$5000) / ((Kintoneデータ抽出!$K$2:$K$5000="院内")), ROW(A171))), "")</f>
        <v/>
      </c>
      <c r="G208" s="77" t="str">
        <f t="array" ref="G208">IFERROR(INDEX(Kintoneデータ抽出!D:D, _xlfn.AGGREGATE(15, 6, ROW(Kintoneデータ抽出!$K$2:$K$5000) / ((Kintoneデータ抽出!$K$2:$K$5000="院内")), ROW(A171))), "")</f>
        <v/>
      </c>
      <c r="H208" s="77" t="str">
        <f t="array" ref="H208">IFERROR(INDEX(Kintoneデータ抽出!C:C, _xlfn.AGGREGATE(15, 6, ROW(Kintoneデータ抽出!$K$2:$K$5000) / ((Kintoneデータ抽出!$K$2:$K$5000="院内")), ROW(A171))), "")</f>
        <v/>
      </c>
      <c r="I208" s="75" t="str">
        <f t="array" ref="I208">IFERROR(IF(INDEX(Kintoneデータ抽出!G:G, _xlfn.AGGREGATE(15, 6, ROW(Kintoneデータ抽出!$K$2:$K$5000) / ((Kintoneデータ抽出!$K$2:$K$5000="院内")), ROW(A171)))&lt;&gt;"",INDEX(Kintoneデータ抽出!G:G, _xlfn.AGGREGATE(15, 6, ROW(Kintoneデータ抽出!$K$2:$K$5000) / ((Kintoneデータ抽出!$K$2:$K$5000="院内")), ROW(A171)))&amp;"名",""), "")</f>
        <v/>
      </c>
      <c r="J208" s="76" t="str">
        <f t="array" ref="J208">IFERROR(IF(INDEX(Kintoneデータ抽出!E:E, _xlfn.AGGREGATE(15, 6, ROW(Kintoneデータ抽出!$K$2:$K$5000) / ((Kintoneデータ抽出!$K$2:$K$5000="院内")), ROW(A171)))&lt;&gt;"",
YEAR(INDEX(Kintoneデータ抽出!E:E, _xlfn.AGGREGATE(15, 6, ROW(Kintoneデータ抽出!$K$2:$K$5000) / ((Kintoneデータ抽出!$K$2:$K$5000="院内")), ROW(A171))))&amp;"年"
&amp;MONTH(INDEX(Kintoneデータ抽出!E:E, _xlfn.AGGREGATE(15, 6, ROW(Kintoneデータ抽出!$K$2:$K$5000) / ((Kintoneデータ抽出!$K$2:$K$5000="院内")), ROW(A171))))&amp;"月"
&amp;DAY(INDEX(Kintoneデータ抽出!E:E, _xlfn.AGGREGATE(15, 6, ROW(Kintoneデータ抽出!$K$2:$K$5000) /((Kintoneデータ抽出!$K$2:$K$5000="院内")), ROW(A171))))&amp;"日",""), "")</f>
        <v/>
      </c>
      <c r="K208" s="77" t="str" cm="1">
        <f t="array" ref="K208">IFERROR(IF(INDEX(Kintoneデータ抽出!F:F, _xlfn.AGGREGATE(15, 6, ROW(Kintoneデータ抽出!$K$2:$K$5000) / ((Kintoneデータ抽出!$K$2:$K$5000="院内")), ROW(A171)))&lt;&gt;"",
VLOOKUP(INDEX(Kintoneデータ抽出!F:F, _xlfn.AGGREGATE(15, 6, ROW(Kintoneデータ抽出!$K$2:$K$5000) / ((Kintoneデータ抽出!$K$2:$K$5000="院内")), ROW(A171))),基本開園日の表記!$A$2:$B$13,2,FALSE),""), "")</f>
        <v/>
      </c>
      <c r="L208" s="75" t="str">
        <f t="array" ref="L208">IFERROR(IF(INDEX(Kintoneデータ抽出!F:F, _xlfn.AGGREGATE(15, 6, ROW(Kintoneデータ抽出!$K$2:$K$5000) / ((Kintoneデータ抽出!$K$2:$K$5000="院内")), ROW(A171)))&lt;&gt;"",
IF(COUNTIF(INDEX(Kintoneデータ抽出!F:F, _xlfn.AGGREGATE(15, 6, ROW(Kintoneデータ抽出!$K$2:$K$5000) / ((Kintoneデータ抽出!$K$2:$K$5000="院内")), ROW(A171))),"*あり*"),"夜間",""),""), "")</f>
        <v/>
      </c>
      <c r="M208" s="75" t="str">
        <f t="array" ref="M208">IFERROR(IF(INDEX(Kintoneデータ抽出!I:I, _xlfn.AGGREGATE(15, 6, ROW(Kintoneデータ抽出!$K$2:$K$5000) / ((Kintoneデータ抽出!$K$2:$K$5000="院内")), ROW(A171)))&lt;&gt;"",
IF(COUNTIF(INDEX(Kintoneデータ抽出!I:I, _xlfn.AGGREGATE(15, 6, ROW(Kintoneデータ抽出!$K$2:$K$5000) / ((Kintoneデータ抽出!$K$2:$K$5000="院内")), ROW(A171))),"*あり*"),"学童",""),""), "")</f>
        <v/>
      </c>
      <c r="N208" s="75" t="str">
        <f t="array" ref="N208">IFERROR(IF(INDEX(Kintoneデータ抽出!H:H, _xlfn.AGGREGATE(15, 6, ROW(Kintoneデータ抽出!$K$2:$K$5000) / ((Kintoneデータ抽出!$K$2:$K$5000="院内")), ROW(A171)))&lt;&gt;"",
IF(COUNTIF(INDEX(Kintoneデータ抽出!H:H, _xlfn.AGGREGATE(15, 6, ROW(Kintoneデータ抽出!$K$2:$K$5000) / ((Kintoneデータ抽出!$K$2:$K$5000="院内")), ROW(A171))),"*あり*"),"病児",""),""), "")</f>
        <v/>
      </c>
      <c r="O208" s="94" t="str" cm="1">
        <f t="array" ref="O208">IFERROR(
IF(INDEX(Kintoneデータ抽出!M:M, _xlfn.AGGREGATE(15, 6, ROW(Kintoneデータ抽出!$K$2:$K$5000) / ((Kintoneデータ抽出!$K$2:$K$5000="院内")), ROW(A171)))&lt;&gt;0,INDEX(Kintoneデータ抽出!M:M, _xlfn.AGGREGATE(15, 6, ROW(Kintoneデータ抽出!$K$2:$K$5000) / ((Kintoneデータ抽出!$K$2:$K$5000="院内")), ROW(A171))),""), "")</f>
        <v/>
      </c>
      <c r="P208" s="78" t="str">
        <f t="array" ref="P208">IFERROR(IF(INDEX(Kintoneデータ抽出!L:L, _xlfn.AGGREGATE(15, 6, ROW(Kintoneデータ抽出!$K$2:$K$5000) / ((Kintoneデータ抽出!$K$2:$K$5000="院内")), ROW(A171)))&lt;&gt;"",
IF(COUNTIF(INDEX(Kintoneデータ抽出!L:L, _xlfn.AGGREGATE(15, 6, ROW(Kintoneデータ抽出!$K$2:$K$5000) / ((Kintoneデータ抽出!$K$2:$K$5000="院内")), ROW(A171))),"*企業主導型以外*"),"",
IF(COUNTIF(INDEX(Kintoneデータ抽出!L:L, _xlfn.AGGREGATE(15, 6, ROW(Kintoneデータ抽出!$K$2:$K$5000) / ((Kintoneデータ抽出!$K$2:$K$5000="院内")), ROW(A171))),"*その他*"),"",
IF(COUNTIF(INDEX(Kintoneデータ抽出!L:L, _xlfn.AGGREGATE(15, 6, ROW(Kintoneデータ抽出!$K$2:$K$5000) / ((Kintoneデータ抽出!$K$2:$K$5000="院内")), ROW(A171))),"*新制度*"),"新制度","企業主導型"))),""), "")</f>
        <v/>
      </c>
    </row>
    <row r="209" spans="2:16" ht="34.799999999999997" customHeight="1" x14ac:dyDescent="0.45">
      <c r="B209" s="45"/>
      <c r="C209" s="46"/>
      <c r="D209" s="98" t="str">
        <f t="shared" si="3"/>
        <v/>
      </c>
      <c r="E209" s="99"/>
      <c r="F209" s="75" t="str">
        <f t="array" ref="F209">IFERROR(INDEX(Kintoneデータ抽出!A:A, _xlfn.AGGREGATE(15, 6, ROW(Kintoneデータ抽出!$K$2:$K$5000) / ((Kintoneデータ抽出!$K$2:$K$5000="院内")), ROW(A172))), "")</f>
        <v/>
      </c>
      <c r="G209" s="77" t="str">
        <f t="array" ref="G209">IFERROR(INDEX(Kintoneデータ抽出!D:D, _xlfn.AGGREGATE(15, 6, ROW(Kintoneデータ抽出!$K$2:$K$5000) / ((Kintoneデータ抽出!$K$2:$K$5000="院内")), ROW(A172))), "")</f>
        <v/>
      </c>
      <c r="H209" s="77" t="str">
        <f t="array" ref="H209">IFERROR(INDEX(Kintoneデータ抽出!C:C, _xlfn.AGGREGATE(15, 6, ROW(Kintoneデータ抽出!$K$2:$K$5000) / ((Kintoneデータ抽出!$K$2:$K$5000="院内")), ROW(A172))), "")</f>
        <v/>
      </c>
      <c r="I209" s="75" t="str">
        <f t="array" ref="I209">IFERROR(IF(INDEX(Kintoneデータ抽出!G:G, _xlfn.AGGREGATE(15, 6, ROW(Kintoneデータ抽出!$K$2:$K$5000) / ((Kintoneデータ抽出!$K$2:$K$5000="院内")), ROW(A172)))&lt;&gt;"",INDEX(Kintoneデータ抽出!G:G, _xlfn.AGGREGATE(15, 6, ROW(Kintoneデータ抽出!$K$2:$K$5000) / ((Kintoneデータ抽出!$K$2:$K$5000="院内")), ROW(A172)))&amp;"名",""), "")</f>
        <v/>
      </c>
      <c r="J209" s="76" t="str">
        <f t="array" ref="J209">IFERROR(IF(INDEX(Kintoneデータ抽出!E:E, _xlfn.AGGREGATE(15, 6, ROW(Kintoneデータ抽出!$K$2:$K$5000) / ((Kintoneデータ抽出!$K$2:$K$5000="院内")), ROW(A172)))&lt;&gt;"",
YEAR(INDEX(Kintoneデータ抽出!E:E, _xlfn.AGGREGATE(15, 6, ROW(Kintoneデータ抽出!$K$2:$K$5000) / ((Kintoneデータ抽出!$K$2:$K$5000="院内")), ROW(A172))))&amp;"年"
&amp;MONTH(INDEX(Kintoneデータ抽出!E:E, _xlfn.AGGREGATE(15, 6, ROW(Kintoneデータ抽出!$K$2:$K$5000) / ((Kintoneデータ抽出!$K$2:$K$5000="院内")), ROW(A172))))&amp;"月"
&amp;DAY(INDEX(Kintoneデータ抽出!E:E, _xlfn.AGGREGATE(15, 6, ROW(Kintoneデータ抽出!$K$2:$K$5000) /((Kintoneデータ抽出!$K$2:$K$5000="院内")), ROW(A172))))&amp;"日",""), "")</f>
        <v/>
      </c>
      <c r="K209" s="77" t="str" cm="1">
        <f t="array" ref="K209">IFERROR(IF(INDEX(Kintoneデータ抽出!F:F, _xlfn.AGGREGATE(15, 6, ROW(Kintoneデータ抽出!$K$2:$K$5000) / ((Kintoneデータ抽出!$K$2:$K$5000="院内")), ROW(A172)))&lt;&gt;"",
VLOOKUP(INDEX(Kintoneデータ抽出!F:F, _xlfn.AGGREGATE(15, 6, ROW(Kintoneデータ抽出!$K$2:$K$5000) / ((Kintoneデータ抽出!$K$2:$K$5000="院内")), ROW(A172))),基本開園日の表記!$A$2:$B$13,2,FALSE),""), "")</f>
        <v/>
      </c>
      <c r="L209" s="75" t="str">
        <f t="array" ref="L209">IFERROR(IF(INDEX(Kintoneデータ抽出!F:F, _xlfn.AGGREGATE(15, 6, ROW(Kintoneデータ抽出!$K$2:$K$5000) / ((Kintoneデータ抽出!$K$2:$K$5000="院内")), ROW(A172)))&lt;&gt;"",
IF(COUNTIF(INDEX(Kintoneデータ抽出!F:F, _xlfn.AGGREGATE(15, 6, ROW(Kintoneデータ抽出!$K$2:$K$5000) / ((Kintoneデータ抽出!$K$2:$K$5000="院内")), ROW(A172))),"*あり*"),"夜間",""),""), "")</f>
        <v/>
      </c>
      <c r="M209" s="75" t="str">
        <f t="array" ref="M209">IFERROR(IF(INDEX(Kintoneデータ抽出!I:I, _xlfn.AGGREGATE(15, 6, ROW(Kintoneデータ抽出!$K$2:$K$5000) / ((Kintoneデータ抽出!$K$2:$K$5000="院内")), ROW(A172)))&lt;&gt;"",
IF(COUNTIF(INDEX(Kintoneデータ抽出!I:I, _xlfn.AGGREGATE(15, 6, ROW(Kintoneデータ抽出!$K$2:$K$5000) / ((Kintoneデータ抽出!$K$2:$K$5000="院内")), ROW(A172))),"*あり*"),"学童",""),""), "")</f>
        <v/>
      </c>
      <c r="N209" s="75" t="str">
        <f t="array" ref="N209">IFERROR(IF(INDEX(Kintoneデータ抽出!H:H, _xlfn.AGGREGATE(15, 6, ROW(Kintoneデータ抽出!$K$2:$K$5000) / ((Kintoneデータ抽出!$K$2:$K$5000="院内")), ROW(A172)))&lt;&gt;"",
IF(COUNTIF(INDEX(Kintoneデータ抽出!H:H, _xlfn.AGGREGATE(15, 6, ROW(Kintoneデータ抽出!$K$2:$K$5000) / ((Kintoneデータ抽出!$K$2:$K$5000="院内")), ROW(A172))),"*あり*"),"病児",""),""), "")</f>
        <v/>
      </c>
      <c r="O209" s="94" t="str" cm="1">
        <f t="array" ref="O209">IFERROR(
IF(INDEX(Kintoneデータ抽出!M:M, _xlfn.AGGREGATE(15, 6, ROW(Kintoneデータ抽出!$K$2:$K$5000) / ((Kintoneデータ抽出!$K$2:$K$5000="院内")), ROW(A172)))&lt;&gt;0,INDEX(Kintoneデータ抽出!M:M, _xlfn.AGGREGATE(15, 6, ROW(Kintoneデータ抽出!$K$2:$K$5000) / ((Kintoneデータ抽出!$K$2:$K$5000="院内")), ROW(A172))),""), "")</f>
        <v/>
      </c>
      <c r="P209" s="78" t="str">
        <f t="array" ref="P209">IFERROR(IF(INDEX(Kintoneデータ抽出!L:L, _xlfn.AGGREGATE(15, 6, ROW(Kintoneデータ抽出!$K$2:$K$5000) / ((Kintoneデータ抽出!$K$2:$K$5000="院内")), ROW(A172)))&lt;&gt;"",
IF(COUNTIF(INDEX(Kintoneデータ抽出!L:L, _xlfn.AGGREGATE(15, 6, ROW(Kintoneデータ抽出!$K$2:$K$5000) / ((Kintoneデータ抽出!$K$2:$K$5000="院内")), ROW(A172))),"*企業主導型以外*"),"",
IF(COUNTIF(INDEX(Kintoneデータ抽出!L:L, _xlfn.AGGREGATE(15, 6, ROW(Kintoneデータ抽出!$K$2:$K$5000) / ((Kintoneデータ抽出!$K$2:$K$5000="院内")), ROW(A172))),"*その他*"),"",
IF(COUNTIF(INDEX(Kintoneデータ抽出!L:L, _xlfn.AGGREGATE(15, 6, ROW(Kintoneデータ抽出!$K$2:$K$5000) / ((Kintoneデータ抽出!$K$2:$K$5000="院内")), ROW(A172))),"*新制度*"),"新制度","企業主導型"))),""), "")</f>
        <v/>
      </c>
    </row>
    <row r="210" spans="2:16" ht="34.799999999999997" customHeight="1" x14ac:dyDescent="0.45">
      <c r="B210" s="45"/>
      <c r="C210" s="46"/>
      <c r="D210" s="98" t="str">
        <f t="shared" si="3"/>
        <v/>
      </c>
      <c r="E210" s="99"/>
      <c r="F210" s="75" t="str">
        <f t="array" ref="F210">IFERROR(INDEX(Kintoneデータ抽出!A:A, _xlfn.AGGREGATE(15, 6, ROW(Kintoneデータ抽出!$K$2:$K$5000) / ((Kintoneデータ抽出!$K$2:$K$5000="院内")), ROW(A173))), "")</f>
        <v/>
      </c>
      <c r="G210" s="77" t="str">
        <f t="array" ref="G210">IFERROR(INDEX(Kintoneデータ抽出!D:D, _xlfn.AGGREGATE(15, 6, ROW(Kintoneデータ抽出!$K$2:$K$5000) / ((Kintoneデータ抽出!$K$2:$K$5000="院内")), ROW(A173))), "")</f>
        <v/>
      </c>
      <c r="H210" s="77" t="str">
        <f t="array" ref="H210">IFERROR(INDEX(Kintoneデータ抽出!C:C, _xlfn.AGGREGATE(15, 6, ROW(Kintoneデータ抽出!$K$2:$K$5000) / ((Kintoneデータ抽出!$K$2:$K$5000="院内")), ROW(A173))), "")</f>
        <v/>
      </c>
      <c r="I210" s="75" t="str">
        <f t="array" ref="I210">IFERROR(IF(INDEX(Kintoneデータ抽出!G:G, _xlfn.AGGREGATE(15, 6, ROW(Kintoneデータ抽出!$K$2:$K$5000) / ((Kintoneデータ抽出!$K$2:$K$5000="院内")), ROW(A173)))&lt;&gt;"",INDEX(Kintoneデータ抽出!G:G, _xlfn.AGGREGATE(15, 6, ROW(Kintoneデータ抽出!$K$2:$K$5000) / ((Kintoneデータ抽出!$K$2:$K$5000="院内")), ROW(A173)))&amp;"名",""), "")</f>
        <v/>
      </c>
      <c r="J210" s="76" t="str">
        <f t="array" ref="J210">IFERROR(IF(INDEX(Kintoneデータ抽出!E:E, _xlfn.AGGREGATE(15, 6, ROW(Kintoneデータ抽出!$K$2:$K$5000) / ((Kintoneデータ抽出!$K$2:$K$5000="院内")), ROW(A173)))&lt;&gt;"",
YEAR(INDEX(Kintoneデータ抽出!E:E, _xlfn.AGGREGATE(15, 6, ROW(Kintoneデータ抽出!$K$2:$K$5000) / ((Kintoneデータ抽出!$K$2:$K$5000="院内")), ROW(A173))))&amp;"年"
&amp;MONTH(INDEX(Kintoneデータ抽出!E:E, _xlfn.AGGREGATE(15, 6, ROW(Kintoneデータ抽出!$K$2:$K$5000) / ((Kintoneデータ抽出!$K$2:$K$5000="院内")), ROW(A173))))&amp;"月"
&amp;DAY(INDEX(Kintoneデータ抽出!E:E, _xlfn.AGGREGATE(15, 6, ROW(Kintoneデータ抽出!$K$2:$K$5000) /((Kintoneデータ抽出!$K$2:$K$5000="院内")), ROW(A173))))&amp;"日",""), "")</f>
        <v/>
      </c>
      <c r="K210" s="77" t="str" cm="1">
        <f t="array" ref="K210">IFERROR(IF(INDEX(Kintoneデータ抽出!F:F, _xlfn.AGGREGATE(15, 6, ROW(Kintoneデータ抽出!$K$2:$K$5000) / ((Kintoneデータ抽出!$K$2:$K$5000="院内")), ROW(A173)))&lt;&gt;"",
VLOOKUP(INDEX(Kintoneデータ抽出!F:F, _xlfn.AGGREGATE(15, 6, ROW(Kintoneデータ抽出!$K$2:$K$5000) / ((Kintoneデータ抽出!$K$2:$K$5000="院内")), ROW(A173))),基本開園日の表記!$A$2:$B$13,2,FALSE),""), "")</f>
        <v/>
      </c>
      <c r="L210" s="75" t="str">
        <f t="array" ref="L210">IFERROR(IF(INDEX(Kintoneデータ抽出!F:F, _xlfn.AGGREGATE(15, 6, ROW(Kintoneデータ抽出!$K$2:$K$5000) / ((Kintoneデータ抽出!$K$2:$K$5000="院内")), ROW(A173)))&lt;&gt;"",
IF(COUNTIF(INDEX(Kintoneデータ抽出!F:F, _xlfn.AGGREGATE(15, 6, ROW(Kintoneデータ抽出!$K$2:$K$5000) / ((Kintoneデータ抽出!$K$2:$K$5000="院内")), ROW(A173))),"*あり*"),"夜間",""),""), "")</f>
        <v/>
      </c>
      <c r="M210" s="75" t="str">
        <f t="array" ref="M210">IFERROR(IF(INDEX(Kintoneデータ抽出!I:I, _xlfn.AGGREGATE(15, 6, ROW(Kintoneデータ抽出!$K$2:$K$5000) / ((Kintoneデータ抽出!$K$2:$K$5000="院内")), ROW(A173)))&lt;&gt;"",
IF(COUNTIF(INDEX(Kintoneデータ抽出!I:I, _xlfn.AGGREGATE(15, 6, ROW(Kintoneデータ抽出!$K$2:$K$5000) / ((Kintoneデータ抽出!$K$2:$K$5000="院内")), ROW(A173))),"*あり*"),"学童",""),""), "")</f>
        <v/>
      </c>
      <c r="N210" s="75" t="str">
        <f t="array" ref="N210">IFERROR(IF(INDEX(Kintoneデータ抽出!H:H, _xlfn.AGGREGATE(15, 6, ROW(Kintoneデータ抽出!$K$2:$K$5000) / ((Kintoneデータ抽出!$K$2:$K$5000="院内")), ROW(A173)))&lt;&gt;"",
IF(COUNTIF(INDEX(Kintoneデータ抽出!H:H, _xlfn.AGGREGATE(15, 6, ROW(Kintoneデータ抽出!$K$2:$K$5000) / ((Kintoneデータ抽出!$K$2:$K$5000="院内")), ROW(A173))),"*あり*"),"病児",""),""), "")</f>
        <v/>
      </c>
      <c r="O210" s="94" t="str" cm="1">
        <f t="array" ref="O210">IFERROR(
IF(INDEX(Kintoneデータ抽出!M:M, _xlfn.AGGREGATE(15, 6, ROW(Kintoneデータ抽出!$K$2:$K$5000) / ((Kintoneデータ抽出!$K$2:$K$5000="院内")), ROW(A173)))&lt;&gt;0,INDEX(Kintoneデータ抽出!M:M, _xlfn.AGGREGATE(15, 6, ROW(Kintoneデータ抽出!$K$2:$K$5000) / ((Kintoneデータ抽出!$K$2:$K$5000="院内")), ROW(A173))),""), "")</f>
        <v/>
      </c>
      <c r="P210" s="78" t="str">
        <f t="array" ref="P210">IFERROR(IF(INDEX(Kintoneデータ抽出!L:L, _xlfn.AGGREGATE(15, 6, ROW(Kintoneデータ抽出!$K$2:$K$5000) / ((Kintoneデータ抽出!$K$2:$K$5000="院内")), ROW(A173)))&lt;&gt;"",
IF(COUNTIF(INDEX(Kintoneデータ抽出!L:L, _xlfn.AGGREGATE(15, 6, ROW(Kintoneデータ抽出!$K$2:$K$5000) / ((Kintoneデータ抽出!$K$2:$K$5000="院内")), ROW(A173))),"*企業主導型以外*"),"",
IF(COUNTIF(INDEX(Kintoneデータ抽出!L:L, _xlfn.AGGREGATE(15, 6, ROW(Kintoneデータ抽出!$K$2:$K$5000) / ((Kintoneデータ抽出!$K$2:$K$5000="院内")), ROW(A173))),"*その他*"),"",
IF(COUNTIF(INDEX(Kintoneデータ抽出!L:L, _xlfn.AGGREGATE(15, 6, ROW(Kintoneデータ抽出!$K$2:$K$5000) / ((Kintoneデータ抽出!$K$2:$K$5000="院内")), ROW(A173))),"*新制度*"),"新制度","企業主導型"))),""), "")</f>
        <v/>
      </c>
    </row>
    <row r="211" spans="2:16" ht="34.799999999999997" customHeight="1" x14ac:dyDescent="0.45">
      <c r="B211" s="45"/>
      <c r="C211" s="46"/>
      <c r="D211" s="98" t="str">
        <f t="shared" si="3"/>
        <v/>
      </c>
      <c r="E211" s="99"/>
      <c r="F211" s="75" t="str">
        <f t="array" ref="F211">IFERROR(INDEX(Kintoneデータ抽出!A:A, _xlfn.AGGREGATE(15, 6, ROW(Kintoneデータ抽出!$K$2:$K$5000) / ((Kintoneデータ抽出!$K$2:$K$5000="院内")), ROW(A174))), "")</f>
        <v/>
      </c>
      <c r="G211" s="77" t="str">
        <f t="array" ref="G211">IFERROR(INDEX(Kintoneデータ抽出!D:D, _xlfn.AGGREGATE(15, 6, ROW(Kintoneデータ抽出!$K$2:$K$5000) / ((Kintoneデータ抽出!$K$2:$K$5000="院内")), ROW(A174))), "")</f>
        <v/>
      </c>
      <c r="H211" s="77" t="str">
        <f t="array" ref="H211">IFERROR(INDEX(Kintoneデータ抽出!C:C, _xlfn.AGGREGATE(15, 6, ROW(Kintoneデータ抽出!$K$2:$K$5000) / ((Kintoneデータ抽出!$K$2:$K$5000="院内")), ROW(A174))), "")</f>
        <v/>
      </c>
      <c r="I211" s="75" t="str">
        <f t="array" ref="I211">IFERROR(IF(INDEX(Kintoneデータ抽出!G:G, _xlfn.AGGREGATE(15, 6, ROW(Kintoneデータ抽出!$K$2:$K$5000) / ((Kintoneデータ抽出!$K$2:$K$5000="院内")), ROW(A174)))&lt;&gt;"",INDEX(Kintoneデータ抽出!G:G, _xlfn.AGGREGATE(15, 6, ROW(Kintoneデータ抽出!$K$2:$K$5000) / ((Kintoneデータ抽出!$K$2:$K$5000="院内")), ROW(A174)))&amp;"名",""), "")</f>
        <v/>
      </c>
      <c r="J211" s="76" t="str">
        <f t="array" ref="J211">IFERROR(IF(INDEX(Kintoneデータ抽出!E:E, _xlfn.AGGREGATE(15, 6, ROW(Kintoneデータ抽出!$K$2:$K$5000) / ((Kintoneデータ抽出!$K$2:$K$5000="院内")), ROW(A174)))&lt;&gt;"",
YEAR(INDEX(Kintoneデータ抽出!E:E, _xlfn.AGGREGATE(15, 6, ROW(Kintoneデータ抽出!$K$2:$K$5000) / ((Kintoneデータ抽出!$K$2:$K$5000="院内")), ROW(A174))))&amp;"年"
&amp;MONTH(INDEX(Kintoneデータ抽出!E:E, _xlfn.AGGREGATE(15, 6, ROW(Kintoneデータ抽出!$K$2:$K$5000) / ((Kintoneデータ抽出!$K$2:$K$5000="院内")), ROW(A174))))&amp;"月"
&amp;DAY(INDEX(Kintoneデータ抽出!E:E, _xlfn.AGGREGATE(15, 6, ROW(Kintoneデータ抽出!$K$2:$K$5000) /((Kintoneデータ抽出!$K$2:$K$5000="院内")), ROW(A174))))&amp;"日",""), "")</f>
        <v/>
      </c>
      <c r="K211" s="77" t="str" cm="1">
        <f t="array" ref="K211">IFERROR(IF(INDEX(Kintoneデータ抽出!F:F, _xlfn.AGGREGATE(15, 6, ROW(Kintoneデータ抽出!$K$2:$K$5000) / ((Kintoneデータ抽出!$K$2:$K$5000="院内")), ROW(A174)))&lt;&gt;"",
VLOOKUP(INDEX(Kintoneデータ抽出!F:F, _xlfn.AGGREGATE(15, 6, ROW(Kintoneデータ抽出!$K$2:$K$5000) / ((Kintoneデータ抽出!$K$2:$K$5000="院内")), ROW(A174))),基本開園日の表記!$A$2:$B$13,2,FALSE),""), "")</f>
        <v/>
      </c>
      <c r="L211" s="75" t="str">
        <f t="array" ref="L211">IFERROR(IF(INDEX(Kintoneデータ抽出!F:F, _xlfn.AGGREGATE(15, 6, ROW(Kintoneデータ抽出!$K$2:$K$5000) / ((Kintoneデータ抽出!$K$2:$K$5000="院内")), ROW(A174)))&lt;&gt;"",
IF(COUNTIF(INDEX(Kintoneデータ抽出!F:F, _xlfn.AGGREGATE(15, 6, ROW(Kintoneデータ抽出!$K$2:$K$5000) / ((Kintoneデータ抽出!$K$2:$K$5000="院内")), ROW(A174))),"*あり*"),"夜間",""),""), "")</f>
        <v/>
      </c>
      <c r="M211" s="75" t="str">
        <f t="array" ref="M211">IFERROR(IF(INDEX(Kintoneデータ抽出!I:I, _xlfn.AGGREGATE(15, 6, ROW(Kintoneデータ抽出!$K$2:$K$5000) / ((Kintoneデータ抽出!$K$2:$K$5000="院内")), ROW(A174)))&lt;&gt;"",
IF(COUNTIF(INDEX(Kintoneデータ抽出!I:I, _xlfn.AGGREGATE(15, 6, ROW(Kintoneデータ抽出!$K$2:$K$5000) / ((Kintoneデータ抽出!$K$2:$K$5000="院内")), ROW(A174))),"*あり*"),"学童",""),""), "")</f>
        <v/>
      </c>
      <c r="N211" s="75" t="str">
        <f t="array" ref="N211">IFERROR(IF(INDEX(Kintoneデータ抽出!H:H, _xlfn.AGGREGATE(15, 6, ROW(Kintoneデータ抽出!$K$2:$K$5000) / ((Kintoneデータ抽出!$K$2:$K$5000="院内")), ROW(A174)))&lt;&gt;"",
IF(COUNTIF(INDEX(Kintoneデータ抽出!H:H, _xlfn.AGGREGATE(15, 6, ROW(Kintoneデータ抽出!$K$2:$K$5000) / ((Kintoneデータ抽出!$K$2:$K$5000="院内")), ROW(A174))),"*あり*"),"病児",""),""), "")</f>
        <v/>
      </c>
      <c r="O211" s="94" t="str" cm="1">
        <f t="array" ref="O211">IFERROR(
IF(INDEX(Kintoneデータ抽出!M:M, _xlfn.AGGREGATE(15, 6, ROW(Kintoneデータ抽出!$K$2:$K$5000) / ((Kintoneデータ抽出!$K$2:$K$5000="院内")), ROW(A174)))&lt;&gt;0,INDEX(Kintoneデータ抽出!M:M, _xlfn.AGGREGATE(15, 6, ROW(Kintoneデータ抽出!$K$2:$K$5000) / ((Kintoneデータ抽出!$K$2:$K$5000="院内")), ROW(A174))),""), "")</f>
        <v/>
      </c>
      <c r="P211" s="78" t="str">
        <f t="array" ref="P211">IFERROR(IF(INDEX(Kintoneデータ抽出!L:L, _xlfn.AGGREGATE(15, 6, ROW(Kintoneデータ抽出!$K$2:$K$5000) / ((Kintoneデータ抽出!$K$2:$K$5000="院内")), ROW(A174)))&lt;&gt;"",
IF(COUNTIF(INDEX(Kintoneデータ抽出!L:L, _xlfn.AGGREGATE(15, 6, ROW(Kintoneデータ抽出!$K$2:$K$5000) / ((Kintoneデータ抽出!$K$2:$K$5000="院内")), ROW(A174))),"*企業主導型以外*"),"",
IF(COUNTIF(INDEX(Kintoneデータ抽出!L:L, _xlfn.AGGREGATE(15, 6, ROW(Kintoneデータ抽出!$K$2:$K$5000) / ((Kintoneデータ抽出!$K$2:$K$5000="院内")), ROW(A174))),"*その他*"),"",
IF(COUNTIF(INDEX(Kintoneデータ抽出!L:L, _xlfn.AGGREGATE(15, 6, ROW(Kintoneデータ抽出!$K$2:$K$5000) / ((Kintoneデータ抽出!$K$2:$K$5000="院内")), ROW(A174))),"*新制度*"),"新制度","企業主導型"))),""), "")</f>
        <v/>
      </c>
    </row>
    <row r="212" spans="2:16" ht="34.799999999999997" customHeight="1" x14ac:dyDescent="0.45">
      <c r="B212" s="45"/>
      <c r="C212" s="46"/>
      <c r="D212" s="98" t="str">
        <f t="shared" si="3"/>
        <v/>
      </c>
      <c r="E212" s="99"/>
      <c r="F212" s="75" t="str">
        <f t="array" ref="F212">IFERROR(INDEX(Kintoneデータ抽出!A:A, _xlfn.AGGREGATE(15, 6, ROW(Kintoneデータ抽出!$K$2:$K$5000) / ((Kintoneデータ抽出!$K$2:$K$5000="院内")), ROW(A175))), "")</f>
        <v/>
      </c>
      <c r="G212" s="77" t="str">
        <f t="array" ref="G212">IFERROR(INDEX(Kintoneデータ抽出!D:D, _xlfn.AGGREGATE(15, 6, ROW(Kintoneデータ抽出!$K$2:$K$5000) / ((Kintoneデータ抽出!$K$2:$K$5000="院内")), ROW(A175))), "")</f>
        <v/>
      </c>
      <c r="H212" s="77" t="str">
        <f t="array" ref="H212">IFERROR(INDEX(Kintoneデータ抽出!C:C, _xlfn.AGGREGATE(15, 6, ROW(Kintoneデータ抽出!$K$2:$K$5000) / ((Kintoneデータ抽出!$K$2:$K$5000="院内")), ROW(A175))), "")</f>
        <v/>
      </c>
      <c r="I212" s="75" t="str">
        <f t="array" ref="I212">IFERROR(IF(INDEX(Kintoneデータ抽出!G:G, _xlfn.AGGREGATE(15, 6, ROW(Kintoneデータ抽出!$K$2:$K$5000) / ((Kintoneデータ抽出!$K$2:$K$5000="院内")), ROW(A175)))&lt;&gt;"",INDEX(Kintoneデータ抽出!G:G, _xlfn.AGGREGATE(15, 6, ROW(Kintoneデータ抽出!$K$2:$K$5000) / ((Kintoneデータ抽出!$K$2:$K$5000="院内")), ROW(A175)))&amp;"名",""), "")</f>
        <v/>
      </c>
      <c r="J212" s="76" t="str">
        <f t="array" ref="J212">IFERROR(IF(INDEX(Kintoneデータ抽出!E:E, _xlfn.AGGREGATE(15, 6, ROW(Kintoneデータ抽出!$K$2:$K$5000) / ((Kintoneデータ抽出!$K$2:$K$5000="院内")), ROW(A175)))&lt;&gt;"",
YEAR(INDEX(Kintoneデータ抽出!E:E, _xlfn.AGGREGATE(15, 6, ROW(Kintoneデータ抽出!$K$2:$K$5000) / ((Kintoneデータ抽出!$K$2:$K$5000="院内")), ROW(A175))))&amp;"年"
&amp;MONTH(INDEX(Kintoneデータ抽出!E:E, _xlfn.AGGREGATE(15, 6, ROW(Kintoneデータ抽出!$K$2:$K$5000) / ((Kintoneデータ抽出!$K$2:$K$5000="院内")), ROW(A175))))&amp;"月"
&amp;DAY(INDEX(Kintoneデータ抽出!E:E, _xlfn.AGGREGATE(15, 6, ROW(Kintoneデータ抽出!$K$2:$K$5000) /((Kintoneデータ抽出!$K$2:$K$5000="院内")), ROW(A175))))&amp;"日",""), "")</f>
        <v/>
      </c>
      <c r="K212" s="77" t="str" cm="1">
        <f t="array" ref="K212">IFERROR(IF(INDEX(Kintoneデータ抽出!F:F, _xlfn.AGGREGATE(15, 6, ROW(Kintoneデータ抽出!$K$2:$K$5000) / ((Kintoneデータ抽出!$K$2:$K$5000="院内")), ROW(A175)))&lt;&gt;"",
VLOOKUP(INDEX(Kintoneデータ抽出!F:F, _xlfn.AGGREGATE(15, 6, ROW(Kintoneデータ抽出!$K$2:$K$5000) / ((Kintoneデータ抽出!$K$2:$K$5000="院内")), ROW(A175))),基本開園日の表記!$A$2:$B$13,2,FALSE),""), "")</f>
        <v/>
      </c>
      <c r="L212" s="75" t="str">
        <f t="array" ref="L212">IFERROR(IF(INDEX(Kintoneデータ抽出!F:F, _xlfn.AGGREGATE(15, 6, ROW(Kintoneデータ抽出!$K$2:$K$5000) / ((Kintoneデータ抽出!$K$2:$K$5000="院内")), ROW(A175)))&lt;&gt;"",
IF(COUNTIF(INDEX(Kintoneデータ抽出!F:F, _xlfn.AGGREGATE(15, 6, ROW(Kintoneデータ抽出!$K$2:$K$5000) / ((Kintoneデータ抽出!$K$2:$K$5000="院内")), ROW(A175))),"*あり*"),"夜間",""),""), "")</f>
        <v/>
      </c>
      <c r="M212" s="75" t="str">
        <f t="array" ref="M212">IFERROR(IF(INDEX(Kintoneデータ抽出!I:I, _xlfn.AGGREGATE(15, 6, ROW(Kintoneデータ抽出!$K$2:$K$5000) / ((Kintoneデータ抽出!$K$2:$K$5000="院内")), ROW(A175)))&lt;&gt;"",
IF(COUNTIF(INDEX(Kintoneデータ抽出!I:I, _xlfn.AGGREGATE(15, 6, ROW(Kintoneデータ抽出!$K$2:$K$5000) / ((Kintoneデータ抽出!$K$2:$K$5000="院内")), ROW(A175))),"*あり*"),"学童",""),""), "")</f>
        <v/>
      </c>
      <c r="N212" s="75" t="str">
        <f t="array" ref="N212">IFERROR(IF(INDEX(Kintoneデータ抽出!H:H, _xlfn.AGGREGATE(15, 6, ROW(Kintoneデータ抽出!$K$2:$K$5000) / ((Kintoneデータ抽出!$K$2:$K$5000="院内")), ROW(A175)))&lt;&gt;"",
IF(COUNTIF(INDEX(Kintoneデータ抽出!H:H, _xlfn.AGGREGATE(15, 6, ROW(Kintoneデータ抽出!$K$2:$K$5000) / ((Kintoneデータ抽出!$K$2:$K$5000="院内")), ROW(A175))),"*あり*"),"病児",""),""), "")</f>
        <v/>
      </c>
      <c r="O212" s="94" t="str" cm="1">
        <f t="array" ref="O212">IFERROR(
IF(INDEX(Kintoneデータ抽出!M:M, _xlfn.AGGREGATE(15, 6, ROW(Kintoneデータ抽出!$K$2:$K$5000) / ((Kintoneデータ抽出!$K$2:$K$5000="院内")), ROW(A175)))&lt;&gt;0,INDEX(Kintoneデータ抽出!M:M, _xlfn.AGGREGATE(15, 6, ROW(Kintoneデータ抽出!$K$2:$K$5000) / ((Kintoneデータ抽出!$K$2:$K$5000="院内")), ROW(A175))),""), "")</f>
        <v/>
      </c>
      <c r="P212" s="78" t="str">
        <f t="array" ref="P212">IFERROR(IF(INDEX(Kintoneデータ抽出!L:L, _xlfn.AGGREGATE(15, 6, ROW(Kintoneデータ抽出!$K$2:$K$5000) / ((Kintoneデータ抽出!$K$2:$K$5000="院内")), ROW(A175)))&lt;&gt;"",
IF(COUNTIF(INDEX(Kintoneデータ抽出!L:L, _xlfn.AGGREGATE(15, 6, ROW(Kintoneデータ抽出!$K$2:$K$5000) / ((Kintoneデータ抽出!$K$2:$K$5000="院内")), ROW(A175))),"*企業主導型以外*"),"",
IF(COUNTIF(INDEX(Kintoneデータ抽出!L:L, _xlfn.AGGREGATE(15, 6, ROW(Kintoneデータ抽出!$K$2:$K$5000) / ((Kintoneデータ抽出!$K$2:$K$5000="院内")), ROW(A175))),"*その他*"),"",
IF(COUNTIF(INDEX(Kintoneデータ抽出!L:L, _xlfn.AGGREGATE(15, 6, ROW(Kintoneデータ抽出!$K$2:$K$5000) / ((Kintoneデータ抽出!$K$2:$K$5000="院内")), ROW(A175))),"*新制度*"),"新制度","企業主導型"))),""), "")</f>
        <v/>
      </c>
    </row>
    <row r="213" spans="2:16" ht="34.799999999999997" customHeight="1" x14ac:dyDescent="0.45">
      <c r="B213" s="45"/>
      <c r="C213" s="46"/>
      <c r="D213" s="98" t="str">
        <f t="shared" si="3"/>
        <v/>
      </c>
      <c r="E213" s="99"/>
      <c r="F213" s="75" t="str">
        <f t="array" ref="F213">IFERROR(INDEX(Kintoneデータ抽出!A:A, _xlfn.AGGREGATE(15, 6, ROW(Kintoneデータ抽出!$K$2:$K$5000) / ((Kintoneデータ抽出!$K$2:$K$5000="院内")), ROW(A176))), "")</f>
        <v/>
      </c>
      <c r="G213" s="77" t="str">
        <f t="array" ref="G213">IFERROR(INDEX(Kintoneデータ抽出!D:D, _xlfn.AGGREGATE(15, 6, ROW(Kintoneデータ抽出!$K$2:$K$5000) / ((Kintoneデータ抽出!$K$2:$K$5000="院内")), ROW(A176))), "")</f>
        <v/>
      </c>
      <c r="H213" s="77" t="str">
        <f t="array" ref="H213">IFERROR(INDEX(Kintoneデータ抽出!C:C, _xlfn.AGGREGATE(15, 6, ROW(Kintoneデータ抽出!$K$2:$K$5000) / ((Kintoneデータ抽出!$K$2:$K$5000="院内")), ROW(A176))), "")</f>
        <v/>
      </c>
      <c r="I213" s="75" t="str">
        <f t="array" ref="I213">IFERROR(IF(INDEX(Kintoneデータ抽出!G:G, _xlfn.AGGREGATE(15, 6, ROW(Kintoneデータ抽出!$K$2:$K$5000) / ((Kintoneデータ抽出!$K$2:$K$5000="院内")), ROW(A176)))&lt;&gt;"",INDEX(Kintoneデータ抽出!G:G, _xlfn.AGGREGATE(15, 6, ROW(Kintoneデータ抽出!$K$2:$K$5000) / ((Kintoneデータ抽出!$K$2:$K$5000="院内")), ROW(A176)))&amp;"名",""), "")</f>
        <v/>
      </c>
      <c r="J213" s="76" t="str">
        <f t="array" ref="J213">IFERROR(IF(INDEX(Kintoneデータ抽出!E:E, _xlfn.AGGREGATE(15, 6, ROW(Kintoneデータ抽出!$K$2:$K$5000) / ((Kintoneデータ抽出!$K$2:$K$5000="院内")), ROW(A176)))&lt;&gt;"",
YEAR(INDEX(Kintoneデータ抽出!E:E, _xlfn.AGGREGATE(15, 6, ROW(Kintoneデータ抽出!$K$2:$K$5000) / ((Kintoneデータ抽出!$K$2:$K$5000="院内")), ROW(A176))))&amp;"年"
&amp;MONTH(INDEX(Kintoneデータ抽出!E:E, _xlfn.AGGREGATE(15, 6, ROW(Kintoneデータ抽出!$K$2:$K$5000) / ((Kintoneデータ抽出!$K$2:$K$5000="院内")), ROW(A176))))&amp;"月"
&amp;DAY(INDEX(Kintoneデータ抽出!E:E, _xlfn.AGGREGATE(15, 6, ROW(Kintoneデータ抽出!$K$2:$K$5000) /((Kintoneデータ抽出!$K$2:$K$5000="院内")), ROW(A176))))&amp;"日",""), "")</f>
        <v/>
      </c>
      <c r="K213" s="77" t="str" cm="1">
        <f t="array" ref="K213">IFERROR(IF(INDEX(Kintoneデータ抽出!F:F, _xlfn.AGGREGATE(15, 6, ROW(Kintoneデータ抽出!$K$2:$K$5000) / ((Kintoneデータ抽出!$K$2:$K$5000="院内")), ROW(A176)))&lt;&gt;"",
VLOOKUP(INDEX(Kintoneデータ抽出!F:F, _xlfn.AGGREGATE(15, 6, ROW(Kintoneデータ抽出!$K$2:$K$5000) / ((Kintoneデータ抽出!$K$2:$K$5000="院内")), ROW(A176))),基本開園日の表記!$A$2:$B$13,2,FALSE),""), "")</f>
        <v/>
      </c>
      <c r="L213" s="75" t="str">
        <f t="array" ref="L213">IFERROR(IF(INDEX(Kintoneデータ抽出!F:F, _xlfn.AGGREGATE(15, 6, ROW(Kintoneデータ抽出!$K$2:$K$5000) / ((Kintoneデータ抽出!$K$2:$K$5000="院内")), ROW(A176)))&lt;&gt;"",
IF(COUNTIF(INDEX(Kintoneデータ抽出!F:F, _xlfn.AGGREGATE(15, 6, ROW(Kintoneデータ抽出!$K$2:$K$5000) / ((Kintoneデータ抽出!$K$2:$K$5000="院内")), ROW(A176))),"*あり*"),"夜間",""),""), "")</f>
        <v/>
      </c>
      <c r="M213" s="75" t="str">
        <f t="array" ref="M213">IFERROR(IF(INDEX(Kintoneデータ抽出!I:I, _xlfn.AGGREGATE(15, 6, ROW(Kintoneデータ抽出!$K$2:$K$5000) / ((Kintoneデータ抽出!$K$2:$K$5000="院内")), ROW(A176)))&lt;&gt;"",
IF(COUNTIF(INDEX(Kintoneデータ抽出!I:I, _xlfn.AGGREGATE(15, 6, ROW(Kintoneデータ抽出!$K$2:$K$5000) / ((Kintoneデータ抽出!$K$2:$K$5000="院内")), ROW(A176))),"*あり*"),"学童",""),""), "")</f>
        <v/>
      </c>
      <c r="N213" s="75" t="str">
        <f t="array" ref="N213">IFERROR(IF(INDEX(Kintoneデータ抽出!H:H, _xlfn.AGGREGATE(15, 6, ROW(Kintoneデータ抽出!$K$2:$K$5000) / ((Kintoneデータ抽出!$K$2:$K$5000="院内")), ROW(A176)))&lt;&gt;"",
IF(COUNTIF(INDEX(Kintoneデータ抽出!H:H, _xlfn.AGGREGATE(15, 6, ROW(Kintoneデータ抽出!$K$2:$K$5000) / ((Kintoneデータ抽出!$K$2:$K$5000="院内")), ROW(A176))),"*あり*"),"病児",""),""), "")</f>
        <v/>
      </c>
      <c r="O213" s="94" t="str" cm="1">
        <f t="array" ref="O213">IFERROR(
IF(INDEX(Kintoneデータ抽出!M:M, _xlfn.AGGREGATE(15, 6, ROW(Kintoneデータ抽出!$K$2:$K$5000) / ((Kintoneデータ抽出!$K$2:$K$5000="院内")), ROW(A176)))&lt;&gt;0,INDEX(Kintoneデータ抽出!M:M, _xlfn.AGGREGATE(15, 6, ROW(Kintoneデータ抽出!$K$2:$K$5000) / ((Kintoneデータ抽出!$K$2:$K$5000="院内")), ROW(A176))),""), "")</f>
        <v/>
      </c>
      <c r="P213" s="78" t="str">
        <f t="array" ref="P213">IFERROR(IF(INDEX(Kintoneデータ抽出!L:L, _xlfn.AGGREGATE(15, 6, ROW(Kintoneデータ抽出!$K$2:$K$5000) / ((Kintoneデータ抽出!$K$2:$K$5000="院内")), ROW(A176)))&lt;&gt;"",
IF(COUNTIF(INDEX(Kintoneデータ抽出!L:L, _xlfn.AGGREGATE(15, 6, ROW(Kintoneデータ抽出!$K$2:$K$5000) / ((Kintoneデータ抽出!$K$2:$K$5000="院内")), ROW(A176))),"*企業主導型以外*"),"",
IF(COUNTIF(INDEX(Kintoneデータ抽出!L:L, _xlfn.AGGREGATE(15, 6, ROW(Kintoneデータ抽出!$K$2:$K$5000) / ((Kintoneデータ抽出!$K$2:$K$5000="院内")), ROW(A176))),"*その他*"),"",
IF(COUNTIF(INDEX(Kintoneデータ抽出!L:L, _xlfn.AGGREGATE(15, 6, ROW(Kintoneデータ抽出!$K$2:$K$5000) / ((Kintoneデータ抽出!$K$2:$K$5000="院内")), ROW(A176))),"*新制度*"),"新制度","企業主導型"))),""), "")</f>
        <v/>
      </c>
    </row>
    <row r="214" spans="2:16" ht="34.799999999999997" customHeight="1" x14ac:dyDescent="0.45">
      <c r="B214" s="45"/>
      <c r="C214" s="46"/>
      <c r="D214" s="98" t="str">
        <f t="shared" si="3"/>
        <v/>
      </c>
      <c r="E214" s="99"/>
      <c r="F214" s="75" t="str">
        <f t="array" ref="F214">IFERROR(INDEX(Kintoneデータ抽出!A:A, _xlfn.AGGREGATE(15, 6, ROW(Kintoneデータ抽出!$K$2:$K$5000) / ((Kintoneデータ抽出!$K$2:$K$5000="院内")), ROW(A177))), "")</f>
        <v/>
      </c>
      <c r="G214" s="77" t="str">
        <f t="array" ref="G214">IFERROR(INDEX(Kintoneデータ抽出!D:D, _xlfn.AGGREGATE(15, 6, ROW(Kintoneデータ抽出!$K$2:$K$5000) / ((Kintoneデータ抽出!$K$2:$K$5000="院内")), ROW(A177))), "")</f>
        <v/>
      </c>
      <c r="H214" s="77" t="str">
        <f t="array" ref="H214">IFERROR(INDEX(Kintoneデータ抽出!C:C, _xlfn.AGGREGATE(15, 6, ROW(Kintoneデータ抽出!$K$2:$K$5000) / ((Kintoneデータ抽出!$K$2:$K$5000="院内")), ROW(A177))), "")</f>
        <v/>
      </c>
      <c r="I214" s="75" t="str">
        <f t="array" ref="I214">IFERROR(IF(INDEX(Kintoneデータ抽出!G:G, _xlfn.AGGREGATE(15, 6, ROW(Kintoneデータ抽出!$K$2:$K$5000) / ((Kintoneデータ抽出!$K$2:$K$5000="院内")), ROW(A177)))&lt;&gt;"",INDEX(Kintoneデータ抽出!G:G, _xlfn.AGGREGATE(15, 6, ROW(Kintoneデータ抽出!$K$2:$K$5000) / ((Kintoneデータ抽出!$K$2:$K$5000="院内")), ROW(A177)))&amp;"名",""), "")</f>
        <v/>
      </c>
      <c r="J214" s="76" t="str">
        <f t="array" ref="J214">IFERROR(IF(INDEX(Kintoneデータ抽出!E:E, _xlfn.AGGREGATE(15, 6, ROW(Kintoneデータ抽出!$K$2:$K$5000) / ((Kintoneデータ抽出!$K$2:$K$5000="院内")), ROW(A177)))&lt;&gt;"",
YEAR(INDEX(Kintoneデータ抽出!E:E, _xlfn.AGGREGATE(15, 6, ROW(Kintoneデータ抽出!$K$2:$K$5000) / ((Kintoneデータ抽出!$K$2:$K$5000="院内")), ROW(A177))))&amp;"年"
&amp;MONTH(INDEX(Kintoneデータ抽出!E:E, _xlfn.AGGREGATE(15, 6, ROW(Kintoneデータ抽出!$K$2:$K$5000) / ((Kintoneデータ抽出!$K$2:$K$5000="院内")), ROW(A177))))&amp;"月"
&amp;DAY(INDEX(Kintoneデータ抽出!E:E, _xlfn.AGGREGATE(15, 6, ROW(Kintoneデータ抽出!$K$2:$K$5000) /((Kintoneデータ抽出!$K$2:$K$5000="院内")), ROW(A177))))&amp;"日",""), "")</f>
        <v/>
      </c>
      <c r="K214" s="77" t="str" cm="1">
        <f t="array" ref="K214">IFERROR(IF(INDEX(Kintoneデータ抽出!F:F, _xlfn.AGGREGATE(15, 6, ROW(Kintoneデータ抽出!$K$2:$K$5000) / ((Kintoneデータ抽出!$K$2:$K$5000="院内")), ROW(A177)))&lt;&gt;"",
VLOOKUP(INDEX(Kintoneデータ抽出!F:F, _xlfn.AGGREGATE(15, 6, ROW(Kintoneデータ抽出!$K$2:$K$5000) / ((Kintoneデータ抽出!$K$2:$K$5000="院内")), ROW(A177))),基本開園日の表記!$A$2:$B$13,2,FALSE),""), "")</f>
        <v/>
      </c>
      <c r="L214" s="75" t="str">
        <f t="array" ref="L214">IFERROR(IF(INDEX(Kintoneデータ抽出!F:F, _xlfn.AGGREGATE(15, 6, ROW(Kintoneデータ抽出!$K$2:$K$5000) / ((Kintoneデータ抽出!$K$2:$K$5000="院内")), ROW(A177)))&lt;&gt;"",
IF(COUNTIF(INDEX(Kintoneデータ抽出!F:F, _xlfn.AGGREGATE(15, 6, ROW(Kintoneデータ抽出!$K$2:$K$5000) / ((Kintoneデータ抽出!$K$2:$K$5000="院内")), ROW(A177))),"*あり*"),"夜間",""),""), "")</f>
        <v/>
      </c>
      <c r="M214" s="75" t="str">
        <f t="array" ref="M214">IFERROR(IF(INDEX(Kintoneデータ抽出!I:I, _xlfn.AGGREGATE(15, 6, ROW(Kintoneデータ抽出!$K$2:$K$5000) / ((Kintoneデータ抽出!$K$2:$K$5000="院内")), ROW(A177)))&lt;&gt;"",
IF(COUNTIF(INDEX(Kintoneデータ抽出!I:I, _xlfn.AGGREGATE(15, 6, ROW(Kintoneデータ抽出!$K$2:$K$5000) / ((Kintoneデータ抽出!$K$2:$K$5000="院内")), ROW(A177))),"*あり*"),"学童",""),""), "")</f>
        <v/>
      </c>
      <c r="N214" s="75" t="str">
        <f t="array" ref="N214">IFERROR(IF(INDEX(Kintoneデータ抽出!H:H, _xlfn.AGGREGATE(15, 6, ROW(Kintoneデータ抽出!$K$2:$K$5000) / ((Kintoneデータ抽出!$K$2:$K$5000="院内")), ROW(A177)))&lt;&gt;"",
IF(COUNTIF(INDEX(Kintoneデータ抽出!H:H, _xlfn.AGGREGATE(15, 6, ROW(Kintoneデータ抽出!$K$2:$K$5000) / ((Kintoneデータ抽出!$K$2:$K$5000="院内")), ROW(A177))),"*あり*"),"病児",""),""), "")</f>
        <v/>
      </c>
      <c r="O214" s="94" t="str" cm="1">
        <f t="array" ref="O214">IFERROR(
IF(INDEX(Kintoneデータ抽出!M:M, _xlfn.AGGREGATE(15, 6, ROW(Kintoneデータ抽出!$K$2:$K$5000) / ((Kintoneデータ抽出!$K$2:$K$5000="院内")), ROW(A177)))&lt;&gt;0,INDEX(Kintoneデータ抽出!M:M, _xlfn.AGGREGATE(15, 6, ROW(Kintoneデータ抽出!$K$2:$K$5000) / ((Kintoneデータ抽出!$K$2:$K$5000="院内")), ROW(A177))),""), "")</f>
        <v/>
      </c>
      <c r="P214" s="78" t="str">
        <f t="array" ref="P214">IFERROR(IF(INDEX(Kintoneデータ抽出!L:L, _xlfn.AGGREGATE(15, 6, ROW(Kintoneデータ抽出!$K$2:$K$5000) / ((Kintoneデータ抽出!$K$2:$K$5000="院内")), ROW(A177)))&lt;&gt;"",
IF(COUNTIF(INDEX(Kintoneデータ抽出!L:L, _xlfn.AGGREGATE(15, 6, ROW(Kintoneデータ抽出!$K$2:$K$5000) / ((Kintoneデータ抽出!$K$2:$K$5000="院内")), ROW(A177))),"*企業主導型以外*"),"",
IF(COUNTIF(INDEX(Kintoneデータ抽出!L:L, _xlfn.AGGREGATE(15, 6, ROW(Kintoneデータ抽出!$K$2:$K$5000) / ((Kintoneデータ抽出!$K$2:$K$5000="院内")), ROW(A177))),"*その他*"),"",
IF(COUNTIF(INDEX(Kintoneデータ抽出!L:L, _xlfn.AGGREGATE(15, 6, ROW(Kintoneデータ抽出!$K$2:$K$5000) / ((Kintoneデータ抽出!$K$2:$K$5000="院内")), ROW(A177))),"*新制度*"),"新制度","企業主導型"))),""), "")</f>
        <v/>
      </c>
    </row>
    <row r="215" spans="2:16" ht="34.799999999999997" customHeight="1" x14ac:dyDescent="0.45">
      <c r="B215" s="45"/>
      <c r="C215" s="46"/>
      <c r="D215" s="98" t="str">
        <f t="shared" si="3"/>
        <v/>
      </c>
      <c r="E215" s="99"/>
      <c r="F215" s="75" t="str">
        <f t="array" ref="F215">IFERROR(INDEX(Kintoneデータ抽出!A:A, _xlfn.AGGREGATE(15, 6, ROW(Kintoneデータ抽出!$K$2:$K$5000) / ((Kintoneデータ抽出!$K$2:$K$5000="院内")), ROW(A178))), "")</f>
        <v/>
      </c>
      <c r="G215" s="77" t="str">
        <f t="array" ref="G215">IFERROR(INDEX(Kintoneデータ抽出!D:D, _xlfn.AGGREGATE(15, 6, ROW(Kintoneデータ抽出!$K$2:$K$5000) / ((Kintoneデータ抽出!$K$2:$K$5000="院内")), ROW(A178))), "")</f>
        <v/>
      </c>
      <c r="H215" s="77" t="str">
        <f t="array" ref="H215">IFERROR(INDEX(Kintoneデータ抽出!C:C, _xlfn.AGGREGATE(15, 6, ROW(Kintoneデータ抽出!$K$2:$K$5000) / ((Kintoneデータ抽出!$K$2:$K$5000="院内")), ROW(A178))), "")</f>
        <v/>
      </c>
      <c r="I215" s="75" t="str">
        <f t="array" ref="I215">IFERROR(IF(INDEX(Kintoneデータ抽出!G:G, _xlfn.AGGREGATE(15, 6, ROW(Kintoneデータ抽出!$K$2:$K$5000) / ((Kintoneデータ抽出!$K$2:$K$5000="院内")), ROW(A178)))&lt;&gt;"",INDEX(Kintoneデータ抽出!G:G, _xlfn.AGGREGATE(15, 6, ROW(Kintoneデータ抽出!$K$2:$K$5000) / ((Kintoneデータ抽出!$K$2:$K$5000="院内")), ROW(A178)))&amp;"名",""), "")</f>
        <v/>
      </c>
      <c r="J215" s="76" t="str">
        <f t="array" ref="J215">IFERROR(IF(INDEX(Kintoneデータ抽出!E:E, _xlfn.AGGREGATE(15, 6, ROW(Kintoneデータ抽出!$K$2:$K$5000) / ((Kintoneデータ抽出!$K$2:$K$5000="院内")), ROW(A178)))&lt;&gt;"",
YEAR(INDEX(Kintoneデータ抽出!E:E, _xlfn.AGGREGATE(15, 6, ROW(Kintoneデータ抽出!$K$2:$K$5000) / ((Kintoneデータ抽出!$K$2:$K$5000="院内")), ROW(A178))))&amp;"年"
&amp;MONTH(INDEX(Kintoneデータ抽出!E:E, _xlfn.AGGREGATE(15, 6, ROW(Kintoneデータ抽出!$K$2:$K$5000) / ((Kintoneデータ抽出!$K$2:$K$5000="院内")), ROW(A178))))&amp;"月"
&amp;DAY(INDEX(Kintoneデータ抽出!E:E, _xlfn.AGGREGATE(15, 6, ROW(Kintoneデータ抽出!$K$2:$K$5000) /((Kintoneデータ抽出!$K$2:$K$5000="院内")), ROW(A178))))&amp;"日",""), "")</f>
        <v/>
      </c>
      <c r="K215" s="77" t="str" cm="1">
        <f t="array" ref="K215">IFERROR(IF(INDEX(Kintoneデータ抽出!F:F, _xlfn.AGGREGATE(15, 6, ROW(Kintoneデータ抽出!$K$2:$K$5000) / ((Kintoneデータ抽出!$K$2:$K$5000="院内")), ROW(A178)))&lt;&gt;"",
VLOOKUP(INDEX(Kintoneデータ抽出!F:F, _xlfn.AGGREGATE(15, 6, ROW(Kintoneデータ抽出!$K$2:$K$5000) / ((Kintoneデータ抽出!$K$2:$K$5000="院内")), ROW(A178))),基本開園日の表記!$A$2:$B$13,2,FALSE),""), "")</f>
        <v/>
      </c>
      <c r="L215" s="75" t="str">
        <f t="array" ref="L215">IFERROR(IF(INDEX(Kintoneデータ抽出!F:F, _xlfn.AGGREGATE(15, 6, ROW(Kintoneデータ抽出!$K$2:$K$5000) / ((Kintoneデータ抽出!$K$2:$K$5000="院内")), ROW(A178)))&lt;&gt;"",
IF(COUNTIF(INDEX(Kintoneデータ抽出!F:F, _xlfn.AGGREGATE(15, 6, ROW(Kintoneデータ抽出!$K$2:$K$5000) / ((Kintoneデータ抽出!$K$2:$K$5000="院内")), ROW(A178))),"*あり*"),"夜間",""),""), "")</f>
        <v/>
      </c>
      <c r="M215" s="75" t="str">
        <f t="array" ref="M215">IFERROR(IF(INDEX(Kintoneデータ抽出!I:I, _xlfn.AGGREGATE(15, 6, ROW(Kintoneデータ抽出!$K$2:$K$5000) / ((Kintoneデータ抽出!$K$2:$K$5000="院内")), ROW(A178)))&lt;&gt;"",
IF(COUNTIF(INDEX(Kintoneデータ抽出!I:I, _xlfn.AGGREGATE(15, 6, ROW(Kintoneデータ抽出!$K$2:$K$5000) / ((Kintoneデータ抽出!$K$2:$K$5000="院内")), ROW(A178))),"*あり*"),"学童",""),""), "")</f>
        <v/>
      </c>
      <c r="N215" s="75" t="str">
        <f t="array" ref="N215">IFERROR(IF(INDEX(Kintoneデータ抽出!H:H, _xlfn.AGGREGATE(15, 6, ROW(Kintoneデータ抽出!$K$2:$K$5000) / ((Kintoneデータ抽出!$K$2:$K$5000="院内")), ROW(A178)))&lt;&gt;"",
IF(COUNTIF(INDEX(Kintoneデータ抽出!H:H, _xlfn.AGGREGATE(15, 6, ROW(Kintoneデータ抽出!$K$2:$K$5000) / ((Kintoneデータ抽出!$K$2:$K$5000="院内")), ROW(A178))),"*あり*"),"病児",""),""), "")</f>
        <v/>
      </c>
      <c r="O215" s="94" t="str" cm="1">
        <f t="array" ref="O215">IFERROR(
IF(INDEX(Kintoneデータ抽出!M:M, _xlfn.AGGREGATE(15, 6, ROW(Kintoneデータ抽出!$K$2:$K$5000) / ((Kintoneデータ抽出!$K$2:$K$5000="院内")), ROW(A178)))&lt;&gt;0,INDEX(Kintoneデータ抽出!M:M, _xlfn.AGGREGATE(15, 6, ROW(Kintoneデータ抽出!$K$2:$K$5000) / ((Kintoneデータ抽出!$K$2:$K$5000="院内")), ROW(A178))),""), "")</f>
        <v/>
      </c>
      <c r="P215" s="78" t="str">
        <f t="array" ref="P215">IFERROR(IF(INDEX(Kintoneデータ抽出!L:L, _xlfn.AGGREGATE(15, 6, ROW(Kintoneデータ抽出!$K$2:$K$5000) / ((Kintoneデータ抽出!$K$2:$K$5000="院内")), ROW(A178)))&lt;&gt;"",
IF(COUNTIF(INDEX(Kintoneデータ抽出!L:L, _xlfn.AGGREGATE(15, 6, ROW(Kintoneデータ抽出!$K$2:$K$5000) / ((Kintoneデータ抽出!$K$2:$K$5000="院内")), ROW(A178))),"*企業主導型以外*"),"",
IF(COUNTIF(INDEX(Kintoneデータ抽出!L:L, _xlfn.AGGREGATE(15, 6, ROW(Kintoneデータ抽出!$K$2:$K$5000) / ((Kintoneデータ抽出!$K$2:$K$5000="院内")), ROW(A178))),"*その他*"),"",
IF(COUNTIF(INDEX(Kintoneデータ抽出!L:L, _xlfn.AGGREGATE(15, 6, ROW(Kintoneデータ抽出!$K$2:$K$5000) / ((Kintoneデータ抽出!$K$2:$K$5000="院内")), ROW(A178))),"*新制度*"),"新制度","企業主導型"))),""), "")</f>
        <v/>
      </c>
    </row>
    <row r="216" spans="2:16" ht="34.799999999999997" customHeight="1" x14ac:dyDescent="0.45">
      <c r="B216" s="45"/>
      <c r="C216" s="46"/>
      <c r="D216" s="98" t="str">
        <f t="shared" si="3"/>
        <v/>
      </c>
      <c r="E216" s="99"/>
      <c r="F216" s="75" t="str">
        <f t="array" ref="F216">IFERROR(INDEX(Kintoneデータ抽出!A:A, _xlfn.AGGREGATE(15, 6, ROW(Kintoneデータ抽出!$K$2:$K$5000) / ((Kintoneデータ抽出!$K$2:$K$5000="院内")), ROW(A179))), "")</f>
        <v/>
      </c>
      <c r="G216" s="77" t="str">
        <f t="array" ref="G216">IFERROR(INDEX(Kintoneデータ抽出!D:D, _xlfn.AGGREGATE(15, 6, ROW(Kintoneデータ抽出!$K$2:$K$5000) / ((Kintoneデータ抽出!$K$2:$K$5000="院内")), ROW(A179))), "")</f>
        <v/>
      </c>
      <c r="H216" s="77" t="str">
        <f t="array" ref="H216">IFERROR(INDEX(Kintoneデータ抽出!C:C, _xlfn.AGGREGATE(15, 6, ROW(Kintoneデータ抽出!$K$2:$K$5000) / ((Kintoneデータ抽出!$K$2:$K$5000="院内")), ROW(A179))), "")</f>
        <v/>
      </c>
      <c r="I216" s="75" t="str">
        <f t="array" ref="I216">IFERROR(IF(INDEX(Kintoneデータ抽出!G:G, _xlfn.AGGREGATE(15, 6, ROW(Kintoneデータ抽出!$K$2:$K$5000) / ((Kintoneデータ抽出!$K$2:$K$5000="院内")), ROW(A179)))&lt;&gt;"",INDEX(Kintoneデータ抽出!G:G, _xlfn.AGGREGATE(15, 6, ROW(Kintoneデータ抽出!$K$2:$K$5000) / ((Kintoneデータ抽出!$K$2:$K$5000="院内")), ROW(A179)))&amp;"名",""), "")</f>
        <v/>
      </c>
      <c r="J216" s="76" t="str">
        <f t="array" ref="J216">IFERROR(IF(INDEX(Kintoneデータ抽出!E:E, _xlfn.AGGREGATE(15, 6, ROW(Kintoneデータ抽出!$K$2:$K$5000) / ((Kintoneデータ抽出!$K$2:$K$5000="院内")), ROW(A179)))&lt;&gt;"",
YEAR(INDEX(Kintoneデータ抽出!E:E, _xlfn.AGGREGATE(15, 6, ROW(Kintoneデータ抽出!$K$2:$K$5000) / ((Kintoneデータ抽出!$K$2:$K$5000="院内")), ROW(A179))))&amp;"年"
&amp;MONTH(INDEX(Kintoneデータ抽出!E:E, _xlfn.AGGREGATE(15, 6, ROW(Kintoneデータ抽出!$K$2:$K$5000) / ((Kintoneデータ抽出!$K$2:$K$5000="院内")), ROW(A179))))&amp;"月"
&amp;DAY(INDEX(Kintoneデータ抽出!E:E, _xlfn.AGGREGATE(15, 6, ROW(Kintoneデータ抽出!$K$2:$K$5000) /((Kintoneデータ抽出!$K$2:$K$5000="院内")), ROW(A179))))&amp;"日",""), "")</f>
        <v/>
      </c>
      <c r="K216" s="77" t="str" cm="1">
        <f t="array" ref="K216">IFERROR(IF(INDEX(Kintoneデータ抽出!F:F, _xlfn.AGGREGATE(15, 6, ROW(Kintoneデータ抽出!$K$2:$K$5000) / ((Kintoneデータ抽出!$K$2:$K$5000="院内")), ROW(A179)))&lt;&gt;"",
VLOOKUP(INDEX(Kintoneデータ抽出!F:F, _xlfn.AGGREGATE(15, 6, ROW(Kintoneデータ抽出!$K$2:$K$5000) / ((Kintoneデータ抽出!$K$2:$K$5000="院内")), ROW(A179))),基本開園日の表記!$A$2:$B$13,2,FALSE),""), "")</f>
        <v/>
      </c>
      <c r="L216" s="75" t="str">
        <f t="array" ref="L216">IFERROR(IF(INDEX(Kintoneデータ抽出!F:F, _xlfn.AGGREGATE(15, 6, ROW(Kintoneデータ抽出!$K$2:$K$5000) / ((Kintoneデータ抽出!$K$2:$K$5000="院内")), ROW(A179)))&lt;&gt;"",
IF(COUNTIF(INDEX(Kintoneデータ抽出!F:F, _xlfn.AGGREGATE(15, 6, ROW(Kintoneデータ抽出!$K$2:$K$5000) / ((Kintoneデータ抽出!$K$2:$K$5000="院内")), ROW(A179))),"*あり*"),"夜間",""),""), "")</f>
        <v/>
      </c>
      <c r="M216" s="75" t="str">
        <f t="array" ref="M216">IFERROR(IF(INDEX(Kintoneデータ抽出!I:I, _xlfn.AGGREGATE(15, 6, ROW(Kintoneデータ抽出!$K$2:$K$5000) / ((Kintoneデータ抽出!$K$2:$K$5000="院内")), ROW(A179)))&lt;&gt;"",
IF(COUNTIF(INDEX(Kintoneデータ抽出!I:I, _xlfn.AGGREGATE(15, 6, ROW(Kintoneデータ抽出!$K$2:$K$5000) / ((Kintoneデータ抽出!$K$2:$K$5000="院内")), ROW(A179))),"*あり*"),"学童",""),""), "")</f>
        <v/>
      </c>
      <c r="N216" s="75" t="str">
        <f t="array" ref="N216">IFERROR(IF(INDEX(Kintoneデータ抽出!H:H, _xlfn.AGGREGATE(15, 6, ROW(Kintoneデータ抽出!$K$2:$K$5000) / ((Kintoneデータ抽出!$K$2:$K$5000="院内")), ROW(A179)))&lt;&gt;"",
IF(COUNTIF(INDEX(Kintoneデータ抽出!H:H, _xlfn.AGGREGATE(15, 6, ROW(Kintoneデータ抽出!$K$2:$K$5000) / ((Kintoneデータ抽出!$K$2:$K$5000="院内")), ROW(A179))),"*あり*"),"病児",""),""), "")</f>
        <v/>
      </c>
      <c r="O216" s="94" t="str" cm="1">
        <f t="array" ref="O216">IFERROR(
IF(INDEX(Kintoneデータ抽出!M:M, _xlfn.AGGREGATE(15, 6, ROW(Kintoneデータ抽出!$K$2:$K$5000) / ((Kintoneデータ抽出!$K$2:$K$5000="院内")), ROW(A179)))&lt;&gt;0,INDEX(Kintoneデータ抽出!M:M, _xlfn.AGGREGATE(15, 6, ROW(Kintoneデータ抽出!$K$2:$K$5000) / ((Kintoneデータ抽出!$K$2:$K$5000="院内")), ROW(A179))),""), "")</f>
        <v/>
      </c>
      <c r="P216" s="78" t="str">
        <f t="array" ref="P216">IFERROR(IF(INDEX(Kintoneデータ抽出!L:L, _xlfn.AGGREGATE(15, 6, ROW(Kintoneデータ抽出!$K$2:$K$5000) / ((Kintoneデータ抽出!$K$2:$K$5000="院内")), ROW(A179)))&lt;&gt;"",
IF(COUNTIF(INDEX(Kintoneデータ抽出!L:L, _xlfn.AGGREGATE(15, 6, ROW(Kintoneデータ抽出!$K$2:$K$5000) / ((Kintoneデータ抽出!$K$2:$K$5000="院内")), ROW(A179))),"*企業主導型以外*"),"",
IF(COUNTIF(INDEX(Kintoneデータ抽出!L:L, _xlfn.AGGREGATE(15, 6, ROW(Kintoneデータ抽出!$K$2:$K$5000) / ((Kintoneデータ抽出!$K$2:$K$5000="院内")), ROW(A179))),"*その他*"),"",
IF(COUNTIF(INDEX(Kintoneデータ抽出!L:L, _xlfn.AGGREGATE(15, 6, ROW(Kintoneデータ抽出!$K$2:$K$5000) / ((Kintoneデータ抽出!$K$2:$K$5000="院内")), ROW(A179))),"*新制度*"),"新制度","企業主導型"))),""), "")</f>
        <v/>
      </c>
    </row>
    <row r="217" spans="2:16" ht="34.799999999999997" customHeight="1" x14ac:dyDescent="0.45">
      <c r="B217" s="45"/>
      <c r="C217" s="46"/>
      <c r="D217" s="98" t="str">
        <f t="shared" si="3"/>
        <v/>
      </c>
      <c r="E217" s="99"/>
      <c r="F217" s="75" t="str">
        <f t="array" ref="F217">IFERROR(INDEX(Kintoneデータ抽出!A:A, _xlfn.AGGREGATE(15, 6, ROW(Kintoneデータ抽出!$K$2:$K$5000) / ((Kintoneデータ抽出!$K$2:$K$5000="院内")), ROW(A180))), "")</f>
        <v/>
      </c>
      <c r="G217" s="77" t="str">
        <f t="array" ref="G217">IFERROR(INDEX(Kintoneデータ抽出!D:D, _xlfn.AGGREGATE(15, 6, ROW(Kintoneデータ抽出!$K$2:$K$5000) / ((Kintoneデータ抽出!$K$2:$K$5000="院内")), ROW(A180))), "")</f>
        <v/>
      </c>
      <c r="H217" s="77" t="str">
        <f t="array" ref="H217">IFERROR(INDEX(Kintoneデータ抽出!C:C, _xlfn.AGGREGATE(15, 6, ROW(Kintoneデータ抽出!$K$2:$K$5000) / ((Kintoneデータ抽出!$K$2:$K$5000="院内")), ROW(A180))), "")</f>
        <v/>
      </c>
      <c r="I217" s="75" t="str">
        <f t="array" ref="I217">IFERROR(IF(INDEX(Kintoneデータ抽出!G:G, _xlfn.AGGREGATE(15, 6, ROW(Kintoneデータ抽出!$K$2:$K$5000) / ((Kintoneデータ抽出!$K$2:$K$5000="院内")), ROW(A180)))&lt;&gt;"",INDEX(Kintoneデータ抽出!G:G, _xlfn.AGGREGATE(15, 6, ROW(Kintoneデータ抽出!$K$2:$K$5000) / ((Kintoneデータ抽出!$K$2:$K$5000="院内")), ROW(A180)))&amp;"名",""), "")</f>
        <v/>
      </c>
      <c r="J217" s="76" t="str">
        <f t="array" ref="J217">IFERROR(IF(INDEX(Kintoneデータ抽出!E:E, _xlfn.AGGREGATE(15, 6, ROW(Kintoneデータ抽出!$K$2:$K$5000) / ((Kintoneデータ抽出!$K$2:$K$5000="院内")), ROW(A180)))&lt;&gt;"",
YEAR(INDEX(Kintoneデータ抽出!E:E, _xlfn.AGGREGATE(15, 6, ROW(Kintoneデータ抽出!$K$2:$K$5000) / ((Kintoneデータ抽出!$K$2:$K$5000="院内")), ROW(A180))))&amp;"年"
&amp;MONTH(INDEX(Kintoneデータ抽出!E:E, _xlfn.AGGREGATE(15, 6, ROW(Kintoneデータ抽出!$K$2:$K$5000) / ((Kintoneデータ抽出!$K$2:$K$5000="院内")), ROW(A180))))&amp;"月"
&amp;DAY(INDEX(Kintoneデータ抽出!E:E, _xlfn.AGGREGATE(15, 6, ROW(Kintoneデータ抽出!$K$2:$K$5000) /((Kintoneデータ抽出!$K$2:$K$5000="院内")), ROW(A180))))&amp;"日",""), "")</f>
        <v/>
      </c>
      <c r="K217" s="77" t="str" cm="1">
        <f t="array" ref="K217">IFERROR(IF(INDEX(Kintoneデータ抽出!F:F, _xlfn.AGGREGATE(15, 6, ROW(Kintoneデータ抽出!$K$2:$K$5000) / ((Kintoneデータ抽出!$K$2:$K$5000="院内")), ROW(A180)))&lt;&gt;"",
VLOOKUP(INDEX(Kintoneデータ抽出!F:F, _xlfn.AGGREGATE(15, 6, ROW(Kintoneデータ抽出!$K$2:$K$5000) / ((Kintoneデータ抽出!$K$2:$K$5000="院内")), ROW(A180))),基本開園日の表記!$A$2:$B$13,2,FALSE),""), "")</f>
        <v/>
      </c>
      <c r="L217" s="75" t="str">
        <f t="array" ref="L217">IFERROR(IF(INDEX(Kintoneデータ抽出!F:F, _xlfn.AGGREGATE(15, 6, ROW(Kintoneデータ抽出!$K$2:$K$5000) / ((Kintoneデータ抽出!$K$2:$K$5000="院内")), ROW(A180)))&lt;&gt;"",
IF(COUNTIF(INDEX(Kintoneデータ抽出!F:F, _xlfn.AGGREGATE(15, 6, ROW(Kintoneデータ抽出!$K$2:$K$5000) / ((Kintoneデータ抽出!$K$2:$K$5000="院内")), ROW(A180))),"*あり*"),"夜間",""),""), "")</f>
        <v/>
      </c>
      <c r="M217" s="75" t="str">
        <f t="array" ref="M217">IFERROR(IF(INDEX(Kintoneデータ抽出!I:I, _xlfn.AGGREGATE(15, 6, ROW(Kintoneデータ抽出!$K$2:$K$5000) / ((Kintoneデータ抽出!$K$2:$K$5000="院内")), ROW(A180)))&lt;&gt;"",
IF(COUNTIF(INDEX(Kintoneデータ抽出!I:I, _xlfn.AGGREGATE(15, 6, ROW(Kintoneデータ抽出!$K$2:$K$5000) / ((Kintoneデータ抽出!$K$2:$K$5000="院内")), ROW(A180))),"*あり*"),"学童",""),""), "")</f>
        <v/>
      </c>
      <c r="N217" s="75" t="str">
        <f t="array" ref="N217">IFERROR(IF(INDEX(Kintoneデータ抽出!H:H, _xlfn.AGGREGATE(15, 6, ROW(Kintoneデータ抽出!$K$2:$K$5000) / ((Kintoneデータ抽出!$K$2:$K$5000="院内")), ROW(A180)))&lt;&gt;"",
IF(COUNTIF(INDEX(Kintoneデータ抽出!H:H, _xlfn.AGGREGATE(15, 6, ROW(Kintoneデータ抽出!$K$2:$K$5000) / ((Kintoneデータ抽出!$K$2:$K$5000="院内")), ROW(A180))),"*あり*"),"病児",""),""), "")</f>
        <v/>
      </c>
      <c r="O217" s="94" t="str" cm="1">
        <f t="array" ref="O217">IFERROR(
IF(INDEX(Kintoneデータ抽出!M:M, _xlfn.AGGREGATE(15, 6, ROW(Kintoneデータ抽出!$K$2:$K$5000) / ((Kintoneデータ抽出!$K$2:$K$5000="院内")), ROW(A180)))&lt;&gt;0,INDEX(Kintoneデータ抽出!M:M, _xlfn.AGGREGATE(15, 6, ROW(Kintoneデータ抽出!$K$2:$K$5000) / ((Kintoneデータ抽出!$K$2:$K$5000="院内")), ROW(A180))),""), "")</f>
        <v/>
      </c>
      <c r="P217" s="78" t="str">
        <f t="array" ref="P217">IFERROR(IF(INDEX(Kintoneデータ抽出!L:L, _xlfn.AGGREGATE(15, 6, ROW(Kintoneデータ抽出!$K$2:$K$5000) / ((Kintoneデータ抽出!$K$2:$K$5000="院内")), ROW(A180)))&lt;&gt;"",
IF(COUNTIF(INDEX(Kintoneデータ抽出!L:L, _xlfn.AGGREGATE(15, 6, ROW(Kintoneデータ抽出!$K$2:$K$5000) / ((Kintoneデータ抽出!$K$2:$K$5000="院内")), ROW(A180))),"*企業主導型以外*"),"",
IF(COUNTIF(INDEX(Kintoneデータ抽出!L:L, _xlfn.AGGREGATE(15, 6, ROW(Kintoneデータ抽出!$K$2:$K$5000) / ((Kintoneデータ抽出!$K$2:$K$5000="院内")), ROW(A180))),"*その他*"),"",
IF(COUNTIF(INDEX(Kintoneデータ抽出!L:L, _xlfn.AGGREGATE(15, 6, ROW(Kintoneデータ抽出!$K$2:$K$5000) / ((Kintoneデータ抽出!$K$2:$K$5000="院内")), ROW(A180))),"*新制度*"),"新制度","企業主導型"))),""), "")</f>
        <v/>
      </c>
    </row>
    <row r="218" spans="2:16" ht="34.799999999999997" customHeight="1" x14ac:dyDescent="0.45">
      <c r="B218" s="45"/>
      <c r="C218" s="46"/>
      <c r="D218" s="98" t="str">
        <f t="shared" si="3"/>
        <v/>
      </c>
      <c r="E218" s="99"/>
      <c r="F218" s="75" t="str">
        <f t="array" ref="F218">IFERROR(INDEX(Kintoneデータ抽出!A:A, _xlfn.AGGREGATE(15, 6, ROW(Kintoneデータ抽出!$K$2:$K$5000) / ((Kintoneデータ抽出!$K$2:$K$5000="院内")), ROW(A181))), "")</f>
        <v/>
      </c>
      <c r="G218" s="77" t="str">
        <f t="array" ref="G218">IFERROR(INDEX(Kintoneデータ抽出!D:D, _xlfn.AGGREGATE(15, 6, ROW(Kintoneデータ抽出!$K$2:$K$5000) / ((Kintoneデータ抽出!$K$2:$K$5000="院内")), ROW(A181))), "")</f>
        <v/>
      </c>
      <c r="H218" s="77" t="str">
        <f t="array" ref="H218">IFERROR(INDEX(Kintoneデータ抽出!C:C, _xlfn.AGGREGATE(15, 6, ROW(Kintoneデータ抽出!$K$2:$K$5000) / ((Kintoneデータ抽出!$K$2:$K$5000="院内")), ROW(A181))), "")</f>
        <v/>
      </c>
      <c r="I218" s="75" t="str">
        <f t="array" ref="I218">IFERROR(IF(INDEX(Kintoneデータ抽出!G:G, _xlfn.AGGREGATE(15, 6, ROW(Kintoneデータ抽出!$K$2:$K$5000) / ((Kintoneデータ抽出!$K$2:$K$5000="院内")), ROW(A181)))&lt;&gt;"",INDEX(Kintoneデータ抽出!G:G, _xlfn.AGGREGATE(15, 6, ROW(Kintoneデータ抽出!$K$2:$K$5000) / ((Kintoneデータ抽出!$K$2:$K$5000="院内")), ROW(A181)))&amp;"名",""), "")</f>
        <v/>
      </c>
      <c r="J218" s="76" t="str">
        <f t="array" ref="J218">IFERROR(IF(INDEX(Kintoneデータ抽出!E:E, _xlfn.AGGREGATE(15, 6, ROW(Kintoneデータ抽出!$K$2:$K$5000) / ((Kintoneデータ抽出!$K$2:$K$5000="院内")), ROW(A181)))&lt;&gt;"",
YEAR(INDEX(Kintoneデータ抽出!E:E, _xlfn.AGGREGATE(15, 6, ROW(Kintoneデータ抽出!$K$2:$K$5000) / ((Kintoneデータ抽出!$K$2:$K$5000="院内")), ROW(A181))))&amp;"年"
&amp;MONTH(INDEX(Kintoneデータ抽出!E:E, _xlfn.AGGREGATE(15, 6, ROW(Kintoneデータ抽出!$K$2:$K$5000) / ((Kintoneデータ抽出!$K$2:$K$5000="院内")), ROW(A181))))&amp;"月"
&amp;DAY(INDEX(Kintoneデータ抽出!E:E, _xlfn.AGGREGATE(15, 6, ROW(Kintoneデータ抽出!$K$2:$K$5000) /((Kintoneデータ抽出!$K$2:$K$5000="院内")), ROW(A181))))&amp;"日",""), "")</f>
        <v/>
      </c>
      <c r="K218" s="77" t="str" cm="1">
        <f t="array" ref="K218">IFERROR(IF(INDEX(Kintoneデータ抽出!F:F, _xlfn.AGGREGATE(15, 6, ROW(Kintoneデータ抽出!$K$2:$K$5000) / ((Kintoneデータ抽出!$K$2:$K$5000="院内")), ROW(A181)))&lt;&gt;"",
VLOOKUP(INDEX(Kintoneデータ抽出!F:F, _xlfn.AGGREGATE(15, 6, ROW(Kintoneデータ抽出!$K$2:$K$5000) / ((Kintoneデータ抽出!$K$2:$K$5000="院内")), ROW(A181))),基本開園日の表記!$A$2:$B$13,2,FALSE),""), "")</f>
        <v/>
      </c>
      <c r="L218" s="75" t="str">
        <f t="array" ref="L218">IFERROR(IF(INDEX(Kintoneデータ抽出!F:F, _xlfn.AGGREGATE(15, 6, ROW(Kintoneデータ抽出!$K$2:$K$5000) / ((Kintoneデータ抽出!$K$2:$K$5000="院内")), ROW(A181)))&lt;&gt;"",
IF(COUNTIF(INDEX(Kintoneデータ抽出!F:F, _xlfn.AGGREGATE(15, 6, ROW(Kintoneデータ抽出!$K$2:$K$5000) / ((Kintoneデータ抽出!$K$2:$K$5000="院内")), ROW(A181))),"*あり*"),"夜間",""),""), "")</f>
        <v/>
      </c>
      <c r="M218" s="75" t="str">
        <f t="array" ref="M218">IFERROR(IF(INDEX(Kintoneデータ抽出!I:I, _xlfn.AGGREGATE(15, 6, ROW(Kintoneデータ抽出!$K$2:$K$5000) / ((Kintoneデータ抽出!$K$2:$K$5000="院内")), ROW(A181)))&lt;&gt;"",
IF(COUNTIF(INDEX(Kintoneデータ抽出!I:I, _xlfn.AGGREGATE(15, 6, ROW(Kintoneデータ抽出!$K$2:$K$5000) / ((Kintoneデータ抽出!$K$2:$K$5000="院内")), ROW(A181))),"*あり*"),"学童",""),""), "")</f>
        <v/>
      </c>
      <c r="N218" s="75" t="str">
        <f t="array" ref="N218">IFERROR(IF(INDEX(Kintoneデータ抽出!H:H, _xlfn.AGGREGATE(15, 6, ROW(Kintoneデータ抽出!$K$2:$K$5000) / ((Kintoneデータ抽出!$K$2:$K$5000="院内")), ROW(A181)))&lt;&gt;"",
IF(COUNTIF(INDEX(Kintoneデータ抽出!H:H, _xlfn.AGGREGATE(15, 6, ROW(Kintoneデータ抽出!$K$2:$K$5000) / ((Kintoneデータ抽出!$K$2:$K$5000="院内")), ROW(A181))),"*あり*"),"病児",""),""), "")</f>
        <v/>
      </c>
      <c r="O218" s="94" t="str" cm="1">
        <f t="array" ref="O218">IFERROR(
IF(INDEX(Kintoneデータ抽出!M:M, _xlfn.AGGREGATE(15, 6, ROW(Kintoneデータ抽出!$K$2:$K$5000) / ((Kintoneデータ抽出!$K$2:$K$5000="院内")), ROW(A181)))&lt;&gt;0,INDEX(Kintoneデータ抽出!M:M, _xlfn.AGGREGATE(15, 6, ROW(Kintoneデータ抽出!$K$2:$K$5000) / ((Kintoneデータ抽出!$K$2:$K$5000="院内")), ROW(A181))),""), "")</f>
        <v/>
      </c>
      <c r="P218" s="78" t="str">
        <f t="array" ref="P218">IFERROR(IF(INDEX(Kintoneデータ抽出!L:L, _xlfn.AGGREGATE(15, 6, ROW(Kintoneデータ抽出!$K$2:$K$5000) / ((Kintoneデータ抽出!$K$2:$K$5000="院内")), ROW(A181)))&lt;&gt;"",
IF(COUNTIF(INDEX(Kintoneデータ抽出!L:L, _xlfn.AGGREGATE(15, 6, ROW(Kintoneデータ抽出!$K$2:$K$5000) / ((Kintoneデータ抽出!$K$2:$K$5000="院内")), ROW(A181))),"*企業主導型以外*"),"",
IF(COUNTIF(INDEX(Kintoneデータ抽出!L:L, _xlfn.AGGREGATE(15, 6, ROW(Kintoneデータ抽出!$K$2:$K$5000) / ((Kintoneデータ抽出!$K$2:$K$5000="院内")), ROW(A181))),"*その他*"),"",
IF(COUNTIF(INDEX(Kintoneデータ抽出!L:L, _xlfn.AGGREGATE(15, 6, ROW(Kintoneデータ抽出!$K$2:$K$5000) / ((Kintoneデータ抽出!$K$2:$K$5000="院内")), ROW(A181))),"*新制度*"),"新制度","企業主導型"))),""), "")</f>
        <v/>
      </c>
    </row>
    <row r="219" spans="2:16" ht="34.799999999999997" customHeight="1" x14ac:dyDescent="0.45">
      <c r="B219" s="45"/>
      <c r="C219" s="46"/>
      <c r="D219" s="98" t="str">
        <f t="shared" si="3"/>
        <v/>
      </c>
      <c r="E219" s="99"/>
      <c r="F219" s="75" t="str">
        <f t="array" ref="F219">IFERROR(INDEX(Kintoneデータ抽出!A:A, _xlfn.AGGREGATE(15, 6, ROW(Kintoneデータ抽出!$K$2:$K$5000) / ((Kintoneデータ抽出!$K$2:$K$5000="院内")), ROW(A182))), "")</f>
        <v/>
      </c>
      <c r="G219" s="77" t="str">
        <f t="array" ref="G219">IFERROR(INDEX(Kintoneデータ抽出!D:D, _xlfn.AGGREGATE(15, 6, ROW(Kintoneデータ抽出!$K$2:$K$5000) / ((Kintoneデータ抽出!$K$2:$K$5000="院内")), ROW(A182))), "")</f>
        <v/>
      </c>
      <c r="H219" s="77" t="str">
        <f t="array" ref="H219">IFERROR(INDEX(Kintoneデータ抽出!C:C, _xlfn.AGGREGATE(15, 6, ROW(Kintoneデータ抽出!$K$2:$K$5000) / ((Kintoneデータ抽出!$K$2:$K$5000="院内")), ROW(A182))), "")</f>
        <v/>
      </c>
      <c r="I219" s="75" t="str">
        <f t="array" ref="I219">IFERROR(IF(INDEX(Kintoneデータ抽出!G:G, _xlfn.AGGREGATE(15, 6, ROW(Kintoneデータ抽出!$K$2:$K$5000) / ((Kintoneデータ抽出!$K$2:$K$5000="院内")), ROW(A182)))&lt;&gt;"",INDEX(Kintoneデータ抽出!G:G, _xlfn.AGGREGATE(15, 6, ROW(Kintoneデータ抽出!$K$2:$K$5000) / ((Kintoneデータ抽出!$K$2:$K$5000="院内")), ROW(A182)))&amp;"名",""), "")</f>
        <v/>
      </c>
      <c r="J219" s="76" t="str">
        <f t="array" ref="J219">IFERROR(IF(INDEX(Kintoneデータ抽出!E:E, _xlfn.AGGREGATE(15, 6, ROW(Kintoneデータ抽出!$K$2:$K$5000) / ((Kintoneデータ抽出!$K$2:$K$5000="院内")), ROW(A182)))&lt;&gt;"",
YEAR(INDEX(Kintoneデータ抽出!E:E, _xlfn.AGGREGATE(15, 6, ROW(Kintoneデータ抽出!$K$2:$K$5000) / ((Kintoneデータ抽出!$K$2:$K$5000="院内")), ROW(A182))))&amp;"年"
&amp;MONTH(INDEX(Kintoneデータ抽出!E:E, _xlfn.AGGREGATE(15, 6, ROW(Kintoneデータ抽出!$K$2:$K$5000) / ((Kintoneデータ抽出!$K$2:$K$5000="院内")), ROW(A182))))&amp;"月"
&amp;DAY(INDEX(Kintoneデータ抽出!E:E, _xlfn.AGGREGATE(15, 6, ROW(Kintoneデータ抽出!$K$2:$K$5000) /((Kintoneデータ抽出!$K$2:$K$5000="院内")), ROW(A182))))&amp;"日",""), "")</f>
        <v/>
      </c>
      <c r="K219" s="77" t="str" cm="1">
        <f t="array" ref="K219">IFERROR(IF(INDEX(Kintoneデータ抽出!F:F, _xlfn.AGGREGATE(15, 6, ROW(Kintoneデータ抽出!$K$2:$K$5000) / ((Kintoneデータ抽出!$K$2:$K$5000="院内")), ROW(A182)))&lt;&gt;"",
VLOOKUP(INDEX(Kintoneデータ抽出!F:F, _xlfn.AGGREGATE(15, 6, ROW(Kintoneデータ抽出!$K$2:$K$5000) / ((Kintoneデータ抽出!$K$2:$K$5000="院内")), ROW(A182))),基本開園日の表記!$A$2:$B$13,2,FALSE),""), "")</f>
        <v/>
      </c>
      <c r="L219" s="75" t="str">
        <f t="array" ref="L219">IFERROR(IF(INDEX(Kintoneデータ抽出!F:F, _xlfn.AGGREGATE(15, 6, ROW(Kintoneデータ抽出!$K$2:$K$5000) / ((Kintoneデータ抽出!$K$2:$K$5000="院内")), ROW(A182)))&lt;&gt;"",
IF(COUNTIF(INDEX(Kintoneデータ抽出!F:F, _xlfn.AGGREGATE(15, 6, ROW(Kintoneデータ抽出!$K$2:$K$5000) / ((Kintoneデータ抽出!$K$2:$K$5000="院内")), ROW(A182))),"*あり*"),"夜間",""),""), "")</f>
        <v/>
      </c>
      <c r="M219" s="75" t="str">
        <f t="array" ref="M219">IFERROR(IF(INDEX(Kintoneデータ抽出!I:I, _xlfn.AGGREGATE(15, 6, ROW(Kintoneデータ抽出!$K$2:$K$5000) / ((Kintoneデータ抽出!$K$2:$K$5000="院内")), ROW(A182)))&lt;&gt;"",
IF(COUNTIF(INDEX(Kintoneデータ抽出!I:I, _xlfn.AGGREGATE(15, 6, ROW(Kintoneデータ抽出!$K$2:$K$5000) / ((Kintoneデータ抽出!$K$2:$K$5000="院内")), ROW(A182))),"*あり*"),"学童",""),""), "")</f>
        <v/>
      </c>
      <c r="N219" s="75" t="str">
        <f t="array" ref="N219">IFERROR(IF(INDEX(Kintoneデータ抽出!H:H, _xlfn.AGGREGATE(15, 6, ROW(Kintoneデータ抽出!$K$2:$K$5000) / ((Kintoneデータ抽出!$K$2:$K$5000="院内")), ROW(A182)))&lt;&gt;"",
IF(COUNTIF(INDEX(Kintoneデータ抽出!H:H, _xlfn.AGGREGATE(15, 6, ROW(Kintoneデータ抽出!$K$2:$K$5000) / ((Kintoneデータ抽出!$K$2:$K$5000="院内")), ROW(A182))),"*あり*"),"病児",""),""), "")</f>
        <v/>
      </c>
      <c r="O219" s="94" t="str" cm="1">
        <f t="array" ref="O219">IFERROR(
IF(INDEX(Kintoneデータ抽出!M:M, _xlfn.AGGREGATE(15, 6, ROW(Kintoneデータ抽出!$K$2:$K$5000) / ((Kintoneデータ抽出!$K$2:$K$5000="院内")), ROW(A182)))&lt;&gt;0,INDEX(Kintoneデータ抽出!M:M, _xlfn.AGGREGATE(15, 6, ROW(Kintoneデータ抽出!$K$2:$K$5000) / ((Kintoneデータ抽出!$K$2:$K$5000="院内")), ROW(A182))),""), "")</f>
        <v/>
      </c>
      <c r="P219" s="78" t="str">
        <f t="array" ref="P219">IFERROR(IF(INDEX(Kintoneデータ抽出!L:L, _xlfn.AGGREGATE(15, 6, ROW(Kintoneデータ抽出!$K$2:$K$5000) / ((Kintoneデータ抽出!$K$2:$K$5000="院内")), ROW(A182)))&lt;&gt;"",
IF(COUNTIF(INDEX(Kintoneデータ抽出!L:L, _xlfn.AGGREGATE(15, 6, ROW(Kintoneデータ抽出!$K$2:$K$5000) / ((Kintoneデータ抽出!$K$2:$K$5000="院内")), ROW(A182))),"*企業主導型以外*"),"",
IF(COUNTIF(INDEX(Kintoneデータ抽出!L:L, _xlfn.AGGREGATE(15, 6, ROW(Kintoneデータ抽出!$K$2:$K$5000) / ((Kintoneデータ抽出!$K$2:$K$5000="院内")), ROW(A182))),"*その他*"),"",
IF(COUNTIF(INDEX(Kintoneデータ抽出!L:L, _xlfn.AGGREGATE(15, 6, ROW(Kintoneデータ抽出!$K$2:$K$5000) / ((Kintoneデータ抽出!$K$2:$K$5000="院内")), ROW(A182))),"*新制度*"),"新制度","企業主導型"))),""), "")</f>
        <v/>
      </c>
    </row>
    <row r="220" spans="2:16" ht="34.799999999999997" customHeight="1" x14ac:dyDescent="0.45">
      <c r="B220" s="45"/>
      <c r="C220" s="46"/>
      <c r="D220" s="98" t="str">
        <f t="shared" si="3"/>
        <v/>
      </c>
      <c r="E220" s="99"/>
      <c r="F220" s="75" t="str">
        <f t="array" ref="F220">IFERROR(INDEX(Kintoneデータ抽出!A:A, _xlfn.AGGREGATE(15, 6, ROW(Kintoneデータ抽出!$K$2:$K$5000) / ((Kintoneデータ抽出!$K$2:$K$5000="院内")), ROW(A183))), "")</f>
        <v/>
      </c>
      <c r="G220" s="77" t="str">
        <f t="array" ref="G220">IFERROR(INDEX(Kintoneデータ抽出!D:D, _xlfn.AGGREGATE(15, 6, ROW(Kintoneデータ抽出!$K$2:$K$5000) / ((Kintoneデータ抽出!$K$2:$K$5000="院内")), ROW(A183))), "")</f>
        <v/>
      </c>
      <c r="H220" s="77" t="str">
        <f t="array" ref="H220">IFERROR(INDEX(Kintoneデータ抽出!C:C, _xlfn.AGGREGATE(15, 6, ROW(Kintoneデータ抽出!$K$2:$K$5000) / ((Kintoneデータ抽出!$K$2:$K$5000="院内")), ROW(A183))), "")</f>
        <v/>
      </c>
      <c r="I220" s="75" t="str">
        <f t="array" ref="I220">IFERROR(IF(INDEX(Kintoneデータ抽出!G:G, _xlfn.AGGREGATE(15, 6, ROW(Kintoneデータ抽出!$K$2:$K$5000) / ((Kintoneデータ抽出!$K$2:$K$5000="院内")), ROW(A183)))&lt;&gt;"",INDEX(Kintoneデータ抽出!G:G, _xlfn.AGGREGATE(15, 6, ROW(Kintoneデータ抽出!$K$2:$K$5000) / ((Kintoneデータ抽出!$K$2:$K$5000="院内")), ROW(A183)))&amp;"名",""), "")</f>
        <v/>
      </c>
      <c r="J220" s="76" t="str">
        <f t="array" ref="J220">IFERROR(IF(INDEX(Kintoneデータ抽出!E:E, _xlfn.AGGREGATE(15, 6, ROW(Kintoneデータ抽出!$K$2:$K$5000) / ((Kintoneデータ抽出!$K$2:$K$5000="院内")), ROW(A183)))&lt;&gt;"",
YEAR(INDEX(Kintoneデータ抽出!E:E, _xlfn.AGGREGATE(15, 6, ROW(Kintoneデータ抽出!$K$2:$K$5000) / ((Kintoneデータ抽出!$K$2:$K$5000="院内")), ROW(A183))))&amp;"年"
&amp;MONTH(INDEX(Kintoneデータ抽出!E:E, _xlfn.AGGREGATE(15, 6, ROW(Kintoneデータ抽出!$K$2:$K$5000) / ((Kintoneデータ抽出!$K$2:$K$5000="院内")), ROW(A183))))&amp;"月"
&amp;DAY(INDEX(Kintoneデータ抽出!E:E, _xlfn.AGGREGATE(15, 6, ROW(Kintoneデータ抽出!$K$2:$K$5000) /((Kintoneデータ抽出!$K$2:$K$5000="院内")), ROW(A183))))&amp;"日",""), "")</f>
        <v/>
      </c>
      <c r="K220" s="77" t="str" cm="1">
        <f t="array" ref="K220">IFERROR(IF(INDEX(Kintoneデータ抽出!F:F, _xlfn.AGGREGATE(15, 6, ROW(Kintoneデータ抽出!$K$2:$K$5000) / ((Kintoneデータ抽出!$K$2:$K$5000="院内")), ROW(A183)))&lt;&gt;"",
VLOOKUP(INDEX(Kintoneデータ抽出!F:F, _xlfn.AGGREGATE(15, 6, ROW(Kintoneデータ抽出!$K$2:$K$5000) / ((Kintoneデータ抽出!$K$2:$K$5000="院内")), ROW(A183))),基本開園日の表記!$A$2:$B$13,2,FALSE),""), "")</f>
        <v/>
      </c>
      <c r="L220" s="75" t="str">
        <f t="array" ref="L220">IFERROR(IF(INDEX(Kintoneデータ抽出!F:F, _xlfn.AGGREGATE(15, 6, ROW(Kintoneデータ抽出!$K$2:$K$5000) / ((Kintoneデータ抽出!$K$2:$K$5000="院内")), ROW(A183)))&lt;&gt;"",
IF(COUNTIF(INDEX(Kintoneデータ抽出!F:F, _xlfn.AGGREGATE(15, 6, ROW(Kintoneデータ抽出!$K$2:$K$5000) / ((Kintoneデータ抽出!$K$2:$K$5000="院内")), ROW(A183))),"*あり*"),"夜間",""),""), "")</f>
        <v/>
      </c>
      <c r="M220" s="75" t="str">
        <f t="array" ref="M220">IFERROR(IF(INDEX(Kintoneデータ抽出!I:I, _xlfn.AGGREGATE(15, 6, ROW(Kintoneデータ抽出!$K$2:$K$5000) / ((Kintoneデータ抽出!$K$2:$K$5000="院内")), ROW(A183)))&lt;&gt;"",
IF(COUNTIF(INDEX(Kintoneデータ抽出!I:I, _xlfn.AGGREGATE(15, 6, ROW(Kintoneデータ抽出!$K$2:$K$5000) / ((Kintoneデータ抽出!$K$2:$K$5000="院内")), ROW(A183))),"*あり*"),"学童",""),""), "")</f>
        <v/>
      </c>
      <c r="N220" s="75" t="str">
        <f t="array" ref="N220">IFERROR(IF(INDEX(Kintoneデータ抽出!H:H, _xlfn.AGGREGATE(15, 6, ROW(Kintoneデータ抽出!$K$2:$K$5000) / ((Kintoneデータ抽出!$K$2:$K$5000="院内")), ROW(A183)))&lt;&gt;"",
IF(COUNTIF(INDEX(Kintoneデータ抽出!H:H, _xlfn.AGGREGATE(15, 6, ROW(Kintoneデータ抽出!$K$2:$K$5000) / ((Kintoneデータ抽出!$K$2:$K$5000="院内")), ROW(A183))),"*あり*"),"病児",""),""), "")</f>
        <v/>
      </c>
      <c r="O220" s="94" t="str" cm="1">
        <f t="array" ref="O220">IFERROR(
IF(INDEX(Kintoneデータ抽出!M:M, _xlfn.AGGREGATE(15, 6, ROW(Kintoneデータ抽出!$K$2:$K$5000) / ((Kintoneデータ抽出!$K$2:$K$5000="院内")), ROW(A183)))&lt;&gt;0,INDEX(Kintoneデータ抽出!M:M, _xlfn.AGGREGATE(15, 6, ROW(Kintoneデータ抽出!$K$2:$K$5000) / ((Kintoneデータ抽出!$K$2:$K$5000="院内")), ROW(A183))),""), "")</f>
        <v/>
      </c>
      <c r="P220" s="78" t="str">
        <f t="array" ref="P220">IFERROR(IF(INDEX(Kintoneデータ抽出!L:L, _xlfn.AGGREGATE(15, 6, ROW(Kintoneデータ抽出!$K$2:$K$5000) / ((Kintoneデータ抽出!$K$2:$K$5000="院内")), ROW(A183)))&lt;&gt;"",
IF(COUNTIF(INDEX(Kintoneデータ抽出!L:L, _xlfn.AGGREGATE(15, 6, ROW(Kintoneデータ抽出!$K$2:$K$5000) / ((Kintoneデータ抽出!$K$2:$K$5000="院内")), ROW(A183))),"*企業主導型以外*"),"",
IF(COUNTIF(INDEX(Kintoneデータ抽出!L:L, _xlfn.AGGREGATE(15, 6, ROW(Kintoneデータ抽出!$K$2:$K$5000) / ((Kintoneデータ抽出!$K$2:$K$5000="院内")), ROW(A183))),"*その他*"),"",
IF(COUNTIF(INDEX(Kintoneデータ抽出!L:L, _xlfn.AGGREGATE(15, 6, ROW(Kintoneデータ抽出!$K$2:$K$5000) / ((Kintoneデータ抽出!$K$2:$K$5000="院内")), ROW(A183))),"*新制度*"),"新制度","企業主導型"))),""), "")</f>
        <v/>
      </c>
    </row>
    <row r="221" spans="2:16" ht="34.799999999999997" customHeight="1" x14ac:dyDescent="0.45">
      <c r="B221" s="45"/>
      <c r="C221" s="46"/>
      <c r="D221" s="98" t="str">
        <f t="shared" si="3"/>
        <v/>
      </c>
      <c r="E221" s="99"/>
      <c r="F221" s="75" t="str">
        <f t="array" ref="F221">IFERROR(INDEX(Kintoneデータ抽出!A:A, _xlfn.AGGREGATE(15, 6, ROW(Kintoneデータ抽出!$K$2:$K$5000) / ((Kintoneデータ抽出!$K$2:$K$5000="院内")), ROW(A184))), "")</f>
        <v/>
      </c>
      <c r="G221" s="77" t="str">
        <f t="array" ref="G221">IFERROR(INDEX(Kintoneデータ抽出!D:D, _xlfn.AGGREGATE(15, 6, ROW(Kintoneデータ抽出!$K$2:$K$5000) / ((Kintoneデータ抽出!$K$2:$K$5000="院内")), ROW(A184))), "")</f>
        <v/>
      </c>
      <c r="H221" s="77" t="str">
        <f t="array" ref="H221">IFERROR(INDEX(Kintoneデータ抽出!C:C, _xlfn.AGGREGATE(15, 6, ROW(Kintoneデータ抽出!$K$2:$K$5000) / ((Kintoneデータ抽出!$K$2:$K$5000="院内")), ROW(A184))), "")</f>
        <v/>
      </c>
      <c r="I221" s="75" t="str">
        <f t="array" ref="I221">IFERROR(IF(INDEX(Kintoneデータ抽出!G:G, _xlfn.AGGREGATE(15, 6, ROW(Kintoneデータ抽出!$K$2:$K$5000) / ((Kintoneデータ抽出!$K$2:$K$5000="院内")), ROW(A184)))&lt;&gt;"",INDEX(Kintoneデータ抽出!G:G, _xlfn.AGGREGATE(15, 6, ROW(Kintoneデータ抽出!$K$2:$K$5000) / ((Kintoneデータ抽出!$K$2:$K$5000="院内")), ROW(A184)))&amp;"名",""), "")</f>
        <v/>
      </c>
      <c r="J221" s="76" t="str">
        <f t="array" ref="J221">IFERROR(IF(INDEX(Kintoneデータ抽出!E:E, _xlfn.AGGREGATE(15, 6, ROW(Kintoneデータ抽出!$K$2:$K$5000) / ((Kintoneデータ抽出!$K$2:$K$5000="院内")), ROW(A184)))&lt;&gt;"",
YEAR(INDEX(Kintoneデータ抽出!E:E, _xlfn.AGGREGATE(15, 6, ROW(Kintoneデータ抽出!$K$2:$K$5000) / ((Kintoneデータ抽出!$K$2:$K$5000="院内")), ROW(A184))))&amp;"年"
&amp;MONTH(INDEX(Kintoneデータ抽出!E:E, _xlfn.AGGREGATE(15, 6, ROW(Kintoneデータ抽出!$K$2:$K$5000) / ((Kintoneデータ抽出!$K$2:$K$5000="院内")), ROW(A184))))&amp;"月"
&amp;DAY(INDEX(Kintoneデータ抽出!E:E, _xlfn.AGGREGATE(15, 6, ROW(Kintoneデータ抽出!$K$2:$K$5000) /((Kintoneデータ抽出!$K$2:$K$5000="院内")), ROW(A184))))&amp;"日",""), "")</f>
        <v/>
      </c>
      <c r="K221" s="77" t="str" cm="1">
        <f t="array" ref="K221">IFERROR(IF(INDEX(Kintoneデータ抽出!F:F, _xlfn.AGGREGATE(15, 6, ROW(Kintoneデータ抽出!$K$2:$K$5000) / ((Kintoneデータ抽出!$K$2:$K$5000="院内")), ROW(A184)))&lt;&gt;"",
VLOOKUP(INDEX(Kintoneデータ抽出!F:F, _xlfn.AGGREGATE(15, 6, ROW(Kintoneデータ抽出!$K$2:$K$5000) / ((Kintoneデータ抽出!$K$2:$K$5000="院内")), ROW(A184))),基本開園日の表記!$A$2:$B$13,2,FALSE),""), "")</f>
        <v/>
      </c>
      <c r="L221" s="75" t="str">
        <f t="array" ref="L221">IFERROR(IF(INDEX(Kintoneデータ抽出!F:F, _xlfn.AGGREGATE(15, 6, ROW(Kintoneデータ抽出!$K$2:$K$5000) / ((Kintoneデータ抽出!$K$2:$K$5000="院内")), ROW(A184)))&lt;&gt;"",
IF(COUNTIF(INDEX(Kintoneデータ抽出!F:F, _xlfn.AGGREGATE(15, 6, ROW(Kintoneデータ抽出!$K$2:$K$5000) / ((Kintoneデータ抽出!$K$2:$K$5000="院内")), ROW(A184))),"*あり*"),"夜間",""),""), "")</f>
        <v/>
      </c>
      <c r="M221" s="75" t="str">
        <f t="array" ref="M221">IFERROR(IF(INDEX(Kintoneデータ抽出!I:I, _xlfn.AGGREGATE(15, 6, ROW(Kintoneデータ抽出!$K$2:$K$5000) / ((Kintoneデータ抽出!$K$2:$K$5000="院内")), ROW(A184)))&lt;&gt;"",
IF(COUNTIF(INDEX(Kintoneデータ抽出!I:I, _xlfn.AGGREGATE(15, 6, ROW(Kintoneデータ抽出!$K$2:$K$5000) / ((Kintoneデータ抽出!$K$2:$K$5000="院内")), ROW(A184))),"*あり*"),"学童",""),""), "")</f>
        <v/>
      </c>
      <c r="N221" s="75" t="str">
        <f t="array" ref="N221">IFERROR(IF(INDEX(Kintoneデータ抽出!H:H, _xlfn.AGGREGATE(15, 6, ROW(Kintoneデータ抽出!$K$2:$K$5000) / ((Kintoneデータ抽出!$K$2:$K$5000="院内")), ROW(A184)))&lt;&gt;"",
IF(COUNTIF(INDEX(Kintoneデータ抽出!H:H, _xlfn.AGGREGATE(15, 6, ROW(Kintoneデータ抽出!$K$2:$K$5000) / ((Kintoneデータ抽出!$K$2:$K$5000="院内")), ROW(A184))),"*あり*"),"病児",""),""), "")</f>
        <v/>
      </c>
      <c r="O221" s="94" t="str" cm="1">
        <f t="array" ref="O221">IFERROR(
IF(INDEX(Kintoneデータ抽出!M:M, _xlfn.AGGREGATE(15, 6, ROW(Kintoneデータ抽出!$K$2:$K$5000) / ((Kintoneデータ抽出!$K$2:$K$5000="院内")), ROW(A184)))&lt;&gt;0,INDEX(Kintoneデータ抽出!M:M, _xlfn.AGGREGATE(15, 6, ROW(Kintoneデータ抽出!$K$2:$K$5000) / ((Kintoneデータ抽出!$K$2:$K$5000="院内")), ROW(A184))),""), "")</f>
        <v/>
      </c>
      <c r="P221" s="78" t="str">
        <f t="array" ref="P221">IFERROR(IF(INDEX(Kintoneデータ抽出!L:L, _xlfn.AGGREGATE(15, 6, ROW(Kintoneデータ抽出!$K$2:$K$5000) / ((Kintoneデータ抽出!$K$2:$K$5000="院内")), ROW(A184)))&lt;&gt;"",
IF(COUNTIF(INDEX(Kintoneデータ抽出!L:L, _xlfn.AGGREGATE(15, 6, ROW(Kintoneデータ抽出!$K$2:$K$5000) / ((Kintoneデータ抽出!$K$2:$K$5000="院内")), ROW(A184))),"*企業主導型以外*"),"",
IF(COUNTIF(INDEX(Kintoneデータ抽出!L:L, _xlfn.AGGREGATE(15, 6, ROW(Kintoneデータ抽出!$K$2:$K$5000) / ((Kintoneデータ抽出!$K$2:$K$5000="院内")), ROW(A184))),"*その他*"),"",
IF(COUNTIF(INDEX(Kintoneデータ抽出!L:L, _xlfn.AGGREGATE(15, 6, ROW(Kintoneデータ抽出!$K$2:$K$5000) / ((Kintoneデータ抽出!$K$2:$K$5000="院内")), ROW(A184))),"*新制度*"),"新制度","企業主導型"))),""), "")</f>
        <v/>
      </c>
    </row>
    <row r="222" spans="2:16" ht="34.799999999999997" customHeight="1" x14ac:dyDescent="0.45">
      <c r="B222" s="45"/>
      <c r="C222" s="46"/>
      <c r="D222" s="98" t="str">
        <f t="shared" si="3"/>
        <v/>
      </c>
      <c r="E222" s="99"/>
      <c r="F222" s="75" t="str">
        <f t="array" ref="F222">IFERROR(INDEX(Kintoneデータ抽出!A:A, _xlfn.AGGREGATE(15, 6, ROW(Kintoneデータ抽出!$K$2:$K$5000) / ((Kintoneデータ抽出!$K$2:$K$5000="院内")), ROW(A185))), "")</f>
        <v/>
      </c>
      <c r="G222" s="77" t="str">
        <f t="array" ref="G222">IFERROR(INDEX(Kintoneデータ抽出!D:D, _xlfn.AGGREGATE(15, 6, ROW(Kintoneデータ抽出!$K$2:$K$5000) / ((Kintoneデータ抽出!$K$2:$K$5000="院内")), ROW(A185))), "")</f>
        <v/>
      </c>
      <c r="H222" s="77" t="str">
        <f t="array" ref="H222">IFERROR(INDEX(Kintoneデータ抽出!C:C, _xlfn.AGGREGATE(15, 6, ROW(Kintoneデータ抽出!$K$2:$K$5000) / ((Kintoneデータ抽出!$K$2:$K$5000="院内")), ROW(A185))), "")</f>
        <v/>
      </c>
      <c r="I222" s="75" t="str">
        <f t="array" ref="I222">IFERROR(IF(INDEX(Kintoneデータ抽出!G:G, _xlfn.AGGREGATE(15, 6, ROW(Kintoneデータ抽出!$K$2:$K$5000) / ((Kintoneデータ抽出!$K$2:$K$5000="院内")), ROW(A185)))&lt;&gt;"",INDEX(Kintoneデータ抽出!G:G, _xlfn.AGGREGATE(15, 6, ROW(Kintoneデータ抽出!$K$2:$K$5000) / ((Kintoneデータ抽出!$K$2:$K$5000="院内")), ROW(A185)))&amp;"名",""), "")</f>
        <v/>
      </c>
      <c r="J222" s="76" t="str">
        <f t="array" ref="J222">IFERROR(IF(INDEX(Kintoneデータ抽出!E:E, _xlfn.AGGREGATE(15, 6, ROW(Kintoneデータ抽出!$K$2:$K$5000) / ((Kintoneデータ抽出!$K$2:$K$5000="院内")), ROW(A185)))&lt;&gt;"",
YEAR(INDEX(Kintoneデータ抽出!E:E, _xlfn.AGGREGATE(15, 6, ROW(Kintoneデータ抽出!$K$2:$K$5000) / ((Kintoneデータ抽出!$K$2:$K$5000="院内")), ROW(A185))))&amp;"年"
&amp;MONTH(INDEX(Kintoneデータ抽出!E:E, _xlfn.AGGREGATE(15, 6, ROW(Kintoneデータ抽出!$K$2:$K$5000) / ((Kintoneデータ抽出!$K$2:$K$5000="院内")), ROW(A185))))&amp;"月"
&amp;DAY(INDEX(Kintoneデータ抽出!E:E, _xlfn.AGGREGATE(15, 6, ROW(Kintoneデータ抽出!$K$2:$K$5000) /((Kintoneデータ抽出!$K$2:$K$5000="院内")), ROW(A185))))&amp;"日",""), "")</f>
        <v/>
      </c>
      <c r="K222" s="77" t="str" cm="1">
        <f t="array" ref="K222">IFERROR(IF(INDEX(Kintoneデータ抽出!F:F, _xlfn.AGGREGATE(15, 6, ROW(Kintoneデータ抽出!$K$2:$K$5000) / ((Kintoneデータ抽出!$K$2:$K$5000="院内")), ROW(A185)))&lt;&gt;"",
VLOOKUP(INDEX(Kintoneデータ抽出!F:F, _xlfn.AGGREGATE(15, 6, ROW(Kintoneデータ抽出!$K$2:$K$5000) / ((Kintoneデータ抽出!$K$2:$K$5000="院内")), ROW(A185))),基本開園日の表記!$A$2:$B$13,2,FALSE),""), "")</f>
        <v/>
      </c>
      <c r="L222" s="75" t="str">
        <f t="array" ref="L222">IFERROR(IF(INDEX(Kintoneデータ抽出!F:F, _xlfn.AGGREGATE(15, 6, ROW(Kintoneデータ抽出!$K$2:$K$5000) / ((Kintoneデータ抽出!$K$2:$K$5000="院内")), ROW(A185)))&lt;&gt;"",
IF(COUNTIF(INDEX(Kintoneデータ抽出!F:F, _xlfn.AGGREGATE(15, 6, ROW(Kintoneデータ抽出!$K$2:$K$5000) / ((Kintoneデータ抽出!$K$2:$K$5000="院内")), ROW(A185))),"*あり*"),"夜間",""),""), "")</f>
        <v/>
      </c>
      <c r="M222" s="75" t="str">
        <f t="array" ref="M222">IFERROR(IF(INDEX(Kintoneデータ抽出!I:I, _xlfn.AGGREGATE(15, 6, ROW(Kintoneデータ抽出!$K$2:$K$5000) / ((Kintoneデータ抽出!$K$2:$K$5000="院内")), ROW(A185)))&lt;&gt;"",
IF(COUNTIF(INDEX(Kintoneデータ抽出!I:I, _xlfn.AGGREGATE(15, 6, ROW(Kintoneデータ抽出!$K$2:$K$5000) / ((Kintoneデータ抽出!$K$2:$K$5000="院内")), ROW(A185))),"*あり*"),"学童",""),""), "")</f>
        <v/>
      </c>
      <c r="N222" s="75" t="str">
        <f t="array" ref="N222">IFERROR(IF(INDEX(Kintoneデータ抽出!H:H, _xlfn.AGGREGATE(15, 6, ROW(Kintoneデータ抽出!$K$2:$K$5000) / ((Kintoneデータ抽出!$K$2:$K$5000="院内")), ROW(A185)))&lt;&gt;"",
IF(COUNTIF(INDEX(Kintoneデータ抽出!H:H, _xlfn.AGGREGATE(15, 6, ROW(Kintoneデータ抽出!$K$2:$K$5000) / ((Kintoneデータ抽出!$K$2:$K$5000="院内")), ROW(A185))),"*あり*"),"病児",""),""), "")</f>
        <v/>
      </c>
      <c r="O222" s="94" t="str" cm="1">
        <f t="array" ref="O222">IFERROR(
IF(INDEX(Kintoneデータ抽出!M:M, _xlfn.AGGREGATE(15, 6, ROW(Kintoneデータ抽出!$K$2:$K$5000) / ((Kintoneデータ抽出!$K$2:$K$5000="院内")), ROW(A185)))&lt;&gt;0,INDEX(Kintoneデータ抽出!M:M, _xlfn.AGGREGATE(15, 6, ROW(Kintoneデータ抽出!$K$2:$K$5000) / ((Kintoneデータ抽出!$K$2:$K$5000="院内")), ROW(A185))),""), "")</f>
        <v/>
      </c>
      <c r="P222" s="78" t="str">
        <f t="array" ref="P222">IFERROR(IF(INDEX(Kintoneデータ抽出!L:L, _xlfn.AGGREGATE(15, 6, ROW(Kintoneデータ抽出!$K$2:$K$5000) / ((Kintoneデータ抽出!$K$2:$K$5000="院内")), ROW(A185)))&lt;&gt;"",
IF(COUNTIF(INDEX(Kintoneデータ抽出!L:L, _xlfn.AGGREGATE(15, 6, ROW(Kintoneデータ抽出!$K$2:$K$5000) / ((Kintoneデータ抽出!$K$2:$K$5000="院内")), ROW(A185))),"*企業主導型以外*"),"",
IF(COUNTIF(INDEX(Kintoneデータ抽出!L:L, _xlfn.AGGREGATE(15, 6, ROW(Kintoneデータ抽出!$K$2:$K$5000) / ((Kintoneデータ抽出!$K$2:$K$5000="院内")), ROW(A185))),"*その他*"),"",
IF(COUNTIF(INDEX(Kintoneデータ抽出!L:L, _xlfn.AGGREGATE(15, 6, ROW(Kintoneデータ抽出!$K$2:$K$5000) / ((Kintoneデータ抽出!$K$2:$K$5000="院内")), ROW(A185))),"*新制度*"),"新制度","企業主導型"))),""), "")</f>
        <v/>
      </c>
    </row>
    <row r="223" spans="2:16" ht="34.799999999999997" customHeight="1" x14ac:dyDescent="0.45">
      <c r="B223" s="45"/>
      <c r="C223" s="46"/>
      <c r="D223" s="98" t="str">
        <f t="shared" si="3"/>
        <v/>
      </c>
      <c r="E223" s="99"/>
      <c r="F223" s="75" t="str">
        <f t="array" ref="F223">IFERROR(INDEX(Kintoneデータ抽出!A:A, _xlfn.AGGREGATE(15, 6, ROW(Kintoneデータ抽出!$K$2:$K$5000) / ((Kintoneデータ抽出!$K$2:$K$5000="院内")), ROW(A186))), "")</f>
        <v/>
      </c>
      <c r="G223" s="77" t="str">
        <f t="array" ref="G223">IFERROR(INDEX(Kintoneデータ抽出!D:D, _xlfn.AGGREGATE(15, 6, ROW(Kintoneデータ抽出!$K$2:$K$5000) / ((Kintoneデータ抽出!$K$2:$K$5000="院内")), ROW(A186))), "")</f>
        <v/>
      </c>
      <c r="H223" s="77" t="str">
        <f t="array" ref="H223">IFERROR(INDEX(Kintoneデータ抽出!C:C, _xlfn.AGGREGATE(15, 6, ROW(Kintoneデータ抽出!$K$2:$K$5000) / ((Kintoneデータ抽出!$K$2:$K$5000="院内")), ROW(A186))), "")</f>
        <v/>
      </c>
      <c r="I223" s="75" t="str">
        <f t="array" ref="I223">IFERROR(IF(INDEX(Kintoneデータ抽出!G:G, _xlfn.AGGREGATE(15, 6, ROW(Kintoneデータ抽出!$K$2:$K$5000) / ((Kintoneデータ抽出!$K$2:$K$5000="院内")), ROW(A186)))&lt;&gt;"",INDEX(Kintoneデータ抽出!G:G, _xlfn.AGGREGATE(15, 6, ROW(Kintoneデータ抽出!$K$2:$K$5000) / ((Kintoneデータ抽出!$K$2:$K$5000="院内")), ROW(A186)))&amp;"名",""), "")</f>
        <v/>
      </c>
      <c r="J223" s="76" t="str">
        <f t="array" ref="J223">IFERROR(IF(INDEX(Kintoneデータ抽出!E:E, _xlfn.AGGREGATE(15, 6, ROW(Kintoneデータ抽出!$K$2:$K$5000) / ((Kintoneデータ抽出!$K$2:$K$5000="院内")), ROW(A186)))&lt;&gt;"",
YEAR(INDEX(Kintoneデータ抽出!E:E, _xlfn.AGGREGATE(15, 6, ROW(Kintoneデータ抽出!$K$2:$K$5000) / ((Kintoneデータ抽出!$K$2:$K$5000="院内")), ROW(A186))))&amp;"年"
&amp;MONTH(INDEX(Kintoneデータ抽出!E:E, _xlfn.AGGREGATE(15, 6, ROW(Kintoneデータ抽出!$K$2:$K$5000) / ((Kintoneデータ抽出!$K$2:$K$5000="院内")), ROW(A186))))&amp;"月"
&amp;DAY(INDEX(Kintoneデータ抽出!E:E, _xlfn.AGGREGATE(15, 6, ROW(Kintoneデータ抽出!$K$2:$K$5000) /((Kintoneデータ抽出!$K$2:$K$5000="院内")), ROW(A186))))&amp;"日",""), "")</f>
        <v/>
      </c>
      <c r="K223" s="77" t="str" cm="1">
        <f t="array" ref="K223">IFERROR(IF(INDEX(Kintoneデータ抽出!F:F, _xlfn.AGGREGATE(15, 6, ROW(Kintoneデータ抽出!$K$2:$K$5000) / ((Kintoneデータ抽出!$K$2:$K$5000="院内")), ROW(A186)))&lt;&gt;"",
VLOOKUP(INDEX(Kintoneデータ抽出!F:F, _xlfn.AGGREGATE(15, 6, ROW(Kintoneデータ抽出!$K$2:$K$5000) / ((Kintoneデータ抽出!$K$2:$K$5000="院内")), ROW(A186))),基本開園日の表記!$A$2:$B$13,2,FALSE),""), "")</f>
        <v/>
      </c>
      <c r="L223" s="75" t="str">
        <f t="array" ref="L223">IFERROR(IF(INDEX(Kintoneデータ抽出!F:F, _xlfn.AGGREGATE(15, 6, ROW(Kintoneデータ抽出!$K$2:$K$5000) / ((Kintoneデータ抽出!$K$2:$K$5000="院内")), ROW(A186)))&lt;&gt;"",
IF(COUNTIF(INDEX(Kintoneデータ抽出!F:F, _xlfn.AGGREGATE(15, 6, ROW(Kintoneデータ抽出!$K$2:$K$5000) / ((Kintoneデータ抽出!$K$2:$K$5000="院内")), ROW(A186))),"*あり*"),"夜間",""),""), "")</f>
        <v/>
      </c>
      <c r="M223" s="75" t="str">
        <f t="array" ref="M223">IFERROR(IF(INDEX(Kintoneデータ抽出!I:I, _xlfn.AGGREGATE(15, 6, ROW(Kintoneデータ抽出!$K$2:$K$5000) / ((Kintoneデータ抽出!$K$2:$K$5000="院内")), ROW(A186)))&lt;&gt;"",
IF(COUNTIF(INDEX(Kintoneデータ抽出!I:I, _xlfn.AGGREGATE(15, 6, ROW(Kintoneデータ抽出!$K$2:$K$5000) / ((Kintoneデータ抽出!$K$2:$K$5000="院内")), ROW(A186))),"*あり*"),"学童",""),""), "")</f>
        <v/>
      </c>
      <c r="N223" s="75" t="str">
        <f t="array" ref="N223">IFERROR(IF(INDEX(Kintoneデータ抽出!H:H, _xlfn.AGGREGATE(15, 6, ROW(Kintoneデータ抽出!$K$2:$K$5000) / ((Kintoneデータ抽出!$K$2:$K$5000="院内")), ROW(A186)))&lt;&gt;"",
IF(COUNTIF(INDEX(Kintoneデータ抽出!H:H, _xlfn.AGGREGATE(15, 6, ROW(Kintoneデータ抽出!$K$2:$K$5000) / ((Kintoneデータ抽出!$K$2:$K$5000="院内")), ROW(A186))),"*あり*"),"病児",""),""), "")</f>
        <v/>
      </c>
      <c r="O223" s="94" t="str" cm="1">
        <f t="array" ref="O223">IFERROR(
IF(INDEX(Kintoneデータ抽出!M:M, _xlfn.AGGREGATE(15, 6, ROW(Kintoneデータ抽出!$K$2:$K$5000) / ((Kintoneデータ抽出!$K$2:$K$5000="院内")), ROW(A186)))&lt;&gt;0,INDEX(Kintoneデータ抽出!M:M, _xlfn.AGGREGATE(15, 6, ROW(Kintoneデータ抽出!$K$2:$K$5000) / ((Kintoneデータ抽出!$K$2:$K$5000="院内")), ROW(A186))),""), "")</f>
        <v/>
      </c>
      <c r="P223" s="78" t="str">
        <f t="array" ref="P223">IFERROR(IF(INDEX(Kintoneデータ抽出!L:L, _xlfn.AGGREGATE(15, 6, ROW(Kintoneデータ抽出!$K$2:$K$5000) / ((Kintoneデータ抽出!$K$2:$K$5000="院内")), ROW(A186)))&lt;&gt;"",
IF(COUNTIF(INDEX(Kintoneデータ抽出!L:L, _xlfn.AGGREGATE(15, 6, ROW(Kintoneデータ抽出!$K$2:$K$5000) / ((Kintoneデータ抽出!$K$2:$K$5000="院内")), ROW(A186))),"*企業主導型以外*"),"",
IF(COUNTIF(INDEX(Kintoneデータ抽出!L:L, _xlfn.AGGREGATE(15, 6, ROW(Kintoneデータ抽出!$K$2:$K$5000) / ((Kintoneデータ抽出!$K$2:$K$5000="院内")), ROW(A186))),"*その他*"),"",
IF(COUNTIF(INDEX(Kintoneデータ抽出!L:L, _xlfn.AGGREGATE(15, 6, ROW(Kintoneデータ抽出!$K$2:$K$5000) / ((Kintoneデータ抽出!$K$2:$K$5000="院内")), ROW(A186))),"*新制度*"),"新制度","企業主導型"))),""), "")</f>
        <v/>
      </c>
    </row>
    <row r="224" spans="2:16" ht="34.799999999999997" customHeight="1" x14ac:dyDescent="0.45">
      <c r="B224" s="45"/>
      <c r="C224" s="46"/>
      <c r="D224" s="98" t="str">
        <f t="shared" si="3"/>
        <v/>
      </c>
      <c r="E224" s="99"/>
      <c r="F224" s="75" t="str">
        <f t="array" ref="F224">IFERROR(INDEX(Kintoneデータ抽出!A:A, _xlfn.AGGREGATE(15, 6, ROW(Kintoneデータ抽出!$K$2:$K$5000) / ((Kintoneデータ抽出!$K$2:$K$5000="院内")), ROW(A187))), "")</f>
        <v/>
      </c>
      <c r="G224" s="77" t="str">
        <f t="array" ref="G224">IFERROR(INDEX(Kintoneデータ抽出!D:D, _xlfn.AGGREGATE(15, 6, ROW(Kintoneデータ抽出!$K$2:$K$5000) / ((Kintoneデータ抽出!$K$2:$K$5000="院内")), ROW(A187))), "")</f>
        <v/>
      </c>
      <c r="H224" s="77" t="str">
        <f t="array" ref="H224">IFERROR(INDEX(Kintoneデータ抽出!C:C, _xlfn.AGGREGATE(15, 6, ROW(Kintoneデータ抽出!$K$2:$K$5000) / ((Kintoneデータ抽出!$K$2:$K$5000="院内")), ROW(A187))), "")</f>
        <v/>
      </c>
      <c r="I224" s="75" t="str">
        <f t="array" ref="I224">IFERROR(IF(INDEX(Kintoneデータ抽出!G:G, _xlfn.AGGREGATE(15, 6, ROW(Kintoneデータ抽出!$K$2:$K$5000) / ((Kintoneデータ抽出!$K$2:$K$5000="院内")), ROW(A187)))&lt;&gt;"",INDEX(Kintoneデータ抽出!G:G, _xlfn.AGGREGATE(15, 6, ROW(Kintoneデータ抽出!$K$2:$K$5000) / ((Kintoneデータ抽出!$K$2:$K$5000="院内")), ROW(A187)))&amp;"名",""), "")</f>
        <v/>
      </c>
      <c r="J224" s="76" t="str">
        <f t="array" ref="J224">IFERROR(IF(INDEX(Kintoneデータ抽出!E:E, _xlfn.AGGREGATE(15, 6, ROW(Kintoneデータ抽出!$K$2:$K$5000) / ((Kintoneデータ抽出!$K$2:$K$5000="院内")), ROW(A187)))&lt;&gt;"",
YEAR(INDEX(Kintoneデータ抽出!E:E, _xlfn.AGGREGATE(15, 6, ROW(Kintoneデータ抽出!$K$2:$K$5000) / ((Kintoneデータ抽出!$K$2:$K$5000="院内")), ROW(A187))))&amp;"年"
&amp;MONTH(INDEX(Kintoneデータ抽出!E:E, _xlfn.AGGREGATE(15, 6, ROW(Kintoneデータ抽出!$K$2:$K$5000) / ((Kintoneデータ抽出!$K$2:$K$5000="院内")), ROW(A187))))&amp;"月"
&amp;DAY(INDEX(Kintoneデータ抽出!E:E, _xlfn.AGGREGATE(15, 6, ROW(Kintoneデータ抽出!$K$2:$K$5000) /((Kintoneデータ抽出!$K$2:$K$5000="院内")), ROW(A187))))&amp;"日",""), "")</f>
        <v/>
      </c>
      <c r="K224" s="77" t="str" cm="1">
        <f t="array" ref="K224">IFERROR(IF(INDEX(Kintoneデータ抽出!F:F, _xlfn.AGGREGATE(15, 6, ROW(Kintoneデータ抽出!$K$2:$K$5000) / ((Kintoneデータ抽出!$K$2:$K$5000="院内")), ROW(A187)))&lt;&gt;"",
VLOOKUP(INDEX(Kintoneデータ抽出!F:F, _xlfn.AGGREGATE(15, 6, ROW(Kintoneデータ抽出!$K$2:$K$5000) / ((Kintoneデータ抽出!$K$2:$K$5000="院内")), ROW(A187))),基本開園日の表記!$A$2:$B$13,2,FALSE),""), "")</f>
        <v/>
      </c>
      <c r="L224" s="75" t="str">
        <f t="array" ref="L224">IFERROR(IF(INDEX(Kintoneデータ抽出!F:F, _xlfn.AGGREGATE(15, 6, ROW(Kintoneデータ抽出!$K$2:$K$5000) / ((Kintoneデータ抽出!$K$2:$K$5000="院内")), ROW(A187)))&lt;&gt;"",
IF(COUNTIF(INDEX(Kintoneデータ抽出!F:F, _xlfn.AGGREGATE(15, 6, ROW(Kintoneデータ抽出!$K$2:$K$5000) / ((Kintoneデータ抽出!$K$2:$K$5000="院内")), ROW(A187))),"*あり*"),"夜間",""),""), "")</f>
        <v/>
      </c>
      <c r="M224" s="75" t="str">
        <f t="array" ref="M224">IFERROR(IF(INDEX(Kintoneデータ抽出!I:I, _xlfn.AGGREGATE(15, 6, ROW(Kintoneデータ抽出!$K$2:$K$5000) / ((Kintoneデータ抽出!$K$2:$K$5000="院内")), ROW(A187)))&lt;&gt;"",
IF(COUNTIF(INDEX(Kintoneデータ抽出!I:I, _xlfn.AGGREGATE(15, 6, ROW(Kintoneデータ抽出!$K$2:$K$5000) / ((Kintoneデータ抽出!$K$2:$K$5000="院内")), ROW(A187))),"*あり*"),"学童",""),""), "")</f>
        <v/>
      </c>
      <c r="N224" s="75" t="str">
        <f t="array" ref="N224">IFERROR(IF(INDEX(Kintoneデータ抽出!H:H, _xlfn.AGGREGATE(15, 6, ROW(Kintoneデータ抽出!$K$2:$K$5000) / ((Kintoneデータ抽出!$K$2:$K$5000="院内")), ROW(A187)))&lt;&gt;"",
IF(COUNTIF(INDEX(Kintoneデータ抽出!H:H, _xlfn.AGGREGATE(15, 6, ROW(Kintoneデータ抽出!$K$2:$K$5000) / ((Kintoneデータ抽出!$K$2:$K$5000="院内")), ROW(A187))),"*あり*"),"病児",""),""), "")</f>
        <v/>
      </c>
      <c r="O224" s="94" t="str" cm="1">
        <f t="array" ref="O224">IFERROR(
IF(INDEX(Kintoneデータ抽出!M:M, _xlfn.AGGREGATE(15, 6, ROW(Kintoneデータ抽出!$K$2:$K$5000) / ((Kintoneデータ抽出!$K$2:$K$5000="院内")), ROW(A187)))&lt;&gt;0,INDEX(Kintoneデータ抽出!M:M, _xlfn.AGGREGATE(15, 6, ROW(Kintoneデータ抽出!$K$2:$K$5000) / ((Kintoneデータ抽出!$K$2:$K$5000="院内")), ROW(A187))),""), "")</f>
        <v/>
      </c>
      <c r="P224" s="78" t="str">
        <f t="array" ref="P224">IFERROR(IF(INDEX(Kintoneデータ抽出!L:L, _xlfn.AGGREGATE(15, 6, ROW(Kintoneデータ抽出!$K$2:$K$5000) / ((Kintoneデータ抽出!$K$2:$K$5000="院内")), ROW(A187)))&lt;&gt;"",
IF(COUNTIF(INDEX(Kintoneデータ抽出!L:L, _xlfn.AGGREGATE(15, 6, ROW(Kintoneデータ抽出!$K$2:$K$5000) / ((Kintoneデータ抽出!$K$2:$K$5000="院内")), ROW(A187))),"*企業主導型以外*"),"",
IF(COUNTIF(INDEX(Kintoneデータ抽出!L:L, _xlfn.AGGREGATE(15, 6, ROW(Kintoneデータ抽出!$K$2:$K$5000) / ((Kintoneデータ抽出!$K$2:$K$5000="院内")), ROW(A187))),"*その他*"),"",
IF(COUNTIF(INDEX(Kintoneデータ抽出!L:L, _xlfn.AGGREGATE(15, 6, ROW(Kintoneデータ抽出!$K$2:$K$5000) / ((Kintoneデータ抽出!$K$2:$K$5000="院内")), ROW(A187))),"*新制度*"),"新制度","企業主導型"))),""), "")</f>
        <v/>
      </c>
    </row>
    <row r="225" spans="2:16" ht="34.799999999999997" customHeight="1" x14ac:dyDescent="0.45">
      <c r="B225" s="45"/>
      <c r="C225" s="46"/>
      <c r="D225" s="98" t="str">
        <f t="shared" si="3"/>
        <v/>
      </c>
      <c r="E225" s="99"/>
      <c r="F225" s="75" t="str">
        <f t="array" ref="F225">IFERROR(INDEX(Kintoneデータ抽出!A:A, _xlfn.AGGREGATE(15, 6, ROW(Kintoneデータ抽出!$K$2:$K$5000) / ((Kintoneデータ抽出!$K$2:$K$5000="院内")), ROW(A188))), "")</f>
        <v/>
      </c>
      <c r="G225" s="77" t="str">
        <f t="array" ref="G225">IFERROR(INDEX(Kintoneデータ抽出!D:D, _xlfn.AGGREGATE(15, 6, ROW(Kintoneデータ抽出!$K$2:$K$5000) / ((Kintoneデータ抽出!$K$2:$K$5000="院内")), ROW(A188))), "")</f>
        <v/>
      </c>
      <c r="H225" s="77" t="str">
        <f t="array" ref="H225">IFERROR(INDEX(Kintoneデータ抽出!C:C, _xlfn.AGGREGATE(15, 6, ROW(Kintoneデータ抽出!$K$2:$K$5000) / ((Kintoneデータ抽出!$K$2:$K$5000="院内")), ROW(A188))), "")</f>
        <v/>
      </c>
      <c r="I225" s="75" t="str">
        <f t="array" ref="I225">IFERROR(IF(INDEX(Kintoneデータ抽出!G:G, _xlfn.AGGREGATE(15, 6, ROW(Kintoneデータ抽出!$K$2:$K$5000) / ((Kintoneデータ抽出!$K$2:$K$5000="院内")), ROW(A188)))&lt;&gt;"",INDEX(Kintoneデータ抽出!G:G, _xlfn.AGGREGATE(15, 6, ROW(Kintoneデータ抽出!$K$2:$K$5000) / ((Kintoneデータ抽出!$K$2:$K$5000="院内")), ROW(A188)))&amp;"名",""), "")</f>
        <v/>
      </c>
      <c r="J225" s="76" t="str">
        <f t="array" ref="J225">IFERROR(IF(INDEX(Kintoneデータ抽出!E:E, _xlfn.AGGREGATE(15, 6, ROW(Kintoneデータ抽出!$K$2:$K$5000) / ((Kintoneデータ抽出!$K$2:$K$5000="院内")), ROW(A188)))&lt;&gt;"",
YEAR(INDEX(Kintoneデータ抽出!E:E, _xlfn.AGGREGATE(15, 6, ROW(Kintoneデータ抽出!$K$2:$K$5000) / ((Kintoneデータ抽出!$K$2:$K$5000="院内")), ROW(A188))))&amp;"年"
&amp;MONTH(INDEX(Kintoneデータ抽出!E:E, _xlfn.AGGREGATE(15, 6, ROW(Kintoneデータ抽出!$K$2:$K$5000) / ((Kintoneデータ抽出!$K$2:$K$5000="院内")), ROW(A188))))&amp;"月"
&amp;DAY(INDEX(Kintoneデータ抽出!E:E, _xlfn.AGGREGATE(15, 6, ROW(Kintoneデータ抽出!$K$2:$K$5000) /((Kintoneデータ抽出!$K$2:$K$5000="院内")), ROW(A188))))&amp;"日",""), "")</f>
        <v/>
      </c>
      <c r="K225" s="77" t="str" cm="1">
        <f t="array" ref="K225">IFERROR(IF(INDEX(Kintoneデータ抽出!F:F, _xlfn.AGGREGATE(15, 6, ROW(Kintoneデータ抽出!$K$2:$K$5000) / ((Kintoneデータ抽出!$K$2:$K$5000="院内")), ROW(A188)))&lt;&gt;"",
VLOOKUP(INDEX(Kintoneデータ抽出!F:F, _xlfn.AGGREGATE(15, 6, ROW(Kintoneデータ抽出!$K$2:$K$5000) / ((Kintoneデータ抽出!$K$2:$K$5000="院内")), ROW(A188))),基本開園日の表記!$A$2:$B$13,2,FALSE),""), "")</f>
        <v/>
      </c>
      <c r="L225" s="75" t="str">
        <f t="array" ref="L225">IFERROR(IF(INDEX(Kintoneデータ抽出!F:F, _xlfn.AGGREGATE(15, 6, ROW(Kintoneデータ抽出!$K$2:$K$5000) / ((Kintoneデータ抽出!$K$2:$K$5000="院内")), ROW(A188)))&lt;&gt;"",
IF(COUNTIF(INDEX(Kintoneデータ抽出!F:F, _xlfn.AGGREGATE(15, 6, ROW(Kintoneデータ抽出!$K$2:$K$5000) / ((Kintoneデータ抽出!$K$2:$K$5000="院内")), ROW(A188))),"*あり*"),"夜間",""),""), "")</f>
        <v/>
      </c>
      <c r="M225" s="75" t="str">
        <f t="array" ref="M225">IFERROR(IF(INDEX(Kintoneデータ抽出!I:I, _xlfn.AGGREGATE(15, 6, ROW(Kintoneデータ抽出!$K$2:$K$5000) / ((Kintoneデータ抽出!$K$2:$K$5000="院内")), ROW(A188)))&lt;&gt;"",
IF(COUNTIF(INDEX(Kintoneデータ抽出!I:I, _xlfn.AGGREGATE(15, 6, ROW(Kintoneデータ抽出!$K$2:$K$5000) / ((Kintoneデータ抽出!$K$2:$K$5000="院内")), ROW(A188))),"*あり*"),"学童",""),""), "")</f>
        <v/>
      </c>
      <c r="N225" s="75" t="str">
        <f t="array" ref="N225">IFERROR(IF(INDEX(Kintoneデータ抽出!H:H, _xlfn.AGGREGATE(15, 6, ROW(Kintoneデータ抽出!$K$2:$K$5000) / ((Kintoneデータ抽出!$K$2:$K$5000="院内")), ROW(A188)))&lt;&gt;"",
IF(COUNTIF(INDEX(Kintoneデータ抽出!H:H, _xlfn.AGGREGATE(15, 6, ROW(Kintoneデータ抽出!$K$2:$K$5000) / ((Kintoneデータ抽出!$K$2:$K$5000="院内")), ROW(A188))),"*あり*"),"病児",""),""), "")</f>
        <v/>
      </c>
      <c r="O225" s="94" t="str" cm="1">
        <f t="array" ref="O225">IFERROR(
IF(INDEX(Kintoneデータ抽出!M:M, _xlfn.AGGREGATE(15, 6, ROW(Kintoneデータ抽出!$K$2:$K$5000) / ((Kintoneデータ抽出!$K$2:$K$5000="院内")), ROW(A188)))&lt;&gt;0,INDEX(Kintoneデータ抽出!M:M, _xlfn.AGGREGATE(15, 6, ROW(Kintoneデータ抽出!$K$2:$K$5000) / ((Kintoneデータ抽出!$K$2:$K$5000="院内")), ROW(A188))),""), "")</f>
        <v/>
      </c>
      <c r="P225" s="78" t="str">
        <f t="array" ref="P225">IFERROR(IF(INDEX(Kintoneデータ抽出!L:L, _xlfn.AGGREGATE(15, 6, ROW(Kintoneデータ抽出!$K$2:$K$5000) / ((Kintoneデータ抽出!$K$2:$K$5000="院内")), ROW(A188)))&lt;&gt;"",
IF(COUNTIF(INDEX(Kintoneデータ抽出!L:L, _xlfn.AGGREGATE(15, 6, ROW(Kintoneデータ抽出!$K$2:$K$5000) / ((Kintoneデータ抽出!$K$2:$K$5000="院内")), ROW(A188))),"*企業主導型以外*"),"",
IF(COUNTIF(INDEX(Kintoneデータ抽出!L:L, _xlfn.AGGREGATE(15, 6, ROW(Kintoneデータ抽出!$K$2:$K$5000) / ((Kintoneデータ抽出!$K$2:$K$5000="院内")), ROW(A188))),"*その他*"),"",
IF(COUNTIF(INDEX(Kintoneデータ抽出!L:L, _xlfn.AGGREGATE(15, 6, ROW(Kintoneデータ抽出!$K$2:$K$5000) / ((Kintoneデータ抽出!$K$2:$K$5000="院内")), ROW(A188))),"*新制度*"),"新制度","企業主導型"))),""), "")</f>
        <v/>
      </c>
    </row>
    <row r="226" spans="2:16" ht="34.799999999999997" customHeight="1" x14ac:dyDescent="0.45">
      <c r="B226" s="45"/>
      <c r="C226" s="46"/>
      <c r="D226" s="98" t="str">
        <f t="shared" si="3"/>
        <v/>
      </c>
      <c r="E226" s="99"/>
      <c r="F226" s="75" t="str">
        <f t="array" ref="F226">IFERROR(INDEX(Kintoneデータ抽出!A:A, _xlfn.AGGREGATE(15, 6, ROW(Kintoneデータ抽出!$K$2:$K$5000) / ((Kintoneデータ抽出!$K$2:$K$5000="院内")), ROW(A189))), "")</f>
        <v/>
      </c>
      <c r="G226" s="77" t="str">
        <f t="array" ref="G226">IFERROR(INDEX(Kintoneデータ抽出!D:D, _xlfn.AGGREGATE(15, 6, ROW(Kintoneデータ抽出!$K$2:$K$5000) / ((Kintoneデータ抽出!$K$2:$K$5000="院内")), ROW(A189))), "")</f>
        <v/>
      </c>
      <c r="H226" s="77" t="str">
        <f t="array" ref="H226">IFERROR(INDEX(Kintoneデータ抽出!C:C, _xlfn.AGGREGATE(15, 6, ROW(Kintoneデータ抽出!$K$2:$K$5000) / ((Kintoneデータ抽出!$K$2:$K$5000="院内")), ROW(A189))), "")</f>
        <v/>
      </c>
      <c r="I226" s="75" t="str">
        <f t="array" ref="I226">IFERROR(IF(INDEX(Kintoneデータ抽出!G:G, _xlfn.AGGREGATE(15, 6, ROW(Kintoneデータ抽出!$K$2:$K$5000) / ((Kintoneデータ抽出!$K$2:$K$5000="院内")), ROW(A189)))&lt;&gt;"",INDEX(Kintoneデータ抽出!G:G, _xlfn.AGGREGATE(15, 6, ROW(Kintoneデータ抽出!$K$2:$K$5000) / ((Kintoneデータ抽出!$K$2:$K$5000="院内")), ROW(A189)))&amp;"名",""), "")</f>
        <v/>
      </c>
      <c r="J226" s="76" t="str">
        <f t="array" ref="J226">IFERROR(IF(INDEX(Kintoneデータ抽出!E:E, _xlfn.AGGREGATE(15, 6, ROW(Kintoneデータ抽出!$K$2:$K$5000) / ((Kintoneデータ抽出!$K$2:$K$5000="院内")), ROW(A189)))&lt;&gt;"",
YEAR(INDEX(Kintoneデータ抽出!E:E, _xlfn.AGGREGATE(15, 6, ROW(Kintoneデータ抽出!$K$2:$K$5000) / ((Kintoneデータ抽出!$K$2:$K$5000="院内")), ROW(A189))))&amp;"年"
&amp;MONTH(INDEX(Kintoneデータ抽出!E:E, _xlfn.AGGREGATE(15, 6, ROW(Kintoneデータ抽出!$K$2:$K$5000) / ((Kintoneデータ抽出!$K$2:$K$5000="院内")), ROW(A189))))&amp;"月"
&amp;DAY(INDEX(Kintoneデータ抽出!E:E, _xlfn.AGGREGATE(15, 6, ROW(Kintoneデータ抽出!$K$2:$K$5000) /((Kintoneデータ抽出!$K$2:$K$5000="院内")), ROW(A189))))&amp;"日",""), "")</f>
        <v/>
      </c>
      <c r="K226" s="77" t="str" cm="1">
        <f t="array" ref="K226">IFERROR(IF(INDEX(Kintoneデータ抽出!F:F, _xlfn.AGGREGATE(15, 6, ROW(Kintoneデータ抽出!$K$2:$K$5000) / ((Kintoneデータ抽出!$K$2:$K$5000="院内")), ROW(A189)))&lt;&gt;"",
VLOOKUP(INDEX(Kintoneデータ抽出!F:F, _xlfn.AGGREGATE(15, 6, ROW(Kintoneデータ抽出!$K$2:$K$5000) / ((Kintoneデータ抽出!$K$2:$K$5000="院内")), ROW(A189))),基本開園日の表記!$A$2:$B$13,2,FALSE),""), "")</f>
        <v/>
      </c>
      <c r="L226" s="75" t="str">
        <f t="array" ref="L226">IFERROR(IF(INDEX(Kintoneデータ抽出!F:F, _xlfn.AGGREGATE(15, 6, ROW(Kintoneデータ抽出!$K$2:$K$5000) / ((Kintoneデータ抽出!$K$2:$K$5000="院内")), ROW(A189)))&lt;&gt;"",
IF(COUNTIF(INDEX(Kintoneデータ抽出!F:F, _xlfn.AGGREGATE(15, 6, ROW(Kintoneデータ抽出!$K$2:$K$5000) / ((Kintoneデータ抽出!$K$2:$K$5000="院内")), ROW(A189))),"*あり*"),"夜間",""),""), "")</f>
        <v/>
      </c>
      <c r="M226" s="75" t="str">
        <f t="array" ref="M226">IFERROR(IF(INDEX(Kintoneデータ抽出!I:I, _xlfn.AGGREGATE(15, 6, ROW(Kintoneデータ抽出!$K$2:$K$5000) / ((Kintoneデータ抽出!$K$2:$K$5000="院内")), ROW(A189)))&lt;&gt;"",
IF(COUNTIF(INDEX(Kintoneデータ抽出!I:I, _xlfn.AGGREGATE(15, 6, ROW(Kintoneデータ抽出!$K$2:$K$5000) / ((Kintoneデータ抽出!$K$2:$K$5000="院内")), ROW(A189))),"*あり*"),"学童",""),""), "")</f>
        <v/>
      </c>
      <c r="N226" s="75" t="str">
        <f t="array" ref="N226">IFERROR(IF(INDEX(Kintoneデータ抽出!H:H, _xlfn.AGGREGATE(15, 6, ROW(Kintoneデータ抽出!$K$2:$K$5000) / ((Kintoneデータ抽出!$K$2:$K$5000="院内")), ROW(A189)))&lt;&gt;"",
IF(COUNTIF(INDEX(Kintoneデータ抽出!H:H, _xlfn.AGGREGATE(15, 6, ROW(Kintoneデータ抽出!$K$2:$K$5000) / ((Kintoneデータ抽出!$K$2:$K$5000="院内")), ROW(A189))),"*あり*"),"病児",""),""), "")</f>
        <v/>
      </c>
      <c r="O226" s="94" t="str" cm="1">
        <f t="array" ref="O226">IFERROR(
IF(INDEX(Kintoneデータ抽出!M:M, _xlfn.AGGREGATE(15, 6, ROW(Kintoneデータ抽出!$K$2:$K$5000) / ((Kintoneデータ抽出!$K$2:$K$5000="院内")), ROW(A189)))&lt;&gt;0,INDEX(Kintoneデータ抽出!M:M, _xlfn.AGGREGATE(15, 6, ROW(Kintoneデータ抽出!$K$2:$K$5000) / ((Kintoneデータ抽出!$K$2:$K$5000="院内")), ROW(A189))),""), "")</f>
        <v/>
      </c>
      <c r="P226" s="78" t="str">
        <f t="array" ref="P226">IFERROR(IF(INDEX(Kintoneデータ抽出!L:L, _xlfn.AGGREGATE(15, 6, ROW(Kintoneデータ抽出!$K$2:$K$5000) / ((Kintoneデータ抽出!$K$2:$K$5000="院内")), ROW(A189)))&lt;&gt;"",
IF(COUNTIF(INDEX(Kintoneデータ抽出!L:L, _xlfn.AGGREGATE(15, 6, ROW(Kintoneデータ抽出!$K$2:$K$5000) / ((Kintoneデータ抽出!$K$2:$K$5000="院内")), ROW(A189))),"*企業主導型以外*"),"",
IF(COUNTIF(INDEX(Kintoneデータ抽出!L:L, _xlfn.AGGREGATE(15, 6, ROW(Kintoneデータ抽出!$K$2:$K$5000) / ((Kintoneデータ抽出!$K$2:$K$5000="院内")), ROW(A189))),"*その他*"),"",
IF(COUNTIF(INDEX(Kintoneデータ抽出!L:L, _xlfn.AGGREGATE(15, 6, ROW(Kintoneデータ抽出!$K$2:$K$5000) / ((Kintoneデータ抽出!$K$2:$K$5000="院内")), ROW(A189))),"*新制度*"),"新制度","企業主導型"))),""), "")</f>
        <v/>
      </c>
    </row>
    <row r="227" spans="2:16" ht="34.799999999999997" customHeight="1" x14ac:dyDescent="0.45">
      <c r="B227" s="45"/>
      <c r="C227" s="46"/>
      <c r="D227" s="98" t="str">
        <f t="shared" si="3"/>
        <v/>
      </c>
      <c r="E227" s="99"/>
      <c r="F227" s="75" t="str">
        <f t="array" ref="F227">IFERROR(INDEX(Kintoneデータ抽出!A:A, _xlfn.AGGREGATE(15, 6, ROW(Kintoneデータ抽出!$K$2:$K$5000) / ((Kintoneデータ抽出!$K$2:$K$5000="院内")), ROW(A190))), "")</f>
        <v/>
      </c>
      <c r="G227" s="77" t="str">
        <f t="array" ref="G227">IFERROR(INDEX(Kintoneデータ抽出!D:D, _xlfn.AGGREGATE(15, 6, ROW(Kintoneデータ抽出!$K$2:$K$5000) / ((Kintoneデータ抽出!$K$2:$K$5000="院内")), ROW(A190))), "")</f>
        <v/>
      </c>
      <c r="H227" s="77" t="str">
        <f t="array" ref="H227">IFERROR(INDEX(Kintoneデータ抽出!C:C, _xlfn.AGGREGATE(15, 6, ROW(Kintoneデータ抽出!$K$2:$K$5000) / ((Kintoneデータ抽出!$K$2:$K$5000="院内")), ROW(A190))), "")</f>
        <v/>
      </c>
      <c r="I227" s="75" t="str">
        <f t="array" ref="I227">IFERROR(IF(INDEX(Kintoneデータ抽出!G:G, _xlfn.AGGREGATE(15, 6, ROW(Kintoneデータ抽出!$K$2:$K$5000) / ((Kintoneデータ抽出!$K$2:$K$5000="院内")), ROW(A190)))&lt;&gt;"",INDEX(Kintoneデータ抽出!G:G, _xlfn.AGGREGATE(15, 6, ROW(Kintoneデータ抽出!$K$2:$K$5000) / ((Kintoneデータ抽出!$K$2:$K$5000="院内")), ROW(A190)))&amp;"名",""), "")</f>
        <v/>
      </c>
      <c r="J227" s="76" t="str">
        <f t="array" ref="J227">IFERROR(IF(INDEX(Kintoneデータ抽出!E:E, _xlfn.AGGREGATE(15, 6, ROW(Kintoneデータ抽出!$K$2:$K$5000) / ((Kintoneデータ抽出!$K$2:$K$5000="院内")), ROW(A190)))&lt;&gt;"",
YEAR(INDEX(Kintoneデータ抽出!E:E, _xlfn.AGGREGATE(15, 6, ROW(Kintoneデータ抽出!$K$2:$K$5000) / ((Kintoneデータ抽出!$K$2:$K$5000="院内")), ROW(A190))))&amp;"年"
&amp;MONTH(INDEX(Kintoneデータ抽出!E:E, _xlfn.AGGREGATE(15, 6, ROW(Kintoneデータ抽出!$K$2:$K$5000) / ((Kintoneデータ抽出!$K$2:$K$5000="院内")), ROW(A190))))&amp;"月"
&amp;DAY(INDEX(Kintoneデータ抽出!E:E, _xlfn.AGGREGATE(15, 6, ROW(Kintoneデータ抽出!$K$2:$K$5000) /((Kintoneデータ抽出!$K$2:$K$5000="院内")), ROW(A190))))&amp;"日",""), "")</f>
        <v/>
      </c>
      <c r="K227" s="77" t="str" cm="1">
        <f t="array" ref="K227">IFERROR(IF(INDEX(Kintoneデータ抽出!F:F, _xlfn.AGGREGATE(15, 6, ROW(Kintoneデータ抽出!$K$2:$K$5000) / ((Kintoneデータ抽出!$K$2:$K$5000="院内")), ROW(A190)))&lt;&gt;"",
VLOOKUP(INDEX(Kintoneデータ抽出!F:F, _xlfn.AGGREGATE(15, 6, ROW(Kintoneデータ抽出!$K$2:$K$5000) / ((Kintoneデータ抽出!$K$2:$K$5000="院内")), ROW(A190))),基本開園日の表記!$A$2:$B$13,2,FALSE),""), "")</f>
        <v/>
      </c>
      <c r="L227" s="75" t="str">
        <f t="array" ref="L227">IFERROR(IF(INDEX(Kintoneデータ抽出!F:F, _xlfn.AGGREGATE(15, 6, ROW(Kintoneデータ抽出!$K$2:$K$5000) / ((Kintoneデータ抽出!$K$2:$K$5000="院内")), ROW(A190)))&lt;&gt;"",
IF(COUNTIF(INDEX(Kintoneデータ抽出!F:F, _xlfn.AGGREGATE(15, 6, ROW(Kintoneデータ抽出!$K$2:$K$5000) / ((Kintoneデータ抽出!$K$2:$K$5000="院内")), ROW(A190))),"*あり*"),"夜間",""),""), "")</f>
        <v/>
      </c>
      <c r="M227" s="75" t="str">
        <f t="array" ref="M227">IFERROR(IF(INDEX(Kintoneデータ抽出!I:I, _xlfn.AGGREGATE(15, 6, ROW(Kintoneデータ抽出!$K$2:$K$5000) / ((Kintoneデータ抽出!$K$2:$K$5000="院内")), ROW(A190)))&lt;&gt;"",
IF(COUNTIF(INDEX(Kintoneデータ抽出!I:I, _xlfn.AGGREGATE(15, 6, ROW(Kintoneデータ抽出!$K$2:$K$5000) / ((Kintoneデータ抽出!$K$2:$K$5000="院内")), ROW(A190))),"*あり*"),"学童",""),""), "")</f>
        <v/>
      </c>
      <c r="N227" s="75" t="str">
        <f t="array" ref="N227">IFERROR(IF(INDEX(Kintoneデータ抽出!H:H, _xlfn.AGGREGATE(15, 6, ROW(Kintoneデータ抽出!$K$2:$K$5000) / ((Kintoneデータ抽出!$K$2:$K$5000="院内")), ROW(A190)))&lt;&gt;"",
IF(COUNTIF(INDEX(Kintoneデータ抽出!H:H, _xlfn.AGGREGATE(15, 6, ROW(Kintoneデータ抽出!$K$2:$K$5000) / ((Kintoneデータ抽出!$K$2:$K$5000="院内")), ROW(A190))),"*あり*"),"病児",""),""), "")</f>
        <v/>
      </c>
      <c r="O227" s="94" t="str" cm="1">
        <f t="array" ref="O227">IFERROR(
IF(INDEX(Kintoneデータ抽出!M:M, _xlfn.AGGREGATE(15, 6, ROW(Kintoneデータ抽出!$K$2:$K$5000) / ((Kintoneデータ抽出!$K$2:$K$5000="院内")), ROW(A190)))&lt;&gt;0,INDEX(Kintoneデータ抽出!M:M, _xlfn.AGGREGATE(15, 6, ROW(Kintoneデータ抽出!$K$2:$K$5000) / ((Kintoneデータ抽出!$K$2:$K$5000="院内")), ROW(A190))),""), "")</f>
        <v/>
      </c>
      <c r="P227" s="78" t="str">
        <f t="array" ref="P227">IFERROR(IF(INDEX(Kintoneデータ抽出!L:L, _xlfn.AGGREGATE(15, 6, ROW(Kintoneデータ抽出!$K$2:$K$5000) / ((Kintoneデータ抽出!$K$2:$K$5000="院内")), ROW(A190)))&lt;&gt;"",
IF(COUNTIF(INDEX(Kintoneデータ抽出!L:L, _xlfn.AGGREGATE(15, 6, ROW(Kintoneデータ抽出!$K$2:$K$5000) / ((Kintoneデータ抽出!$K$2:$K$5000="院内")), ROW(A190))),"*企業主導型以外*"),"",
IF(COUNTIF(INDEX(Kintoneデータ抽出!L:L, _xlfn.AGGREGATE(15, 6, ROW(Kintoneデータ抽出!$K$2:$K$5000) / ((Kintoneデータ抽出!$K$2:$K$5000="院内")), ROW(A190))),"*その他*"),"",
IF(COUNTIF(INDEX(Kintoneデータ抽出!L:L, _xlfn.AGGREGATE(15, 6, ROW(Kintoneデータ抽出!$K$2:$K$5000) / ((Kintoneデータ抽出!$K$2:$K$5000="院内")), ROW(A190))),"*新制度*"),"新制度","企業主導型"))),""), "")</f>
        <v/>
      </c>
    </row>
    <row r="228" spans="2:16" ht="34.799999999999997" customHeight="1" x14ac:dyDescent="0.45">
      <c r="B228" s="45"/>
      <c r="C228" s="46"/>
      <c r="D228" s="98" t="str">
        <f t="shared" si="3"/>
        <v/>
      </c>
      <c r="E228" s="99"/>
      <c r="F228" s="75" t="str">
        <f t="array" ref="F228">IFERROR(INDEX(Kintoneデータ抽出!A:A, _xlfn.AGGREGATE(15, 6, ROW(Kintoneデータ抽出!$K$2:$K$5000) / ((Kintoneデータ抽出!$K$2:$K$5000="院内")), ROW(A191))), "")</f>
        <v/>
      </c>
      <c r="G228" s="77" t="str">
        <f t="array" ref="G228">IFERROR(INDEX(Kintoneデータ抽出!D:D, _xlfn.AGGREGATE(15, 6, ROW(Kintoneデータ抽出!$K$2:$K$5000) / ((Kintoneデータ抽出!$K$2:$K$5000="院内")), ROW(A191))), "")</f>
        <v/>
      </c>
      <c r="H228" s="77" t="str">
        <f t="array" ref="H228">IFERROR(INDEX(Kintoneデータ抽出!C:C, _xlfn.AGGREGATE(15, 6, ROW(Kintoneデータ抽出!$K$2:$K$5000) / ((Kintoneデータ抽出!$K$2:$K$5000="院内")), ROW(A191))), "")</f>
        <v/>
      </c>
      <c r="I228" s="75" t="str">
        <f t="array" ref="I228">IFERROR(IF(INDEX(Kintoneデータ抽出!G:G, _xlfn.AGGREGATE(15, 6, ROW(Kintoneデータ抽出!$K$2:$K$5000) / ((Kintoneデータ抽出!$K$2:$K$5000="院内")), ROW(A191)))&lt;&gt;"",INDEX(Kintoneデータ抽出!G:G, _xlfn.AGGREGATE(15, 6, ROW(Kintoneデータ抽出!$K$2:$K$5000) / ((Kintoneデータ抽出!$K$2:$K$5000="院内")), ROW(A191)))&amp;"名",""), "")</f>
        <v/>
      </c>
      <c r="J228" s="76" t="str">
        <f t="array" ref="J228">IFERROR(IF(INDEX(Kintoneデータ抽出!E:E, _xlfn.AGGREGATE(15, 6, ROW(Kintoneデータ抽出!$K$2:$K$5000) / ((Kintoneデータ抽出!$K$2:$K$5000="院内")), ROW(A191)))&lt;&gt;"",
YEAR(INDEX(Kintoneデータ抽出!E:E, _xlfn.AGGREGATE(15, 6, ROW(Kintoneデータ抽出!$K$2:$K$5000) / ((Kintoneデータ抽出!$K$2:$K$5000="院内")), ROW(A191))))&amp;"年"
&amp;MONTH(INDEX(Kintoneデータ抽出!E:E, _xlfn.AGGREGATE(15, 6, ROW(Kintoneデータ抽出!$K$2:$K$5000) / ((Kintoneデータ抽出!$K$2:$K$5000="院内")), ROW(A191))))&amp;"月"
&amp;DAY(INDEX(Kintoneデータ抽出!E:E, _xlfn.AGGREGATE(15, 6, ROW(Kintoneデータ抽出!$K$2:$K$5000) /((Kintoneデータ抽出!$K$2:$K$5000="院内")), ROW(A191))))&amp;"日",""), "")</f>
        <v/>
      </c>
      <c r="K228" s="77" t="str" cm="1">
        <f t="array" ref="K228">IFERROR(IF(INDEX(Kintoneデータ抽出!F:F, _xlfn.AGGREGATE(15, 6, ROW(Kintoneデータ抽出!$K$2:$K$5000) / ((Kintoneデータ抽出!$K$2:$K$5000="院内")), ROW(A191)))&lt;&gt;"",
VLOOKUP(INDEX(Kintoneデータ抽出!F:F, _xlfn.AGGREGATE(15, 6, ROW(Kintoneデータ抽出!$K$2:$K$5000) / ((Kintoneデータ抽出!$K$2:$K$5000="院内")), ROW(A191))),基本開園日の表記!$A$2:$B$13,2,FALSE),""), "")</f>
        <v/>
      </c>
      <c r="L228" s="75" t="str">
        <f t="array" ref="L228">IFERROR(IF(INDEX(Kintoneデータ抽出!F:F, _xlfn.AGGREGATE(15, 6, ROW(Kintoneデータ抽出!$K$2:$K$5000) / ((Kintoneデータ抽出!$K$2:$K$5000="院内")), ROW(A191)))&lt;&gt;"",
IF(COUNTIF(INDEX(Kintoneデータ抽出!F:F, _xlfn.AGGREGATE(15, 6, ROW(Kintoneデータ抽出!$K$2:$K$5000) / ((Kintoneデータ抽出!$K$2:$K$5000="院内")), ROW(A191))),"*あり*"),"夜間",""),""), "")</f>
        <v/>
      </c>
      <c r="M228" s="75" t="str">
        <f t="array" ref="M228">IFERROR(IF(INDEX(Kintoneデータ抽出!I:I, _xlfn.AGGREGATE(15, 6, ROW(Kintoneデータ抽出!$K$2:$K$5000) / ((Kintoneデータ抽出!$K$2:$K$5000="院内")), ROW(A191)))&lt;&gt;"",
IF(COUNTIF(INDEX(Kintoneデータ抽出!I:I, _xlfn.AGGREGATE(15, 6, ROW(Kintoneデータ抽出!$K$2:$K$5000) / ((Kintoneデータ抽出!$K$2:$K$5000="院内")), ROW(A191))),"*あり*"),"学童",""),""), "")</f>
        <v/>
      </c>
      <c r="N228" s="75" t="str">
        <f t="array" ref="N228">IFERROR(IF(INDEX(Kintoneデータ抽出!H:H, _xlfn.AGGREGATE(15, 6, ROW(Kintoneデータ抽出!$K$2:$K$5000) / ((Kintoneデータ抽出!$K$2:$K$5000="院内")), ROW(A191)))&lt;&gt;"",
IF(COUNTIF(INDEX(Kintoneデータ抽出!H:H, _xlfn.AGGREGATE(15, 6, ROW(Kintoneデータ抽出!$K$2:$K$5000) / ((Kintoneデータ抽出!$K$2:$K$5000="院内")), ROW(A191))),"*あり*"),"病児",""),""), "")</f>
        <v/>
      </c>
      <c r="O228" s="94" t="str" cm="1">
        <f t="array" ref="O228">IFERROR(
IF(INDEX(Kintoneデータ抽出!M:M, _xlfn.AGGREGATE(15, 6, ROW(Kintoneデータ抽出!$K$2:$K$5000) / ((Kintoneデータ抽出!$K$2:$K$5000="院内")), ROW(A191)))&lt;&gt;0,INDEX(Kintoneデータ抽出!M:M, _xlfn.AGGREGATE(15, 6, ROW(Kintoneデータ抽出!$K$2:$K$5000) / ((Kintoneデータ抽出!$K$2:$K$5000="院内")), ROW(A191))),""), "")</f>
        <v/>
      </c>
      <c r="P228" s="78" t="str">
        <f t="array" ref="P228">IFERROR(IF(INDEX(Kintoneデータ抽出!L:L, _xlfn.AGGREGATE(15, 6, ROW(Kintoneデータ抽出!$K$2:$K$5000) / ((Kintoneデータ抽出!$K$2:$K$5000="院内")), ROW(A191)))&lt;&gt;"",
IF(COUNTIF(INDEX(Kintoneデータ抽出!L:L, _xlfn.AGGREGATE(15, 6, ROW(Kintoneデータ抽出!$K$2:$K$5000) / ((Kintoneデータ抽出!$K$2:$K$5000="院内")), ROW(A191))),"*企業主導型以外*"),"",
IF(COUNTIF(INDEX(Kintoneデータ抽出!L:L, _xlfn.AGGREGATE(15, 6, ROW(Kintoneデータ抽出!$K$2:$K$5000) / ((Kintoneデータ抽出!$K$2:$K$5000="院内")), ROW(A191))),"*その他*"),"",
IF(COUNTIF(INDEX(Kintoneデータ抽出!L:L, _xlfn.AGGREGATE(15, 6, ROW(Kintoneデータ抽出!$K$2:$K$5000) / ((Kintoneデータ抽出!$K$2:$K$5000="院内")), ROW(A191))),"*新制度*"),"新制度","企業主導型"))),""), "")</f>
        <v/>
      </c>
    </row>
    <row r="229" spans="2:16" ht="34.799999999999997" customHeight="1" x14ac:dyDescent="0.45">
      <c r="B229" s="45"/>
      <c r="C229" s="46"/>
      <c r="D229" s="98" t="str">
        <f t="shared" si="3"/>
        <v/>
      </c>
      <c r="E229" s="99"/>
      <c r="F229" s="75" t="str">
        <f t="array" ref="F229">IFERROR(INDEX(Kintoneデータ抽出!A:A, _xlfn.AGGREGATE(15, 6, ROW(Kintoneデータ抽出!$K$2:$K$5000) / ((Kintoneデータ抽出!$K$2:$K$5000="院内")), ROW(A192))), "")</f>
        <v/>
      </c>
      <c r="G229" s="77" t="str">
        <f t="array" ref="G229">IFERROR(INDEX(Kintoneデータ抽出!D:D, _xlfn.AGGREGATE(15, 6, ROW(Kintoneデータ抽出!$K$2:$K$5000) / ((Kintoneデータ抽出!$K$2:$K$5000="院内")), ROW(A192))), "")</f>
        <v/>
      </c>
      <c r="H229" s="77" t="str">
        <f t="array" ref="H229">IFERROR(INDEX(Kintoneデータ抽出!C:C, _xlfn.AGGREGATE(15, 6, ROW(Kintoneデータ抽出!$K$2:$K$5000) / ((Kintoneデータ抽出!$K$2:$K$5000="院内")), ROW(A192))), "")</f>
        <v/>
      </c>
      <c r="I229" s="75" t="str">
        <f t="array" ref="I229">IFERROR(IF(INDEX(Kintoneデータ抽出!G:G, _xlfn.AGGREGATE(15, 6, ROW(Kintoneデータ抽出!$K$2:$K$5000) / ((Kintoneデータ抽出!$K$2:$K$5000="院内")), ROW(A192)))&lt;&gt;"",INDEX(Kintoneデータ抽出!G:G, _xlfn.AGGREGATE(15, 6, ROW(Kintoneデータ抽出!$K$2:$K$5000) / ((Kintoneデータ抽出!$K$2:$K$5000="院内")), ROW(A192)))&amp;"名",""), "")</f>
        <v/>
      </c>
      <c r="J229" s="76" t="str">
        <f t="array" ref="J229">IFERROR(IF(INDEX(Kintoneデータ抽出!E:E, _xlfn.AGGREGATE(15, 6, ROW(Kintoneデータ抽出!$K$2:$K$5000) / ((Kintoneデータ抽出!$K$2:$K$5000="院内")), ROW(A192)))&lt;&gt;"",
YEAR(INDEX(Kintoneデータ抽出!E:E, _xlfn.AGGREGATE(15, 6, ROW(Kintoneデータ抽出!$K$2:$K$5000) / ((Kintoneデータ抽出!$K$2:$K$5000="院内")), ROW(A192))))&amp;"年"
&amp;MONTH(INDEX(Kintoneデータ抽出!E:E, _xlfn.AGGREGATE(15, 6, ROW(Kintoneデータ抽出!$K$2:$K$5000) / ((Kintoneデータ抽出!$K$2:$K$5000="院内")), ROW(A192))))&amp;"月"
&amp;DAY(INDEX(Kintoneデータ抽出!E:E, _xlfn.AGGREGATE(15, 6, ROW(Kintoneデータ抽出!$K$2:$K$5000) /((Kintoneデータ抽出!$K$2:$K$5000="院内")), ROW(A192))))&amp;"日",""), "")</f>
        <v/>
      </c>
      <c r="K229" s="77" t="str" cm="1">
        <f t="array" ref="K229">IFERROR(IF(INDEX(Kintoneデータ抽出!F:F, _xlfn.AGGREGATE(15, 6, ROW(Kintoneデータ抽出!$K$2:$K$5000) / ((Kintoneデータ抽出!$K$2:$K$5000="院内")), ROW(A192)))&lt;&gt;"",
VLOOKUP(INDEX(Kintoneデータ抽出!F:F, _xlfn.AGGREGATE(15, 6, ROW(Kintoneデータ抽出!$K$2:$K$5000) / ((Kintoneデータ抽出!$K$2:$K$5000="院内")), ROW(A192))),基本開園日の表記!$A$2:$B$13,2,FALSE),""), "")</f>
        <v/>
      </c>
      <c r="L229" s="75" t="str">
        <f t="array" ref="L229">IFERROR(IF(INDEX(Kintoneデータ抽出!F:F, _xlfn.AGGREGATE(15, 6, ROW(Kintoneデータ抽出!$K$2:$K$5000) / ((Kintoneデータ抽出!$K$2:$K$5000="院内")), ROW(A192)))&lt;&gt;"",
IF(COUNTIF(INDEX(Kintoneデータ抽出!F:F, _xlfn.AGGREGATE(15, 6, ROW(Kintoneデータ抽出!$K$2:$K$5000) / ((Kintoneデータ抽出!$K$2:$K$5000="院内")), ROW(A192))),"*あり*"),"夜間",""),""), "")</f>
        <v/>
      </c>
      <c r="M229" s="75" t="str">
        <f t="array" ref="M229">IFERROR(IF(INDEX(Kintoneデータ抽出!I:I, _xlfn.AGGREGATE(15, 6, ROW(Kintoneデータ抽出!$K$2:$K$5000) / ((Kintoneデータ抽出!$K$2:$K$5000="院内")), ROW(A192)))&lt;&gt;"",
IF(COUNTIF(INDEX(Kintoneデータ抽出!I:I, _xlfn.AGGREGATE(15, 6, ROW(Kintoneデータ抽出!$K$2:$K$5000) / ((Kintoneデータ抽出!$K$2:$K$5000="院内")), ROW(A192))),"*あり*"),"学童",""),""), "")</f>
        <v/>
      </c>
      <c r="N229" s="75" t="str">
        <f t="array" ref="N229">IFERROR(IF(INDEX(Kintoneデータ抽出!H:H, _xlfn.AGGREGATE(15, 6, ROW(Kintoneデータ抽出!$K$2:$K$5000) / ((Kintoneデータ抽出!$K$2:$K$5000="院内")), ROW(A192)))&lt;&gt;"",
IF(COUNTIF(INDEX(Kintoneデータ抽出!H:H, _xlfn.AGGREGATE(15, 6, ROW(Kintoneデータ抽出!$K$2:$K$5000) / ((Kintoneデータ抽出!$K$2:$K$5000="院内")), ROW(A192))),"*あり*"),"病児",""),""), "")</f>
        <v/>
      </c>
      <c r="O229" s="94" t="str" cm="1">
        <f t="array" ref="O229">IFERROR(
IF(INDEX(Kintoneデータ抽出!M:M, _xlfn.AGGREGATE(15, 6, ROW(Kintoneデータ抽出!$K$2:$K$5000) / ((Kintoneデータ抽出!$K$2:$K$5000="院内")), ROW(A192)))&lt;&gt;0,INDEX(Kintoneデータ抽出!M:M, _xlfn.AGGREGATE(15, 6, ROW(Kintoneデータ抽出!$K$2:$K$5000) / ((Kintoneデータ抽出!$K$2:$K$5000="院内")), ROW(A192))),""), "")</f>
        <v/>
      </c>
      <c r="P229" s="78" t="str">
        <f t="array" ref="P229">IFERROR(IF(INDEX(Kintoneデータ抽出!L:L, _xlfn.AGGREGATE(15, 6, ROW(Kintoneデータ抽出!$K$2:$K$5000) / ((Kintoneデータ抽出!$K$2:$K$5000="院内")), ROW(A192)))&lt;&gt;"",
IF(COUNTIF(INDEX(Kintoneデータ抽出!L:L, _xlfn.AGGREGATE(15, 6, ROW(Kintoneデータ抽出!$K$2:$K$5000) / ((Kintoneデータ抽出!$K$2:$K$5000="院内")), ROW(A192))),"*企業主導型以外*"),"",
IF(COUNTIF(INDEX(Kintoneデータ抽出!L:L, _xlfn.AGGREGATE(15, 6, ROW(Kintoneデータ抽出!$K$2:$K$5000) / ((Kintoneデータ抽出!$K$2:$K$5000="院内")), ROW(A192))),"*その他*"),"",
IF(COUNTIF(INDEX(Kintoneデータ抽出!L:L, _xlfn.AGGREGATE(15, 6, ROW(Kintoneデータ抽出!$K$2:$K$5000) / ((Kintoneデータ抽出!$K$2:$K$5000="院内")), ROW(A192))),"*新制度*"),"新制度","企業主導型"))),""), "")</f>
        <v/>
      </c>
    </row>
    <row r="230" spans="2:16" ht="34.5" customHeight="1" x14ac:dyDescent="0.45">
      <c r="B230" s="45"/>
      <c r="C230" s="46"/>
      <c r="D230" s="98" t="str">
        <f t="shared" si="3"/>
        <v/>
      </c>
      <c r="E230" s="99"/>
      <c r="F230" s="75" t="str">
        <f t="array" ref="F230">IFERROR(INDEX(Kintoneデータ抽出!A:A, _xlfn.AGGREGATE(15, 6, ROW(Kintoneデータ抽出!$K$2:$K$5000) / ((Kintoneデータ抽出!$K$2:$K$5000="院内")), ROW(A193))), "")</f>
        <v/>
      </c>
      <c r="G230" s="77" t="str">
        <f t="array" ref="G230">IFERROR(INDEX(Kintoneデータ抽出!D:D, _xlfn.AGGREGATE(15, 6, ROW(Kintoneデータ抽出!$K$2:$K$5000) / ((Kintoneデータ抽出!$K$2:$K$5000="院内")), ROW(A193))), "")</f>
        <v/>
      </c>
      <c r="H230" s="77" t="str">
        <f t="array" ref="H230">IFERROR(INDEX(Kintoneデータ抽出!C:C, _xlfn.AGGREGATE(15, 6, ROW(Kintoneデータ抽出!$K$2:$K$5000) / ((Kintoneデータ抽出!$K$2:$K$5000="院内")), ROW(A193))), "")</f>
        <v/>
      </c>
      <c r="I230" s="75" t="str">
        <f t="array" ref="I230">IFERROR(IF(INDEX(Kintoneデータ抽出!G:G, _xlfn.AGGREGATE(15, 6, ROW(Kintoneデータ抽出!$K$2:$K$5000) / ((Kintoneデータ抽出!$K$2:$K$5000="院内")), ROW(A193)))&lt;&gt;"",INDEX(Kintoneデータ抽出!G:G, _xlfn.AGGREGATE(15, 6, ROW(Kintoneデータ抽出!$K$2:$K$5000) / ((Kintoneデータ抽出!$K$2:$K$5000="院内")), ROW(A193)))&amp;"名",""), "")</f>
        <v/>
      </c>
      <c r="J230" s="76" t="str">
        <f t="array" ref="J230">IFERROR(IF(INDEX(Kintoneデータ抽出!E:E, _xlfn.AGGREGATE(15, 6, ROW(Kintoneデータ抽出!$K$2:$K$5000) / ((Kintoneデータ抽出!$K$2:$K$5000="院内")), ROW(A193)))&lt;&gt;"",
YEAR(INDEX(Kintoneデータ抽出!E:E, _xlfn.AGGREGATE(15, 6, ROW(Kintoneデータ抽出!$K$2:$K$5000) / ((Kintoneデータ抽出!$K$2:$K$5000="院内")), ROW(A193))))&amp;"年"
&amp;MONTH(INDEX(Kintoneデータ抽出!E:E, _xlfn.AGGREGATE(15, 6, ROW(Kintoneデータ抽出!$K$2:$K$5000) / ((Kintoneデータ抽出!$K$2:$K$5000="院内")), ROW(A193))))&amp;"月"
&amp;DAY(INDEX(Kintoneデータ抽出!E:E, _xlfn.AGGREGATE(15, 6, ROW(Kintoneデータ抽出!$K$2:$K$5000) /((Kintoneデータ抽出!$K$2:$K$5000="院内")), ROW(A193))))&amp;"日",""), "")</f>
        <v/>
      </c>
      <c r="K230" s="77" t="str" cm="1">
        <f t="array" ref="K230">IFERROR(IF(INDEX(Kintoneデータ抽出!F:F, _xlfn.AGGREGATE(15, 6, ROW(Kintoneデータ抽出!$K$2:$K$5000) / ((Kintoneデータ抽出!$K$2:$K$5000="院内")), ROW(A193)))&lt;&gt;"",
VLOOKUP(INDEX(Kintoneデータ抽出!F:F, _xlfn.AGGREGATE(15, 6, ROW(Kintoneデータ抽出!$K$2:$K$5000) / ((Kintoneデータ抽出!$K$2:$K$5000="院内")), ROW(A193))),基本開園日の表記!$A$2:$B$13,2,FALSE),""), "")</f>
        <v/>
      </c>
      <c r="L230" s="75" t="str">
        <f t="array" ref="L230">IFERROR(IF(INDEX(Kintoneデータ抽出!F:F, _xlfn.AGGREGATE(15, 6, ROW(Kintoneデータ抽出!$K$2:$K$5000) / ((Kintoneデータ抽出!$K$2:$K$5000="院内")), ROW(A193)))&lt;&gt;"",
IF(COUNTIF(INDEX(Kintoneデータ抽出!F:F, _xlfn.AGGREGATE(15, 6, ROW(Kintoneデータ抽出!$K$2:$K$5000) / ((Kintoneデータ抽出!$K$2:$K$5000="院内")), ROW(A193))),"*あり*"),"夜間",""),""), "")</f>
        <v/>
      </c>
      <c r="M230" s="75" t="str">
        <f t="array" ref="M230">IFERROR(IF(INDEX(Kintoneデータ抽出!I:I, _xlfn.AGGREGATE(15, 6, ROW(Kintoneデータ抽出!$K$2:$K$5000) / ((Kintoneデータ抽出!$K$2:$K$5000="院内")), ROW(A193)))&lt;&gt;"",
IF(COUNTIF(INDEX(Kintoneデータ抽出!I:I, _xlfn.AGGREGATE(15, 6, ROW(Kintoneデータ抽出!$K$2:$K$5000) / ((Kintoneデータ抽出!$K$2:$K$5000="院内")), ROW(A193))),"*あり*"),"学童",""),""), "")</f>
        <v/>
      </c>
      <c r="N230" s="75" t="str">
        <f t="array" ref="N230">IFERROR(IF(INDEX(Kintoneデータ抽出!H:H, _xlfn.AGGREGATE(15, 6, ROW(Kintoneデータ抽出!$K$2:$K$5000) / ((Kintoneデータ抽出!$K$2:$K$5000="院内")), ROW(A193)))&lt;&gt;"",
IF(COUNTIF(INDEX(Kintoneデータ抽出!H:H, _xlfn.AGGREGATE(15, 6, ROW(Kintoneデータ抽出!$K$2:$K$5000) / ((Kintoneデータ抽出!$K$2:$K$5000="院内")), ROW(A193))),"*あり*"),"病児",""),""), "")</f>
        <v/>
      </c>
      <c r="O230" s="94" t="str" cm="1">
        <f t="array" ref="O230">IFERROR(
IF(INDEX(Kintoneデータ抽出!M:M, _xlfn.AGGREGATE(15, 6, ROW(Kintoneデータ抽出!$K$2:$K$5000) / ((Kintoneデータ抽出!$K$2:$K$5000="院内")), ROW(A193)))&lt;&gt;0,INDEX(Kintoneデータ抽出!M:M, _xlfn.AGGREGATE(15, 6, ROW(Kintoneデータ抽出!$K$2:$K$5000) / ((Kintoneデータ抽出!$K$2:$K$5000="院内")), ROW(A193))),""), "")</f>
        <v/>
      </c>
      <c r="P230" s="78" t="str">
        <f t="array" ref="P230">IFERROR(IF(INDEX(Kintoneデータ抽出!L:L, _xlfn.AGGREGATE(15, 6, ROW(Kintoneデータ抽出!$K$2:$K$5000) / ((Kintoneデータ抽出!$K$2:$K$5000="院内")), ROW(A193)))&lt;&gt;"",
IF(COUNTIF(INDEX(Kintoneデータ抽出!L:L, _xlfn.AGGREGATE(15, 6, ROW(Kintoneデータ抽出!$K$2:$K$5000) / ((Kintoneデータ抽出!$K$2:$K$5000="院内")), ROW(A193))),"*企業主導型以外*"),"",
IF(COUNTIF(INDEX(Kintoneデータ抽出!L:L, _xlfn.AGGREGATE(15, 6, ROW(Kintoneデータ抽出!$K$2:$K$5000) / ((Kintoneデータ抽出!$K$2:$K$5000="院内")), ROW(A193))),"*その他*"),"",
IF(COUNTIF(INDEX(Kintoneデータ抽出!L:L, _xlfn.AGGREGATE(15, 6, ROW(Kintoneデータ抽出!$K$2:$K$5000) / ((Kintoneデータ抽出!$K$2:$K$5000="院内")), ROW(A193))),"*新制度*"),"新制度","企業主導型"))),""), "")</f>
        <v/>
      </c>
    </row>
    <row r="231" spans="2:16" ht="34.799999999999997" customHeight="1" x14ac:dyDescent="0.45">
      <c r="B231" s="45"/>
      <c r="C231" s="46"/>
      <c r="D231" s="98" t="str">
        <f t="shared" ref="D231:D294" si="4">IF(H231&lt;&gt;"",D230+1,D230)</f>
        <v/>
      </c>
      <c r="E231" s="99"/>
      <c r="F231" s="75" t="str">
        <f t="array" ref="F231">IFERROR(INDEX(Kintoneデータ抽出!A:A, _xlfn.AGGREGATE(15, 6, ROW(Kintoneデータ抽出!$K$2:$K$5000) / ((Kintoneデータ抽出!$K$2:$K$5000="院内")), ROW(A194))), "")</f>
        <v/>
      </c>
      <c r="G231" s="77" t="str">
        <f t="array" ref="G231">IFERROR(INDEX(Kintoneデータ抽出!D:D, _xlfn.AGGREGATE(15, 6, ROW(Kintoneデータ抽出!$K$2:$K$5000) / ((Kintoneデータ抽出!$K$2:$K$5000="院内")), ROW(A194))), "")</f>
        <v/>
      </c>
      <c r="H231" s="77" t="str">
        <f t="array" ref="H231">IFERROR(INDEX(Kintoneデータ抽出!C:C, _xlfn.AGGREGATE(15, 6, ROW(Kintoneデータ抽出!$K$2:$K$5000) / ((Kintoneデータ抽出!$K$2:$K$5000="院内")), ROW(A194))), "")</f>
        <v/>
      </c>
      <c r="I231" s="75" t="str">
        <f t="array" ref="I231">IFERROR(IF(INDEX(Kintoneデータ抽出!G:G, _xlfn.AGGREGATE(15, 6, ROW(Kintoneデータ抽出!$K$2:$K$5000) / ((Kintoneデータ抽出!$K$2:$K$5000="院内")), ROW(A194)))&lt;&gt;"",INDEX(Kintoneデータ抽出!G:G, _xlfn.AGGREGATE(15, 6, ROW(Kintoneデータ抽出!$K$2:$K$5000) / ((Kintoneデータ抽出!$K$2:$K$5000="院内")), ROW(A194)))&amp;"名",""), "")</f>
        <v/>
      </c>
      <c r="J231" s="76" t="str">
        <f t="array" ref="J231">IFERROR(IF(INDEX(Kintoneデータ抽出!E:E, _xlfn.AGGREGATE(15, 6, ROW(Kintoneデータ抽出!$K$2:$K$5000) / ((Kintoneデータ抽出!$K$2:$K$5000="院内")), ROW(A194)))&lt;&gt;"",
YEAR(INDEX(Kintoneデータ抽出!E:E, _xlfn.AGGREGATE(15, 6, ROW(Kintoneデータ抽出!$K$2:$K$5000) / ((Kintoneデータ抽出!$K$2:$K$5000="院内")), ROW(A194))))&amp;"年"
&amp;MONTH(INDEX(Kintoneデータ抽出!E:E, _xlfn.AGGREGATE(15, 6, ROW(Kintoneデータ抽出!$K$2:$K$5000) / ((Kintoneデータ抽出!$K$2:$K$5000="院内")), ROW(A194))))&amp;"月"
&amp;DAY(INDEX(Kintoneデータ抽出!E:E, _xlfn.AGGREGATE(15, 6, ROW(Kintoneデータ抽出!$K$2:$K$5000) /((Kintoneデータ抽出!$K$2:$K$5000="院内")), ROW(A194))))&amp;"日",""), "")</f>
        <v/>
      </c>
      <c r="K231" s="77" t="str" cm="1">
        <f t="array" ref="K231">IFERROR(IF(INDEX(Kintoneデータ抽出!F:F, _xlfn.AGGREGATE(15, 6, ROW(Kintoneデータ抽出!$K$2:$K$5000) / ((Kintoneデータ抽出!$K$2:$K$5000="院内")), ROW(A194)))&lt;&gt;"",
VLOOKUP(INDEX(Kintoneデータ抽出!F:F, _xlfn.AGGREGATE(15, 6, ROW(Kintoneデータ抽出!$K$2:$K$5000) / ((Kintoneデータ抽出!$K$2:$K$5000="院内")), ROW(A194))),基本開園日の表記!$A$2:$B$13,2,FALSE),""), "")</f>
        <v/>
      </c>
      <c r="L231" s="75" t="str">
        <f t="array" ref="L231">IFERROR(IF(INDEX(Kintoneデータ抽出!F:F, _xlfn.AGGREGATE(15, 6, ROW(Kintoneデータ抽出!$K$2:$K$5000) / ((Kintoneデータ抽出!$K$2:$K$5000="院内")), ROW(A194)))&lt;&gt;"",
IF(COUNTIF(INDEX(Kintoneデータ抽出!F:F, _xlfn.AGGREGATE(15, 6, ROW(Kintoneデータ抽出!$K$2:$K$5000) / ((Kintoneデータ抽出!$K$2:$K$5000="院内")), ROW(A194))),"*あり*"),"夜間",""),""), "")</f>
        <v/>
      </c>
      <c r="M231" s="75" t="str">
        <f t="array" ref="M231">IFERROR(IF(INDEX(Kintoneデータ抽出!I:I, _xlfn.AGGREGATE(15, 6, ROW(Kintoneデータ抽出!$K$2:$K$5000) / ((Kintoneデータ抽出!$K$2:$K$5000="院内")), ROW(A194)))&lt;&gt;"",
IF(COUNTIF(INDEX(Kintoneデータ抽出!I:I, _xlfn.AGGREGATE(15, 6, ROW(Kintoneデータ抽出!$K$2:$K$5000) / ((Kintoneデータ抽出!$K$2:$K$5000="院内")), ROW(A194))),"*あり*"),"学童",""),""), "")</f>
        <v/>
      </c>
      <c r="N231" s="75" t="str">
        <f t="array" ref="N231">IFERROR(IF(INDEX(Kintoneデータ抽出!H:H, _xlfn.AGGREGATE(15, 6, ROW(Kintoneデータ抽出!$K$2:$K$5000) / ((Kintoneデータ抽出!$K$2:$K$5000="院内")), ROW(A194)))&lt;&gt;"",
IF(COUNTIF(INDEX(Kintoneデータ抽出!H:H, _xlfn.AGGREGATE(15, 6, ROW(Kintoneデータ抽出!$K$2:$K$5000) / ((Kintoneデータ抽出!$K$2:$K$5000="院内")), ROW(A194))),"*あり*"),"病児",""),""), "")</f>
        <v/>
      </c>
      <c r="O231" s="94" t="str" cm="1">
        <f t="array" ref="O231">IFERROR(
IF(INDEX(Kintoneデータ抽出!M:M, _xlfn.AGGREGATE(15, 6, ROW(Kintoneデータ抽出!$K$2:$K$5000) / ((Kintoneデータ抽出!$K$2:$K$5000="院内")), ROW(A194)))&lt;&gt;0,INDEX(Kintoneデータ抽出!M:M, _xlfn.AGGREGATE(15, 6, ROW(Kintoneデータ抽出!$K$2:$K$5000) / ((Kintoneデータ抽出!$K$2:$K$5000="院内")), ROW(A194))),""), "")</f>
        <v/>
      </c>
      <c r="P231" s="78" t="str">
        <f t="array" ref="P231">IFERROR(IF(INDEX(Kintoneデータ抽出!L:L, _xlfn.AGGREGATE(15, 6, ROW(Kintoneデータ抽出!$K$2:$K$5000) / ((Kintoneデータ抽出!$K$2:$K$5000="院内")), ROW(A194)))&lt;&gt;"",
IF(COUNTIF(INDEX(Kintoneデータ抽出!L:L, _xlfn.AGGREGATE(15, 6, ROW(Kintoneデータ抽出!$K$2:$K$5000) / ((Kintoneデータ抽出!$K$2:$K$5000="院内")), ROW(A194))),"*企業主導型以外*"),"",
IF(COUNTIF(INDEX(Kintoneデータ抽出!L:L, _xlfn.AGGREGATE(15, 6, ROW(Kintoneデータ抽出!$K$2:$K$5000) / ((Kintoneデータ抽出!$K$2:$K$5000="院内")), ROW(A194))),"*その他*"),"",
IF(COUNTIF(INDEX(Kintoneデータ抽出!L:L, _xlfn.AGGREGATE(15, 6, ROW(Kintoneデータ抽出!$K$2:$K$5000) / ((Kintoneデータ抽出!$K$2:$K$5000="院内")), ROW(A194))),"*新制度*"),"新制度","企業主導型"))),""), "")</f>
        <v/>
      </c>
    </row>
    <row r="232" spans="2:16" ht="34.799999999999997" customHeight="1" x14ac:dyDescent="0.45">
      <c r="B232" s="45"/>
      <c r="C232" s="46"/>
      <c r="D232" s="98" t="str">
        <f t="shared" si="4"/>
        <v/>
      </c>
      <c r="E232" s="99"/>
      <c r="F232" s="75" t="str">
        <f t="array" ref="F232">IFERROR(INDEX(Kintoneデータ抽出!A:A, _xlfn.AGGREGATE(15, 6, ROW(Kintoneデータ抽出!$K$2:$K$5000) / ((Kintoneデータ抽出!$K$2:$K$5000="院内")), ROW(A195))), "")</f>
        <v/>
      </c>
      <c r="G232" s="77" t="str">
        <f t="array" ref="G232">IFERROR(INDEX(Kintoneデータ抽出!D:D, _xlfn.AGGREGATE(15, 6, ROW(Kintoneデータ抽出!$K$2:$K$5000) / ((Kintoneデータ抽出!$K$2:$K$5000="院内")), ROW(A195))), "")</f>
        <v/>
      </c>
      <c r="H232" s="77" t="str">
        <f t="array" ref="H232">IFERROR(INDEX(Kintoneデータ抽出!C:C, _xlfn.AGGREGATE(15, 6, ROW(Kintoneデータ抽出!$K$2:$K$5000) / ((Kintoneデータ抽出!$K$2:$K$5000="院内")), ROW(A195))), "")</f>
        <v/>
      </c>
      <c r="I232" s="75" t="str">
        <f t="array" ref="I232">IFERROR(IF(INDEX(Kintoneデータ抽出!G:G, _xlfn.AGGREGATE(15, 6, ROW(Kintoneデータ抽出!$K$2:$K$5000) / ((Kintoneデータ抽出!$K$2:$K$5000="院内")), ROW(A195)))&lt;&gt;"",INDEX(Kintoneデータ抽出!G:G, _xlfn.AGGREGATE(15, 6, ROW(Kintoneデータ抽出!$K$2:$K$5000) / ((Kintoneデータ抽出!$K$2:$K$5000="院内")), ROW(A195)))&amp;"名",""), "")</f>
        <v/>
      </c>
      <c r="J232" s="76" t="str">
        <f t="array" ref="J232">IFERROR(IF(INDEX(Kintoneデータ抽出!E:E, _xlfn.AGGREGATE(15, 6, ROW(Kintoneデータ抽出!$K$2:$K$5000) / ((Kintoneデータ抽出!$K$2:$K$5000="院内")), ROW(A195)))&lt;&gt;"",
YEAR(INDEX(Kintoneデータ抽出!E:E, _xlfn.AGGREGATE(15, 6, ROW(Kintoneデータ抽出!$K$2:$K$5000) / ((Kintoneデータ抽出!$K$2:$K$5000="院内")), ROW(A195))))&amp;"年"
&amp;MONTH(INDEX(Kintoneデータ抽出!E:E, _xlfn.AGGREGATE(15, 6, ROW(Kintoneデータ抽出!$K$2:$K$5000) / ((Kintoneデータ抽出!$K$2:$K$5000="院内")), ROW(A195))))&amp;"月"
&amp;DAY(INDEX(Kintoneデータ抽出!E:E, _xlfn.AGGREGATE(15, 6, ROW(Kintoneデータ抽出!$K$2:$K$5000) /((Kintoneデータ抽出!$K$2:$K$5000="院内")), ROW(A195))))&amp;"日",""), "")</f>
        <v/>
      </c>
      <c r="K232" s="77" t="str" cm="1">
        <f t="array" ref="K232">IFERROR(IF(INDEX(Kintoneデータ抽出!F:F, _xlfn.AGGREGATE(15, 6, ROW(Kintoneデータ抽出!$K$2:$K$5000) / ((Kintoneデータ抽出!$K$2:$K$5000="院内")), ROW(A195)))&lt;&gt;"",
VLOOKUP(INDEX(Kintoneデータ抽出!F:F, _xlfn.AGGREGATE(15, 6, ROW(Kintoneデータ抽出!$K$2:$K$5000) / ((Kintoneデータ抽出!$K$2:$K$5000="院内")), ROW(A195))),基本開園日の表記!$A$2:$B$13,2,FALSE),""), "")</f>
        <v/>
      </c>
      <c r="L232" s="75" t="str">
        <f t="array" ref="L232">IFERROR(IF(INDEX(Kintoneデータ抽出!F:F, _xlfn.AGGREGATE(15, 6, ROW(Kintoneデータ抽出!$K$2:$K$5000) / ((Kintoneデータ抽出!$K$2:$K$5000="院内")), ROW(A195)))&lt;&gt;"",
IF(COUNTIF(INDEX(Kintoneデータ抽出!F:F, _xlfn.AGGREGATE(15, 6, ROW(Kintoneデータ抽出!$K$2:$K$5000) / ((Kintoneデータ抽出!$K$2:$K$5000="院内")), ROW(A195))),"*あり*"),"夜間",""),""), "")</f>
        <v/>
      </c>
      <c r="M232" s="75" t="str">
        <f t="array" ref="M232">IFERROR(IF(INDEX(Kintoneデータ抽出!I:I, _xlfn.AGGREGATE(15, 6, ROW(Kintoneデータ抽出!$K$2:$K$5000) / ((Kintoneデータ抽出!$K$2:$K$5000="院内")), ROW(A195)))&lt;&gt;"",
IF(COUNTIF(INDEX(Kintoneデータ抽出!I:I, _xlfn.AGGREGATE(15, 6, ROW(Kintoneデータ抽出!$K$2:$K$5000) / ((Kintoneデータ抽出!$K$2:$K$5000="院内")), ROW(A195))),"*あり*"),"学童",""),""), "")</f>
        <v/>
      </c>
      <c r="N232" s="75" t="str">
        <f t="array" ref="N232">IFERROR(IF(INDEX(Kintoneデータ抽出!H:H, _xlfn.AGGREGATE(15, 6, ROW(Kintoneデータ抽出!$K$2:$K$5000) / ((Kintoneデータ抽出!$K$2:$K$5000="院内")), ROW(A195)))&lt;&gt;"",
IF(COUNTIF(INDEX(Kintoneデータ抽出!H:H, _xlfn.AGGREGATE(15, 6, ROW(Kintoneデータ抽出!$K$2:$K$5000) / ((Kintoneデータ抽出!$K$2:$K$5000="院内")), ROW(A195))),"*あり*"),"病児",""),""), "")</f>
        <v/>
      </c>
      <c r="O232" s="94" t="str" cm="1">
        <f t="array" ref="O232">IFERROR(
IF(INDEX(Kintoneデータ抽出!M:M, _xlfn.AGGREGATE(15, 6, ROW(Kintoneデータ抽出!$K$2:$K$5000) / ((Kintoneデータ抽出!$K$2:$K$5000="院内")), ROW(A195)))&lt;&gt;0,INDEX(Kintoneデータ抽出!M:M, _xlfn.AGGREGATE(15, 6, ROW(Kintoneデータ抽出!$K$2:$K$5000) / ((Kintoneデータ抽出!$K$2:$K$5000="院内")), ROW(A195))),""), "")</f>
        <v/>
      </c>
      <c r="P232" s="78" t="str">
        <f t="array" ref="P232">IFERROR(IF(INDEX(Kintoneデータ抽出!L:L, _xlfn.AGGREGATE(15, 6, ROW(Kintoneデータ抽出!$K$2:$K$5000) / ((Kintoneデータ抽出!$K$2:$K$5000="院内")), ROW(A195)))&lt;&gt;"",
IF(COUNTIF(INDEX(Kintoneデータ抽出!L:L, _xlfn.AGGREGATE(15, 6, ROW(Kintoneデータ抽出!$K$2:$K$5000) / ((Kintoneデータ抽出!$K$2:$K$5000="院内")), ROW(A195))),"*企業主導型以外*"),"",
IF(COUNTIF(INDEX(Kintoneデータ抽出!L:L, _xlfn.AGGREGATE(15, 6, ROW(Kintoneデータ抽出!$K$2:$K$5000) / ((Kintoneデータ抽出!$K$2:$K$5000="院内")), ROW(A195))),"*その他*"),"",
IF(COUNTIF(INDEX(Kintoneデータ抽出!L:L, _xlfn.AGGREGATE(15, 6, ROW(Kintoneデータ抽出!$K$2:$K$5000) / ((Kintoneデータ抽出!$K$2:$K$5000="院内")), ROW(A195))),"*新制度*"),"新制度","企業主導型"))),""), "")</f>
        <v/>
      </c>
    </row>
    <row r="233" spans="2:16" ht="34.799999999999997" customHeight="1" x14ac:dyDescent="0.45">
      <c r="B233" s="45"/>
      <c r="C233" s="46"/>
      <c r="D233" s="98" t="str">
        <f t="shared" si="4"/>
        <v/>
      </c>
      <c r="E233" s="99"/>
      <c r="F233" s="75" t="str">
        <f t="array" ref="F233">IFERROR(INDEX(Kintoneデータ抽出!A:A, _xlfn.AGGREGATE(15, 6, ROW(Kintoneデータ抽出!$K$2:$K$5000) / ((Kintoneデータ抽出!$K$2:$K$5000="院内")), ROW(A196))), "")</f>
        <v/>
      </c>
      <c r="G233" s="77" t="str">
        <f t="array" ref="G233">IFERROR(INDEX(Kintoneデータ抽出!D:D, _xlfn.AGGREGATE(15, 6, ROW(Kintoneデータ抽出!$K$2:$K$5000) / ((Kintoneデータ抽出!$K$2:$K$5000="院内")), ROW(A196))), "")</f>
        <v/>
      </c>
      <c r="H233" s="77" t="str">
        <f t="array" ref="H233">IFERROR(INDEX(Kintoneデータ抽出!C:C, _xlfn.AGGREGATE(15, 6, ROW(Kintoneデータ抽出!$K$2:$K$5000) / ((Kintoneデータ抽出!$K$2:$K$5000="院内")), ROW(A196))), "")</f>
        <v/>
      </c>
      <c r="I233" s="75" t="str">
        <f t="array" ref="I233">IFERROR(IF(INDEX(Kintoneデータ抽出!G:G, _xlfn.AGGREGATE(15, 6, ROW(Kintoneデータ抽出!$K$2:$K$5000) / ((Kintoneデータ抽出!$K$2:$K$5000="院内")), ROW(A196)))&lt;&gt;"",INDEX(Kintoneデータ抽出!G:G, _xlfn.AGGREGATE(15, 6, ROW(Kintoneデータ抽出!$K$2:$K$5000) / ((Kintoneデータ抽出!$K$2:$K$5000="院内")), ROW(A196)))&amp;"名",""), "")</f>
        <v/>
      </c>
      <c r="J233" s="76" t="str">
        <f t="array" ref="J233">IFERROR(IF(INDEX(Kintoneデータ抽出!E:E, _xlfn.AGGREGATE(15, 6, ROW(Kintoneデータ抽出!$K$2:$K$5000) / ((Kintoneデータ抽出!$K$2:$K$5000="院内")), ROW(A196)))&lt;&gt;"",
YEAR(INDEX(Kintoneデータ抽出!E:E, _xlfn.AGGREGATE(15, 6, ROW(Kintoneデータ抽出!$K$2:$K$5000) / ((Kintoneデータ抽出!$K$2:$K$5000="院内")), ROW(A196))))&amp;"年"
&amp;MONTH(INDEX(Kintoneデータ抽出!E:E, _xlfn.AGGREGATE(15, 6, ROW(Kintoneデータ抽出!$K$2:$K$5000) / ((Kintoneデータ抽出!$K$2:$K$5000="院内")), ROW(A196))))&amp;"月"
&amp;DAY(INDEX(Kintoneデータ抽出!E:E, _xlfn.AGGREGATE(15, 6, ROW(Kintoneデータ抽出!$K$2:$K$5000) /((Kintoneデータ抽出!$K$2:$K$5000="院内")), ROW(A196))))&amp;"日",""), "")</f>
        <v/>
      </c>
      <c r="K233" s="77" t="str" cm="1">
        <f t="array" ref="K233">IFERROR(IF(INDEX(Kintoneデータ抽出!F:F, _xlfn.AGGREGATE(15, 6, ROW(Kintoneデータ抽出!$K$2:$K$5000) / ((Kintoneデータ抽出!$K$2:$K$5000="院内")), ROW(A196)))&lt;&gt;"",
VLOOKUP(INDEX(Kintoneデータ抽出!F:F, _xlfn.AGGREGATE(15, 6, ROW(Kintoneデータ抽出!$K$2:$K$5000) / ((Kintoneデータ抽出!$K$2:$K$5000="院内")), ROW(A196))),基本開園日の表記!$A$2:$B$13,2,FALSE),""), "")</f>
        <v/>
      </c>
      <c r="L233" s="75" t="str">
        <f t="array" ref="L233">IFERROR(IF(INDEX(Kintoneデータ抽出!F:F, _xlfn.AGGREGATE(15, 6, ROW(Kintoneデータ抽出!$K$2:$K$5000) / ((Kintoneデータ抽出!$K$2:$K$5000="院内")), ROW(A196)))&lt;&gt;"",
IF(COUNTIF(INDEX(Kintoneデータ抽出!F:F, _xlfn.AGGREGATE(15, 6, ROW(Kintoneデータ抽出!$K$2:$K$5000) / ((Kintoneデータ抽出!$K$2:$K$5000="院内")), ROW(A196))),"*あり*"),"夜間",""),""), "")</f>
        <v/>
      </c>
      <c r="M233" s="75" t="str">
        <f t="array" ref="M233">IFERROR(IF(INDEX(Kintoneデータ抽出!I:I, _xlfn.AGGREGATE(15, 6, ROW(Kintoneデータ抽出!$K$2:$K$5000) / ((Kintoneデータ抽出!$K$2:$K$5000="院内")), ROW(A196)))&lt;&gt;"",
IF(COUNTIF(INDEX(Kintoneデータ抽出!I:I, _xlfn.AGGREGATE(15, 6, ROW(Kintoneデータ抽出!$K$2:$K$5000) / ((Kintoneデータ抽出!$K$2:$K$5000="院内")), ROW(A196))),"*あり*"),"学童",""),""), "")</f>
        <v/>
      </c>
      <c r="N233" s="75" t="str">
        <f t="array" ref="N233">IFERROR(IF(INDEX(Kintoneデータ抽出!H:H, _xlfn.AGGREGATE(15, 6, ROW(Kintoneデータ抽出!$K$2:$K$5000) / ((Kintoneデータ抽出!$K$2:$K$5000="院内")), ROW(A196)))&lt;&gt;"",
IF(COUNTIF(INDEX(Kintoneデータ抽出!H:H, _xlfn.AGGREGATE(15, 6, ROW(Kintoneデータ抽出!$K$2:$K$5000) / ((Kintoneデータ抽出!$K$2:$K$5000="院内")), ROW(A196))),"*あり*"),"病児",""),""), "")</f>
        <v/>
      </c>
      <c r="O233" s="94" t="str" cm="1">
        <f t="array" ref="O233">IFERROR(
IF(INDEX(Kintoneデータ抽出!M:M, _xlfn.AGGREGATE(15, 6, ROW(Kintoneデータ抽出!$K$2:$K$5000) / ((Kintoneデータ抽出!$K$2:$K$5000="院内")), ROW(A196)))&lt;&gt;0,INDEX(Kintoneデータ抽出!M:M, _xlfn.AGGREGATE(15, 6, ROW(Kintoneデータ抽出!$K$2:$K$5000) / ((Kintoneデータ抽出!$K$2:$K$5000="院内")), ROW(A196))),""), "")</f>
        <v/>
      </c>
      <c r="P233" s="78" t="str">
        <f t="array" ref="P233">IFERROR(IF(INDEX(Kintoneデータ抽出!L:L, _xlfn.AGGREGATE(15, 6, ROW(Kintoneデータ抽出!$K$2:$K$5000) / ((Kintoneデータ抽出!$K$2:$K$5000="院内")), ROW(A196)))&lt;&gt;"",
IF(COUNTIF(INDEX(Kintoneデータ抽出!L:L, _xlfn.AGGREGATE(15, 6, ROW(Kintoneデータ抽出!$K$2:$K$5000) / ((Kintoneデータ抽出!$K$2:$K$5000="院内")), ROW(A196))),"*企業主導型以外*"),"",
IF(COUNTIF(INDEX(Kintoneデータ抽出!L:L, _xlfn.AGGREGATE(15, 6, ROW(Kintoneデータ抽出!$K$2:$K$5000) / ((Kintoneデータ抽出!$K$2:$K$5000="院内")), ROW(A196))),"*その他*"),"",
IF(COUNTIF(INDEX(Kintoneデータ抽出!L:L, _xlfn.AGGREGATE(15, 6, ROW(Kintoneデータ抽出!$K$2:$K$5000) / ((Kintoneデータ抽出!$K$2:$K$5000="院内")), ROW(A196))),"*新制度*"),"新制度","企業主導型"))),""), "")</f>
        <v/>
      </c>
    </row>
    <row r="234" spans="2:16" ht="34.799999999999997" customHeight="1" x14ac:dyDescent="0.45">
      <c r="B234" s="45"/>
      <c r="C234" s="46"/>
      <c r="D234" s="98" t="str">
        <f t="shared" si="4"/>
        <v/>
      </c>
      <c r="E234" s="99"/>
      <c r="F234" s="75" t="str">
        <f t="array" ref="F234">IFERROR(INDEX(Kintoneデータ抽出!A:A, _xlfn.AGGREGATE(15, 6, ROW(Kintoneデータ抽出!$K$2:$K$5000) / ((Kintoneデータ抽出!$K$2:$K$5000="院内")), ROW(A197))), "")</f>
        <v/>
      </c>
      <c r="G234" s="77" t="str">
        <f t="array" ref="G234">IFERROR(INDEX(Kintoneデータ抽出!D:D, _xlfn.AGGREGATE(15, 6, ROW(Kintoneデータ抽出!$K$2:$K$5000) / ((Kintoneデータ抽出!$K$2:$K$5000="院内")), ROW(A197))), "")</f>
        <v/>
      </c>
      <c r="H234" s="77" t="str">
        <f t="array" ref="H234">IFERROR(INDEX(Kintoneデータ抽出!C:C, _xlfn.AGGREGATE(15, 6, ROW(Kintoneデータ抽出!$K$2:$K$5000) / ((Kintoneデータ抽出!$K$2:$K$5000="院内")), ROW(A197))), "")</f>
        <v/>
      </c>
      <c r="I234" s="75" t="str">
        <f t="array" ref="I234">IFERROR(IF(INDEX(Kintoneデータ抽出!G:G, _xlfn.AGGREGATE(15, 6, ROW(Kintoneデータ抽出!$K$2:$K$5000) / ((Kintoneデータ抽出!$K$2:$K$5000="院内")), ROW(A197)))&lt;&gt;"",INDEX(Kintoneデータ抽出!G:G, _xlfn.AGGREGATE(15, 6, ROW(Kintoneデータ抽出!$K$2:$K$5000) / ((Kintoneデータ抽出!$K$2:$K$5000="院内")), ROW(A197)))&amp;"名",""), "")</f>
        <v/>
      </c>
      <c r="J234" s="76" t="str">
        <f t="array" ref="J234">IFERROR(IF(INDEX(Kintoneデータ抽出!E:E, _xlfn.AGGREGATE(15, 6, ROW(Kintoneデータ抽出!$K$2:$K$5000) / ((Kintoneデータ抽出!$K$2:$K$5000="院内")), ROW(A197)))&lt;&gt;"",
YEAR(INDEX(Kintoneデータ抽出!E:E, _xlfn.AGGREGATE(15, 6, ROW(Kintoneデータ抽出!$K$2:$K$5000) / ((Kintoneデータ抽出!$K$2:$K$5000="院内")), ROW(A197))))&amp;"年"
&amp;MONTH(INDEX(Kintoneデータ抽出!E:E, _xlfn.AGGREGATE(15, 6, ROW(Kintoneデータ抽出!$K$2:$K$5000) / ((Kintoneデータ抽出!$K$2:$K$5000="院内")), ROW(A197))))&amp;"月"
&amp;DAY(INDEX(Kintoneデータ抽出!E:E, _xlfn.AGGREGATE(15, 6, ROW(Kintoneデータ抽出!$K$2:$K$5000) /((Kintoneデータ抽出!$K$2:$K$5000="院内")), ROW(A197))))&amp;"日",""), "")</f>
        <v/>
      </c>
      <c r="K234" s="77" t="str" cm="1">
        <f t="array" ref="K234">IFERROR(IF(INDEX(Kintoneデータ抽出!F:F, _xlfn.AGGREGATE(15, 6, ROW(Kintoneデータ抽出!$K$2:$K$5000) / ((Kintoneデータ抽出!$K$2:$K$5000="院内")), ROW(A197)))&lt;&gt;"",
VLOOKUP(INDEX(Kintoneデータ抽出!F:F, _xlfn.AGGREGATE(15, 6, ROW(Kintoneデータ抽出!$K$2:$K$5000) / ((Kintoneデータ抽出!$K$2:$K$5000="院内")), ROW(A197))),基本開園日の表記!$A$2:$B$13,2,FALSE),""), "")</f>
        <v/>
      </c>
      <c r="L234" s="75" t="str">
        <f t="array" ref="L234">IFERROR(IF(INDEX(Kintoneデータ抽出!F:F, _xlfn.AGGREGATE(15, 6, ROW(Kintoneデータ抽出!$K$2:$K$5000) / ((Kintoneデータ抽出!$K$2:$K$5000="院内")), ROW(A197)))&lt;&gt;"",
IF(COUNTIF(INDEX(Kintoneデータ抽出!F:F, _xlfn.AGGREGATE(15, 6, ROW(Kintoneデータ抽出!$K$2:$K$5000) / ((Kintoneデータ抽出!$K$2:$K$5000="院内")), ROW(A197))),"*あり*"),"夜間",""),""), "")</f>
        <v/>
      </c>
      <c r="M234" s="75" t="str">
        <f t="array" ref="M234">IFERROR(IF(INDEX(Kintoneデータ抽出!I:I, _xlfn.AGGREGATE(15, 6, ROW(Kintoneデータ抽出!$K$2:$K$5000) / ((Kintoneデータ抽出!$K$2:$K$5000="院内")), ROW(A197)))&lt;&gt;"",
IF(COUNTIF(INDEX(Kintoneデータ抽出!I:I, _xlfn.AGGREGATE(15, 6, ROW(Kintoneデータ抽出!$K$2:$K$5000) / ((Kintoneデータ抽出!$K$2:$K$5000="院内")), ROW(A197))),"*あり*"),"学童",""),""), "")</f>
        <v/>
      </c>
      <c r="N234" s="75" t="str">
        <f t="array" ref="N234">IFERROR(IF(INDEX(Kintoneデータ抽出!H:H, _xlfn.AGGREGATE(15, 6, ROW(Kintoneデータ抽出!$K$2:$K$5000) / ((Kintoneデータ抽出!$K$2:$K$5000="院内")), ROW(A197)))&lt;&gt;"",
IF(COUNTIF(INDEX(Kintoneデータ抽出!H:H, _xlfn.AGGREGATE(15, 6, ROW(Kintoneデータ抽出!$K$2:$K$5000) / ((Kintoneデータ抽出!$K$2:$K$5000="院内")), ROW(A197))),"*あり*"),"病児",""),""), "")</f>
        <v/>
      </c>
      <c r="O234" s="94" t="str" cm="1">
        <f t="array" ref="O234">IFERROR(
IF(INDEX(Kintoneデータ抽出!M:M, _xlfn.AGGREGATE(15, 6, ROW(Kintoneデータ抽出!$K$2:$K$5000) / ((Kintoneデータ抽出!$K$2:$K$5000="院内")), ROW(A197)))&lt;&gt;0,INDEX(Kintoneデータ抽出!M:M, _xlfn.AGGREGATE(15, 6, ROW(Kintoneデータ抽出!$K$2:$K$5000) / ((Kintoneデータ抽出!$K$2:$K$5000="院内")), ROW(A197))),""), "")</f>
        <v/>
      </c>
      <c r="P234" s="78" t="str">
        <f t="array" ref="P234">IFERROR(IF(INDEX(Kintoneデータ抽出!L:L, _xlfn.AGGREGATE(15, 6, ROW(Kintoneデータ抽出!$K$2:$K$5000) / ((Kintoneデータ抽出!$K$2:$K$5000="院内")), ROW(A197)))&lt;&gt;"",
IF(COUNTIF(INDEX(Kintoneデータ抽出!L:L, _xlfn.AGGREGATE(15, 6, ROW(Kintoneデータ抽出!$K$2:$K$5000) / ((Kintoneデータ抽出!$K$2:$K$5000="院内")), ROW(A197))),"*企業主導型以外*"),"",
IF(COUNTIF(INDEX(Kintoneデータ抽出!L:L, _xlfn.AGGREGATE(15, 6, ROW(Kintoneデータ抽出!$K$2:$K$5000) / ((Kintoneデータ抽出!$K$2:$K$5000="院内")), ROW(A197))),"*その他*"),"",
IF(COUNTIF(INDEX(Kintoneデータ抽出!L:L, _xlfn.AGGREGATE(15, 6, ROW(Kintoneデータ抽出!$K$2:$K$5000) / ((Kintoneデータ抽出!$K$2:$K$5000="院内")), ROW(A197))),"*新制度*"),"新制度","企業主導型"))),""), "")</f>
        <v/>
      </c>
    </row>
    <row r="235" spans="2:16" ht="34.799999999999997" customHeight="1" x14ac:dyDescent="0.45">
      <c r="B235" s="45"/>
      <c r="C235" s="46"/>
      <c r="D235" s="98" t="str">
        <f t="shared" si="4"/>
        <v/>
      </c>
      <c r="E235" s="99"/>
      <c r="F235" s="75" t="str">
        <f t="array" ref="F235">IFERROR(INDEX(Kintoneデータ抽出!A:A, _xlfn.AGGREGATE(15, 6, ROW(Kintoneデータ抽出!$K$2:$K$5000) / ((Kintoneデータ抽出!$K$2:$K$5000="院内")), ROW(A198))), "")</f>
        <v/>
      </c>
      <c r="G235" s="77" t="str">
        <f t="array" ref="G235">IFERROR(INDEX(Kintoneデータ抽出!D:D, _xlfn.AGGREGATE(15, 6, ROW(Kintoneデータ抽出!$K$2:$K$5000) / ((Kintoneデータ抽出!$K$2:$K$5000="院内")), ROW(A198))), "")</f>
        <v/>
      </c>
      <c r="H235" s="77" t="str">
        <f t="array" ref="H235">IFERROR(INDEX(Kintoneデータ抽出!C:C, _xlfn.AGGREGATE(15, 6, ROW(Kintoneデータ抽出!$K$2:$K$5000) / ((Kintoneデータ抽出!$K$2:$K$5000="院内")), ROW(A198))), "")</f>
        <v/>
      </c>
      <c r="I235" s="75" t="str">
        <f t="array" ref="I235">IFERROR(IF(INDEX(Kintoneデータ抽出!G:G, _xlfn.AGGREGATE(15, 6, ROW(Kintoneデータ抽出!$K$2:$K$5000) / ((Kintoneデータ抽出!$K$2:$K$5000="院内")), ROW(A198)))&lt;&gt;"",INDEX(Kintoneデータ抽出!G:G, _xlfn.AGGREGATE(15, 6, ROW(Kintoneデータ抽出!$K$2:$K$5000) / ((Kintoneデータ抽出!$K$2:$K$5000="院内")), ROW(A198)))&amp;"名",""), "")</f>
        <v/>
      </c>
      <c r="J235" s="76" t="str">
        <f t="array" ref="J235">IFERROR(IF(INDEX(Kintoneデータ抽出!E:E, _xlfn.AGGREGATE(15, 6, ROW(Kintoneデータ抽出!$K$2:$K$5000) / ((Kintoneデータ抽出!$K$2:$K$5000="院内")), ROW(A198)))&lt;&gt;"",
YEAR(INDEX(Kintoneデータ抽出!E:E, _xlfn.AGGREGATE(15, 6, ROW(Kintoneデータ抽出!$K$2:$K$5000) / ((Kintoneデータ抽出!$K$2:$K$5000="院内")), ROW(A198))))&amp;"年"
&amp;MONTH(INDEX(Kintoneデータ抽出!E:E, _xlfn.AGGREGATE(15, 6, ROW(Kintoneデータ抽出!$K$2:$K$5000) / ((Kintoneデータ抽出!$K$2:$K$5000="院内")), ROW(A198))))&amp;"月"
&amp;DAY(INDEX(Kintoneデータ抽出!E:E, _xlfn.AGGREGATE(15, 6, ROW(Kintoneデータ抽出!$K$2:$K$5000) /((Kintoneデータ抽出!$K$2:$K$5000="院内")), ROW(A198))))&amp;"日",""), "")</f>
        <v/>
      </c>
      <c r="K235" s="77" t="str" cm="1">
        <f t="array" ref="K235">IFERROR(IF(INDEX(Kintoneデータ抽出!F:F, _xlfn.AGGREGATE(15, 6, ROW(Kintoneデータ抽出!$K$2:$K$5000) / ((Kintoneデータ抽出!$K$2:$K$5000="院内")), ROW(A198)))&lt;&gt;"",
VLOOKUP(INDEX(Kintoneデータ抽出!F:F, _xlfn.AGGREGATE(15, 6, ROW(Kintoneデータ抽出!$K$2:$K$5000) / ((Kintoneデータ抽出!$K$2:$K$5000="院内")), ROW(A198))),基本開園日の表記!$A$2:$B$13,2,FALSE),""), "")</f>
        <v/>
      </c>
      <c r="L235" s="75" t="str">
        <f t="array" ref="L235">IFERROR(IF(INDEX(Kintoneデータ抽出!F:F, _xlfn.AGGREGATE(15, 6, ROW(Kintoneデータ抽出!$K$2:$K$5000) / ((Kintoneデータ抽出!$K$2:$K$5000="院内")), ROW(A198)))&lt;&gt;"",
IF(COUNTIF(INDEX(Kintoneデータ抽出!F:F, _xlfn.AGGREGATE(15, 6, ROW(Kintoneデータ抽出!$K$2:$K$5000) / ((Kintoneデータ抽出!$K$2:$K$5000="院内")), ROW(A198))),"*あり*"),"夜間",""),""), "")</f>
        <v/>
      </c>
      <c r="M235" s="75" t="str">
        <f t="array" ref="M235">IFERROR(IF(INDEX(Kintoneデータ抽出!I:I, _xlfn.AGGREGATE(15, 6, ROW(Kintoneデータ抽出!$K$2:$K$5000) / ((Kintoneデータ抽出!$K$2:$K$5000="院内")), ROW(A198)))&lt;&gt;"",
IF(COUNTIF(INDEX(Kintoneデータ抽出!I:I, _xlfn.AGGREGATE(15, 6, ROW(Kintoneデータ抽出!$K$2:$K$5000) / ((Kintoneデータ抽出!$K$2:$K$5000="院内")), ROW(A198))),"*あり*"),"学童",""),""), "")</f>
        <v/>
      </c>
      <c r="N235" s="75" t="str">
        <f t="array" ref="N235">IFERROR(IF(INDEX(Kintoneデータ抽出!H:H, _xlfn.AGGREGATE(15, 6, ROW(Kintoneデータ抽出!$K$2:$K$5000) / ((Kintoneデータ抽出!$K$2:$K$5000="院内")), ROW(A198)))&lt;&gt;"",
IF(COUNTIF(INDEX(Kintoneデータ抽出!H:H, _xlfn.AGGREGATE(15, 6, ROW(Kintoneデータ抽出!$K$2:$K$5000) / ((Kintoneデータ抽出!$K$2:$K$5000="院内")), ROW(A198))),"*あり*"),"病児",""),""), "")</f>
        <v/>
      </c>
      <c r="O235" s="94" t="str" cm="1">
        <f t="array" ref="O235">IFERROR(
IF(INDEX(Kintoneデータ抽出!M:M, _xlfn.AGGREGATE(15, 6, ROW(Kintoneデータ抽出!$K$2:$K$5000) / ((Kintoneデータ抽出!$K$2:$K$5000="院内")), ROW(A198)))&lt;&gt;0,INDEX(Kintoneデータ抽出!M:M, _xlfn.AGGREGATE(15, 6, ROW(Kintoneデータ抽出!$K$2:$K$5000) / ((Kintoneデータ抽出!$K$2:$K$5000="院内")), ROW(A198))),""), "")</f>
        <v/>
      </c>
      <c r="P235" s="78" t="str">
        <f t="array" ref="P235">IFERROR(IF(INDEX(Kintoneデータ抽出!L:L, _xlfn.AGGREGATE(15, 6, ROW(Kintoneデータ抽出!$K$2:$K$5000) / ((Kintoneデータ抽出!$K$2:$K$5000="院内")), ROW(A198)))&lt;&gt;"",
IF(COUNTIF(INDEX(Kintoneデータ抽出!L:L, _xlfn.AGGREGATE(15, 6, ROW(Kintoneデータ抽出!$K$2:$K$5000) / ((Kintoneデータ抽出!$K$2:$K$5000="院内")), ROW(A198))),"*企業主導型以外*"),"",
IF(COUNTIF(INDEX(Kintoneデータ抽出!L:L, _xlfn.AGGREGATE(15, 6, ROW(Kintoneデータ抽出!$K$2:$K$5000) / ((Kintoneデータ抽出!$K$2:$K$5000="院内")), ROW(A198))),"*その他*"),"",
IF(COUNTIF(INDEX(Kintoneデータ抽出!L:L, _xlfn.AGGREGATE(15, 6, ROW(Kintoneデータ抽出!$K$2:$K$5000) / ((Kintoneデータ抽出!$K$2:$K$5000="院内")), ROW(A198))),"*新制度*"),"新制度","企業主導型"))),""), "")</f>
        <v/>
      </c>
    </row>
    <row r="236" spans="2:16" ht="34.799999999999997" customHeight="1" x14ac:dyDescent="0.45">
      <c r="B236" s="45"/>
      <c r="C236" s="46"/>
      <c r="D236" s="98" t="str">
        <f t="shared" si="4"/>
        <v/>
      </c>
      <c r="E236" s="99"/>
      <c r="F236" s="75" t="str">
        <f t="array" ref="F236">IFERROR(INDEX(Kintoneデータ抽出!A:A, _xlfn.AGGREGATE(15, 6, ROW(Kintoneデータ抽出!$K$2:$K$5000) / ((Kintoneデータ抽出!$K$2:$K$5000="院内")), ROW(A199))), "")</f>
        <v/>
      </c>
      <c r="G236" s="77" t="str">
        <f t="array" ref="G236">IFERROR(INDEX(Kintoneデータ抽出!D:D, _xlfn.AGGREGATE(15, 6, ROW(Kintoneデータ抽出!$K$2:$K$5000) / ((Kintoneデータ抽出!$K$2:$K$5000="院内")), ROW(A199))), "")</f>
        <v/>
      </c>
      <c r="H236" s="77" t="str">
        <f t="array" ref="H236">IFERROR(INDEX(Kintoneデータ抽出!C:C, _xlfn.AGGREGATE(15, 6, ROW(Kintoneデータ抽出!$K$2:$K$5000) / ((Kintoneデータ抽出!$K$2:$K$5000="院内")), ROW(A199))), "")</f>
        <v/>
      </c>
      <c r="I236" s="75" t="str">
        <f t="array" ref="I236">IFERROR(IF(INDEX(Kintoneデータ抽出!G:G, _xlfn.AGGREGATE(15, 6, ROW(Kintoneデータ抽出!$K$2:$K$5000) / ((Kintoneデータ抽出!$K$2:$K$5000="院内")), ROW(A199)))&lt;&gt;"",INDEX(Kintoneデータ抽出!G:G, _xlfn.AGGREGATE(15, 6, ROW(Kintoneデータ抽出!$K$2:$K$5000) / ((Kintoneデータ抽出!$K$2:$K$5000="院内")), ROW(A199)))&amp;"名",""), "")</f>
        <v/>
      </c>
      <c r="J236" s="76" t="str">
        <f t="array" ref="J236">IFERROR(IF(INDEX(Kintoneデータ抽出!E:E, _xlfn.AGGREGATE(15, 6, ROW(Kintoneデータ抽出!$K$2:$K$5000) / ((Kintoneデータ抽出!$K$2:$K$5000="院内")), ROW(A199)))&lt;&gt;"",
YEAR(INDEX(Kintoneデータ抽出!E:E, _xlfn.AGGREGATE(15, 6, ROW(Kintoneデータ抽出!$K$2:$K$5000) / ((Kintoneデータ抽出!$K$2:$K$5000="院内")), ROW(A199))))&amp;"年"
&amp;MONTH(INDEX(Kintoneデータ抽出!E:E, _xlfn.AGGREGATE(15, 6, ROW(Kintoneデータ抽出!$K$2:$K$5000) / ((Kintoneデータ抽出!$K$2:$K$5000="院内")), ROW(A199))))&amp;"月"
&amp;DAY(INDEX(Kintoneデータ抽出!E:E, _xlfn.AGGREGATE(15, 6, ROW(Kintoneデータ抽出!$K$2:$K$5000) /((Kintoneデータ抽出!$K$2:$K$5000="院内")), ROW(A199))))&amp;"日",""), "")</f>
        <v/>
      </c>
      <c r="K236" s="77" t="str" cm="1">
        <f t="array" ref="K236">IFERROR(IF(INDEX(Kintoneデータ抽出!F:F, _xlfn.AGGREGATE(15, 6, ROW(Kintoneデータ抽出!$K$2:$K$5000) / ((Kintoneデータ抽出!$K$2:$K$5000="院内")), ROW(A199)))&lt;&gt;"",
VLOOKUP(INDEX(Kintoneデータ抽出!F:F, _xlfn.AGGREGATE(15, 6, ROW(Kintoneデータ抽出!$K$2:$K$5000) / ((Kintoneデータ抽出!$K$2:$K$5000="院内")), ROW(A199))),基本開園日の表記!$A$2:$B$13,2,FALSE),""), "")</f>
        <v/>
      </c>
      <c r="L236" s="75" t="str">
        <f t="array" ref="L236">IFERROR(IF(INDEX(Kintoneデータ抽出!F:F, _xlfn.AGGREGATE(15, 6, ROW(Kintoneデータ抽出!$K$2:$K$5000) / ((Kintoneデータ抽出!$K$2:$K$5000="院内")), ROW(A199)))&lt;&gt;"",
IF(COUNTIF(INDEX(Kintoneデータ抽出!F:F, _xlfn.AGGREGATE(15, 6, ROW(Kintoneデータ抽出!$K$2:$K$5000) / ((Kintoneデータ抽出!$K$2:$K$5000="院内")), ROW(A199))),"*あり*"),"夜間",""),""), "")</f>
        <v/>
      </c>
      <c r="M236" s="75" t="str">
        <f t="array" ref="M236">IFERROR(IF(INDEX(Kintoneデータ抽出!I:I, _xlfn.AGGREGATE(15, 6, ROW(Kintoneデータ抽出!$K$2:$K$5000) / ((Kintoneデータ抽出!$K$2:$K$5000="院内")), ROW(A199)))&lt;&gt;"",
IF(COUNTIF(INDEX(Kintoneデータ抽出!I:I, _xlfn.AGGREGATE(15, 6, ROW(Kintoneデータ抽出!$K$2:$K$5000) / ((Kintoneデータ抽出!$K$2:$K$5000="院内")), ROW(A199))),"*あり*"),"学童",""),""), "")</f>
        <v/>
      </c>
      <c r="N236" s="75" t="str">
        <f t="array" ref="N236">IFERROR(IF(INDEX(Kintoneデータ抽出!H:H, _xlfn.AGGREGATE(15, 6, ROW(Kintoneデータ抽出!$K$2:$K$5000) / ((Kintoneデータ抽出!$K$2:$K$5000="院内")), ROW(A199)))&lt;&gt;"",
IF(COUNTIF(INDEX(Kintoneデータ抽出!H:H, _xlfn.AGGREGATE(15, 6, ROW(Kintoneデータ抽出!$K$2:$K$5000) / ((Kintoneデータ抽出!$K$2:$K$5000="院内")), ROW(A199))),"*あり*"),"病児",""),""), "")</f>
        <v/>
      </c>
      <c r="O236" s="94" t="str" cm="1">
        <f t="array" ref="O236">IFERROR(
IF(INDEX(Kintoneデータ抽出!M:M, _xlfn.AGGREGATE(15, 6, ROW(Kintoneデータ抽出!$K$2:$K$5000) / ((Kintoneデータ抽出!$K$2:$K$5000="院内")), ROW(A199)))&lt;&gt;0,INDEX(Kintoneデータ抽出!M:M, _xlfn.AGGREGATE(15, 6, ROW(Kintoneデータ抽出!$K$2:$K$5000) / ((Kintoneデータ抽出!$K$2:$K$5000="院内")), ROW(A199))),""), "")</f>
        <v/>
      </c>
      <c r="P236" s="78" t="str">
        <f t="array" ref="P236">IFERROR(IF(INDEX(Kintoneデータ抽出!L:L, _xlfn.AGGREGATE(15, 6, ROW(Kintoneデータ抽出!$K$2:$K$5000) / ((Kintoneデータ抽出!$K$2:$K$5000="院内")), ROW(A199)))&lt;&gt;"",
IF(COUNTIF(INDEX(Kintoneデータ抽出!L:L, _xlfn.AGGREGATE(15, 6, ROW(Kintoneデータ抽出!$K$2:$K$5000) / ((Kintoneデータ抽出!$K$2:$K$5000="院内")), ROW(A199))),"*企業主導型以外*"),"",
IF(COUNTIF(INDEX(Kintoneデータ抽出!L:L, _xlfn.AGGREGATE(15, 6, ROW(Kintoneデータ抽出!$K$2:$K$5000) / ((Kintoneデータ抽出!$K$2:$K$5000="院内")), ROW(A199))),"*その他*"),"",
IF(COUNTIF(INDEX(Kintoneデータ抽出!L:L, _xlfn.AGGREGATE(15, 6, ROW(Kintoneデータ抽出!$K$2:$K$5000) / ((Kintoneデータ抽出!$K$2:$K$5000="院内")), ROW(A199))),"*新制度*"),"新制度","企業主導型"))),""), "")</f>
        <v/>
      </c>
    </row>
    <row r="237" spans="2:16" ht="34.799999999999997" customHeight="1" x14ac:dyDescent="0.45">
      <c r="B237" s="45"/>
      <c r="C237" s="46"/>
      <c r="D237" s="98" t="str">
        <f t="shared" si="4"/>
        <v/>
      </c>
      <c r="E237" s="99"/>
      <c r="F237" s="75" t="str">
        <f t="array" ref="F237">IFERROR(INDEX(Kintoneデータ抽出!A:A, _xlfn.AGGREGATE(15, 6, ROW(Kintoneデータ抽出!$K$2:$K$5000) / ((Kintoneデータ抽出!$K$2:$K$5000="院内")), ROW(A200))), "")</f>
        <v/>
      </c>
      <c r="G237" s="77" t="str">
        <f t="array" ref="G237">IFERROR(INDEX(Kintoneデータ抽出!D:D, _xlfn.AGGREGATE(15, 6, ROW(Kintoneデータ抽出!$K$2:$K$5000) / ((Kintoneデータ抽出!$K$2:$K$5000="院内")), ROW(A200))), "")</f>
        <v/>
      </c>
      <c r="H237" s="77" t="str">
        <f t="array" ref="H237">IFERROR(INDEX(Kintoneデータ抽出!C:C, _xlfn.AGGREGATE(15, 6, ROW(Kintoneデータ抽出!$K$2:$K$5000) / ((Kintoneデータ抽出!$K$2:$K$5000="院内")), ROW(A200))), "")</f>
        <v/>
      </c>
      <c r="I237" s="75" t="str">
        <f t="array" ref="I237">IFERROR(IF(INDEX(Kintoneデータ抽出!G:G, _xlfn.AGGREGATE(15, 6, ROW(Kintoneデータ抽出!$K$2:$K$5000) / ((Kintoneデータ抽出!$K$2:$K$5000="院内")), ROW(A200)))&lt;&gt;"",INDEX(Kintoneデータ抽出!G:G, _xlfn.AGGREGATE(15, 6, ROW(Kintoneデータ抽出!$K$2:$K$5000) / ((Kintoneデータ抽出!$K$2:$K$5000="院内")), ROW(A200)))&amp;"名",""), "")</f>
        <v/>
      </c>
      <c r="J237" s="76" t="str">
        <f t="array" ref="J237">IFERROR(IF(INDEX(Kintoneデータ抽出!E:E, _xlfn.AGGREGATE(15, 6, ROW(Kintoneデータ抽出!$K$2:$K$5000) / ((Kintoneデータ抽出!$K$2:$K$5000="院内")), ROW(A200)))&lt;&gt;"",
YEAR(INDEX(Kintoneデータ抽出!E:E, _xlfn.AGGREGATE(15, 6, ROW(Kintoneデータ抽出!$K$2:$K$5000) / ((Kintoneデータ抽出!$K$2:$K$5000="院内")), ROW(A200))))&amp;"年"
&amp;MONTH(INDEX(Kintoneデータ抽出!E:E, _xlfn.AGGREGATE(15, 6, ROW(Kintoneデータ抽出!$K$2:$K$5000) / ((Kintoneデータ抽出!$K$2:$K$5000="院内")), ROW(A200))))&amp;"月"
&amp;DAY(INDEX(Kintoneデータ抽出!E:E, _xlfn.AGGREGATE(15, 6, ROW(Kintoneデータ抽出!$K$2:$K$5000) /((Kintoneデータ抽出!$K$2:$K$5000="院内")), ROW(A200))))&amp;"日",""), "")</f>
        <v/>
      </c>
      <c r="K237" s="77" t="str" cm="1">
        <f t="array" ref="K237">IFERROR(IF(INDEX(Kintoneデータ抽出!F:F, _xlfn.AGGREGATE(15, 6, ROW(Kintoneデータ抽出!$K$2:$K$5000) / ((Kintoneデータ抽出!$K$2:$K$5000="院内")), ROW(A200)))&lt;&gt;"",
VLOOKUP(INDEX(Kintoneデータ抽出!F:F, _xlfn.AGGREGATE(15, 6, ROW(Kintoneデータ抽出!$K$2:$K$5000) / ((Kintoneデータ抽出!$K$2:$K$5000="院内")), ROW(A200))),基本開園日の表記!$A$2:$B$13,2,FALSE),""), "")</f>
        <v/>
      </c>
      <c r="L237" s="75" t="str">
        <f t="array" ref="L237">IFERROR(IF(INDEX(Kintoneデータ抽出!F:F, _xlfn.AGGREGATE(15, 6, ROW(Kintoneデータ抽出!$K$2:$K$5000) / ((Kintoneデータ抽出!$K$2:$K$5000="院内")), ROW(A200)))&lt;&gt;"",
IF(COUNTIF(INDEX(Kintoneデータ抽出!F:F, _xlfn.AGGREGATE(15, 6, ROW(Kintoneデータ抽出!$K$2:$K$5000) / ((Kintoneデータ抽出!$K$2:$K$5000="院内")), ROW(A200))),"*あり*"),"夜間",""),""), "")</f>
        <v/>
      </c>
      <c r="M237" s="75" t="str">
        <f t="array" ref="M237">IFERROR(IF(INDEX(Kintoneデータ抽出!I:I, _xlfn.AGGREGATE(15, 6, ROW(Kintoneデータ抽出!$K$2:$K$5000) / ((Kintoneデータ抽出!$K$2:$K$5000="院内")), ROW(A200)))&lt;&gt;"",
IF(COUNTIF(INDEX(Kintoneデータ抽出!I:I, _xlfn.AGGREGATE(15, 6, ROW(Kintoneデータ抽出!$K$2:$K$5000) / ((Kintoneデータ抽出!$K$2:$K$5000="院内")), ROW(A200))),"*あり*"),"学童",""),""), "")</f>
        <v/>
      </c>
      <c r="N237" s="75" t="str">
        <f t="array" ref="N237">IFERROR(IF(INDEX(Kintoneデータ抽出!H:H, _xlfn.AGGREGATE(15, 6, ROW(Kintoneデータ抽出!$K$2:$K$5000) / ((Kintoneデータ抽出!$K$2:$K$5000="院内")), ROW(A200)))&lt;&gt;"",
IF(COUNTIF(INDEX(Kintoneデータ抽出!H:H, _xlfn.AGGREGATE(15, 6, ROW(Kintoneデータ抽出!$K$2:$K$5000) / ((Kintoneデータ抽出!$K$2:$K$5000="院内")), ROW(A200))),"*あり*"),"病児",""),""), "")</f>
        <v/>
      </c>
      <c r="O237" s="94" t="str" cm="1">
        <f t="array" ref="O237">IFERROR(
IF(INDEX(Kintoneデータ抽出!M:M, _xlfn.AGGREGATE(15, 6, ROW(Kintoneデータ抽出!$K$2:$K$5000) / ((Kintoneデータ抽出!$K$2:$K$5000="院内")), ROW(A200)))&lt;&gt;0,INDEX(Kintoneデータ抽出!M:M, _xlfn.AGGREGATE(15, 6, ROW(Kintoneデータ抽出!$K$2:$K$5000) / ((Kintoneデータ抽出!$K$2:$K$5000="院内")), ROW(A200))),""), "")</f>
        <v/>
      </c>
      <c r="P237" s="78" t="str">
        <f t="array" ref="P237">IFERROR(IF(INDEX(Kintoneデータ抽出!L:L, _xlfn.AGGREGATE(15, 6, ROW(Kintoneデータ抽出!$K$2:$K$5000) / ((Kintoneデータ抽出!$K$2:$K$5000="院内")), ROW(A200)))&lt;&gt;"",
IF(COUNTIF(INDEX(Kintoneデータ抽出!L:L, _xlfn.AGGREGATE(15, 6, ROW(Kintoneデータ抽出!$K$2:$K$5000) / ((Kintoneデータ抽出!$K$2:$K$5000="院内")), ROW(A200))),"*企業主導型以外*"),"",
IF(COUNTIF(INDEX(Kintoneデータ抽出!L:L, _xlfn.AGGREGATE(15, 6, ROW(Kintoneデータ抽出!$K$2:$K$5000) / ((Kintoneデータ抽出!$K$2:$K$5000="院内")), ROW(A200))),"*その他*"),"",
IF(COUNTIF(INDEX(Kintoneデータ抽出!L:L, _xlfn.AGGREGATE(15, 6, ROW(Kintoneデータ抽出!$K$2:$K$5000) / ((Kintoneデータ抽出!$K$2:$K$5000="院内")), ROW(A200))),"*新制度*"),"新制度","企業主導型"))),""), "")</f>
        <v/>
      </c>
    </row>
    <row r="238" spans="2:16" ht="34.799999999999997" customHeight="1" x14ac:dyDescent="0.45">
      <c r="B238" s="45"/>
      <c r="C238" s="46"/>
      <c r="D238" s="98" t="str">
        <f t="shared" si="4"/>
        <v/>
      </c>
      <c r="E238" s="99"/>
      <c r="F238" s="75" t="str">
        <f t="array" ref="F238">IFERROR(INDEX(Kintoneデータ抽出!A:A, _xlfn.AGGREGATE(15, 6, ROW(Kintoneデータ抽出!$K$2:$K$5000) / ((Kintoneデータ抽出!$K$2:$K$5000="院内")), ROW(A201))), "")</f>
        <v/>
      </c>
      <c r="G238" s="77" t="str">
        <f t="array" ref="G238">IFERROR(INDEX(Kintoneデータ抽出!D:D, _xlfn.AGGREGATE(15, 6, ROW(Kintoneデータ抽出!$K$2:$K$5000) / ((Kintoneデータ抽出!$K$2:$K$5000="院内")), ROW(A201))), "")</f>
        <v/>
      </c>
      <c r="H238" s="77" t="str">
        <f t="array" ref="H238">IFERROR(INDEX(Kintoneデータ抽出!C:C, _xlfn.AGGREGATE(15, 6, ROW(Kintoneデータ抽出!$K$2:$K$5000) / ((Kintoneデータ抽出!$K$2:$K$5000="院内")), ROW(A201))), "")</f>
        <v/>
      </c>
      <c r="I238" s="75" t="str">
        <f t="array" ref="I238">IFERROR(IF(INDEX(Kintoneデータ抽出!G:G, _xlfn.AGGREGATE(15, 6, ROW(Kintoneデータ抽出!$K$2:$K$5000) / ((Kintoneデータ抽出!$K$2:$K$5000="院内")), ROW(A201)))&lt;&gt;"",INDEX(Kintoneデータ抽出!G:G, _xlfn.AGGREGATE(15, 6, ROW(Kintoneデータ抽出!$K$2:$K$5000) / ((Kintoneデータ抽出!$K$2:$K$5000="院内")), ROW(A201)))&amp;"名",""), "")</f>
        <v/>
      </c>
      <c r="J238" s="76" t="str">
        <f t="array" ref="J238">IFERROR(IF(INDEX(Kintoneデータ抽出!E:E, _xlfn.AGGREGATE(15, 6, ROW(Kintoneデータ抽出!$K$2:$K$5000) / ((Kintoneデータ抽出!$K$2:$K$5000="院内")), ROW(A201)))&lt;&gt;"",
YEAR(INDEX(Kintoneデータ抽出!E:E, _xlfn.AGGREGATE(15, 6, ROW(Kintoneデータ抽出!$K$2:$K$5000) / ((Kintoneデータ抽出!$K$2:$K$5000="院内")), ROW(A201))))&amp;"年"
&amp;MONTH(INDEX(Kintoneデータ抽出!E:E, _xlfn.AGGREGATE(15, 6, ROW(Kintoneデータ抽出!$K$2:$K$5000) / ((Kintoneデータ抽出!$K$2:$K$5000="院内")), ROW(A201))))&amp;"月"
&amp;DAY(INDEX(Kintoneデータ抽出!E:E, _xlfn.AGGREGATE(15, 6, ROW(Kintoneデータ抽出!$K$2:$K$5000) /((Kintoneデータ抽出!$K$2:$K$5000="院内")), ROW(A201))))&amp;"日",""), "")</f>
        <v/>
      </c>
      <c r="K238" s="77" t="str" cm="1">
        <f t="array" ref="K238">IFERROR(IF(INDEX(Kintoneデータ抽出!F:F, _xlfn.AGGREGATE(15, 6, ROW(Kintoneデータ抽出!$K$2:$K$5000) / ((Kintoneデータ抽出!$K$2:$K$5000="院内")), ROW(A201)))&lt;&gt;"",
VLOOKUP(INDEX(Kintoneデータ抽出!F:F, _xlfn.AGGREGATE(15, 6, ROW(Kintoneデータ抽出!$K$2:$K$5000) / ((Kintoneデータ抽出!$K$2:$K$5000="院内")), ROW(A201))),基本開園日の表記!$A$2:$B$13,2,FALSE),""), "")</f>
        <v/>
      </c>
      <c r="L238" s="75" t="str">
        <f t="array" ref="L238">IFERROR(IF(INDEX(Kintoneデータ抽出!F:F, _xlfn.AGGREGATE(15, 6, ROW(Kintoneデータ抽出!$K$2:$K$5000) / ((Kintoneデータ抽出!$K$2:$K$5000="院内")), ROW(A201)))&lt;&gt;"",
IF(COUNTIF(INDEX(Kintoneデータ抽出!F:F, _xlfn.AGGREGATE(15, 6, ROW(Kintoneデータ抽出!$K$2:$K$5000) / ((Kintoneデータ抽出!$K$2:$K$5000="院内")), ROW(A201))),"*あり*"),"夜間",""),""), "")</f>
        <v/>
      </c>
      <c r="M238" s="75" t="str">
        <f t="array" ref="M238">IFERROR(IF(INDEX(Kintoneデータ抽出!I:I, _xlfn.AGGREGATE(15, 6, ROW(Kintoneデータ抽出!$K$2:$K$5000) / ((Kintoneデータ抽出!$K$2:$K$5000="院内")), ROW(A201)))&lt;&gt;"",
IF(COUNTIF(INDEX(Kintoneデータ抽出!I:I, _xlfn.AGGREGATE(15, 6, ROW(Kintoneデータ抽出!$K$2:$K$5000) / ((Kintoneデータ抽出!$K$2:$K$5000="院内")), ROW(A201))),"*あり*"),"学童",""),""), "")</f>
        <v/>
      </c>
      <c r="N238" s="75" t="str">
        <f t="array" ref="N238">IFERROR(IF(INDEX(Kintoneデータ抽出!H:H, _xlfn.AGGREGATE(15, 6, ROW(Kintoneデータ抽出!$K$2:$K$5000) / ((Kintoneデータ抽出!$K$2:$K$5000="院内")), ROW(A201)))&lt;&gt;"",
IF(COUNTIF(INDEX(Kintoneデータ抽出!H:H, _xlfn.AGGREGATE(15, 6, ROW(Kintoneデータ抽出!$K$2:$K$5000) / ((Kintoneデータ抽出!$K$2:$K$5000="院内")), ROW(A201))),"*あり*"),"病児",""),""), "")</f>
        <v/>
      </c>
      <c r="O238" s="94" t="str" cm="1">
        <f t="array" ref="O238">IFERROR(
IF(INDEX(Kintoneデータ抽出!M:M, _xlfn.AGGREGATE(15, 6, ROW(Kintoneデータ抽出!$K$2:$K$5000) / ((Kintoneデータ抽出!$K$2:$K$5000="院内")), ROW(A201)))&lt;&gt;0,INDEX(Kintoneデータ抽出!M:M, _xlfn.AGGREGATE(15, 6, ROW(Kintoneデータ抽出!$K$2:$K$5000) / ((Kintoneデータ抽出!$K$2:$K$5000="院内")), ROW(A201))),""), "")</f>
        <v/>
      </c>
      <c r="P238" s="78" t="str">
        <f t="array" ref="P238">IFERROR(IF(INDEX(Kintoneデータ抽出!L:L, _xlfn.AGGREGATE(15, 6, ROW(Kintoneデータ抽出!$K$2:$K$5000) / ((Kintoneデータ抽出!$K$2:$K$5000="院内")), ROW(A201)))&lt;&gt;"",
IF(COUNTIF(INDEX(Kintoneデータ抽出!L:L, _xlfn.AGGREGATE(15, 6, ROW(Kintoneデータ抽出!$K$2:$K$5000) / ((Kintoneデータ抽出!$K$2:$K$5000="院内")), ROW(A201))),"*企業主導型以外*"),"",
IF(COUNTIF(INDEX(Kintoneデータ抽出!L:L, _xlfn.AGGREGATE(15, 6, ROW(Kintoneデータ抽出!$K$2:$K$5000) / ((Kintoneデータ抽出!$K$2:$K$5000="院内")), ROW(A201))),"*その他*"),"",
IF(COUNTIF(INDEX(Kintoneデータ抽出!L:L, _xlfn.AGGREGATE(15, 6, ROW(Kintoneデータ抽出!$K$2:$K$5000) / ((Kintoneデータ抽出!$K$2:$K$5000="院内")), ROW(A201))),"*新制度*"),"新制度","企業主導型"))),""), "")</f>
        <v/>
      </c>
    </row>
    <row r="239" spans="2:16" ht="34.799999999999997" customHeight="1" x14ac:dyDescent="0.45">
      <c r="B239" s="45"/>
      <c r="C239" s="46"/>
      <c r="D239" s="98" t="str">
        <f t="shared" si="4"/>
        <v/>
      </c>
      <c r="E239" s="99"/>
      <c r="F239" s="75" t="str">
        <f t="array" ref="F239">IFERROR(INDEX(Kintoneデータ抽出!A:A, _xlfn.AGGREGATE(15, 6, ROW(Kintoneデータ抽出!$K$2:$K$5000) / ((Kintoneデータ抽出!$K$2:$K$5000="院内")), ROW(A202))), "")</f>
        <v/>
      </c>
      <c r="G239" s="77" t="str">
        <f t="array" ref="G239">IFERROR(INDEX(Kintoneデータ抽出!D:D, _xlfn.AGGREGATE(15, 6, ROW(Kintoneデータ抽出!$K$2:$K$5000) / ((Kintoneデータ抽出!$K$2:$K$5000="院内")), ROW(A202))), "")</f>
        <v/>
      </c>
      <c r="H239" s="77" t="str">
        <f t="array" ref="H239">IFERROR(INDEX(Kintoneデータ抽出!C:C, _xlfn.AGGREGATE(15, 6, ROW(Kintoneデータ抽出!$K$2:$K$5000) / ((Kintoneデータ抽出!$K$2:$K$5000="院内")), ROW(A202))), "")</f>
        <v/>
      </c>
      <c r="I239" s="75" t="str">
        <f t="array" ref="I239">IFERROR(IF(INDEX(Kintoneデータ抽出!G:G, _xlfn.AGGREGATE(15, 6, ROW(Kintoneデータ抽出!$K$2:$K$5000) / ((Kintoneデータ抽出!$K$2:$K$5000="院内")), ROW(A202)))&lt;&gt;"",INDEX(Kintoneデータ抽出!G:G, _xlfn.AGGREGATE(15, 6, ROW(Kintoneデータ抽出!$K$2:$K$5000) / ((Kintoneデータ抽出!$K$2:$K$5000="院内")), ROW(A202)))&amp;"名",""), "")</f>
        <v/>
      </c>
      <c r="J239" s="76" t="str">
        <f t="array" ref="J239">IFERROR(IF(INDEX(Kintoneデータ抽出!E:E, _xlfn.AGGREGATE(15, 6, ROW(Kintoneデータ抽出!$K$2:$K$5000) / ((Kintoneデータ抽出!$K$2:$K$5000="院内")), ROW(A202)))&lt;&gt;"",
YEAR(INDEX(Kintoneデータ抽出!E:E, _xlfn.AGGREGATE(15, 6, ROW(Kintoneデータ抽出!$K$2:$K$5000) / ((Kintoneデータ抽出!$K$2:$K$5000="院内")), ROW(A202))))&amp;"年"
&amp;MONTH(INDEX(Kintoneデータ抽出!E:E, _xlfn.AGGREGATE(15, 6, ROW(Kintoneデータ抽出!$K$2:$K$5000) / ((Kintoneデータ抽出!$K$2:$K$5000="院内")), ROW(A202))))&amp;"月"
&amp;DAY(INDEX(Kintoneデータ抽出!E:E, _xlfn.AGGREGATE(15, 6, ROW(Kintoneデータ抽出!$K$2:$K$5000) /((Kintoneデータ抽出!$K$2:$K$5000="院内")), ROW(A202))))&amp;"日",""), "")</f>
        <v/>
      </c>
      <c r="K239" s="77" t="str" cm="1">
        <f t="array" ref="K239">IFERROR(IF(INDEX(Kintoneデータ抽出!F:F, _xlfn.AGGREGATE(15, 6, ROW(Kintoneデータ抽出!$K$2:$K$5000) / ((Kintoneデータ抽出!$K$2:$K$5000="院内")), ROW(A202)))&lt;&gt;"",
VLOOKUP(INDEX(Kintoneデータ抽出!F:F, _xlfn.AGGREGATE(15, 6, ROW(Kintoneデータ抽出!$K$2:$K$5000) / ((Kintoneデータ抽出!$K$2:$K$5000="院内")), ROW(A202))),基本開園日の表記!$A$2:$B$13,2,FALSE),""), "")</f>
        <v/>
      </c>
      <c r="L239" s="75" t="str">
        <f t="array" ref="L239">IFERROR(IF(INDEX(Kintoneデータ抽出!F:F, _xlfn.AGGREGATE(15, 6, ROW(Kintoneデータ抽出!$K$2:$K$5000) / ((Kintoneデータ抽出!$K$2:$K$5000="院内")), ROW(A202)))&lt;&gt;"",
IF(COUNTIF(INDEX(Kintoneデータ抽出!F:F, _xlfn.AGGREGATE(15, 6, ROW(Kintoneデータ抽出!$K$2:$K$5000) / ((Kintoneデータ抽出!$K$2:$K$5000="院内")), ROW(A202))),"*あり*"),"夜間",""),""), "")</f>
        <v/>
      </c>
      <c r="M239" s="75" t="str">
        <f t="array" ref="M239">IFERROR(IF(INDEX(Kintoneデータ抽出!I:I, _xlfn.AGGREGATE(15, 6, ROW(Kintoneデータ抽出!$K$2:$K$5000) / ((Kintoneデータ抽出!$K$2:$K$5000="院内")), ROW(A202)))&lt;&gt;"",
IF(COUNTIF(INDEX(Kintoneデータ抽出!I:I, _xlfn.AGGREGATE(15, 6, ROW(Kintoneデータ抽出!$K$2:$K$5000) / ((Kintoneデータ抽出!$K$2:$K$5000="院内")), ROW(A202))),"*あり*"),"学童",""),""), "")</f>
        <v/>
      </c>
      <c r="N239" s="75" t="str">
        <f t="array" ref="N239">IFERROR(IF(INDEX(Kintoneデータ抽出!H:H, _xlfn.AGGREGATE(15, 6, ROW(Kintoneデータ抽出!$K$2:$K$5000) / ((Kintoneデータ抽出!$K$2:$K$5000="院内")), ROW(A202)))&lt;&gt;"",
IF(COUNTIF(INDEX(Kintoneデータ抽出!H:H, _xlfn.AGGREGATE(15, 6, ROW(Kintoneデータ抽出!$K$2:$K$5000) / ((Kintoneデータ抽出!$K$2:$K$5000="院内")), ROW(A202))),"*あり*"),"病児",""),""), "")</f>
        <v/>
      </c>
      <c r="O239" s="94" t="str" cm="1">
        <f t="array" ref="O239">IFERROR(
IF(INDEX(Kintoneデータ抽出!M:M, _xlfn.AGGREGATE(15, 6, ROW(Kintoneデータ抽出!$K$2:$K$5000) / ((Kintoneデータ抽出!$K$2:$K$5000="院内")), ROW(A202)))&lt;&gt;0,INDEX(Kintoneデータ抽出!M:M, _xlfn.AGGREGATE(15, 6, ROW(Kintoneデータ抽出!$K$2:$K$5000) / ((Kintoneデータ抽出!$K$2:$K$5000="院内")), ROW(A202))),""), "")</f>
        <v/>
      </c>
      <c r="P239" s="78" t="str">
        <f t="array" ref="P239">IFERROR(IF(INDEX(Kintoneデータ抽出!L:L, _xlfn.AGGREGATE(15, 6, ROW(Kintoneデータ抽出!$K$2:$K$5000) / ((Kintoneデータ抽出!$K$2:$K$5000="院内")), ROW(A202)))&lt;&gt;"",
IF(COUNTIF(INDEX(Kintoneデータ抽出!L:L, _xlfn.AGGREGATE(15, 6, ROW(Kintoneデータ抽出!$K$2:$K$5000) / ((Kintoneデータ抽出!$K$2:$K$5000="院内")), ROW(A202))),"*企業主導型以外*"),"",
IF(COUNTIF(INDEX(Kintoneデータ抽出!L:L, _xlfn.AGGREGATE(15, 6, ROW(Kintoneデータ抽出!$K$2:$K$5000) / ((Kintoneデータ抽出!$K$2:$K$5000="院内")), ROW(A202))),"*その他*"),"",
IF(COUNTIF(INDEX(Kintoneデータ抽出!L:L, _xlfn.AGGREGATE(15, 6, ROW(Kintoneデータ抽出!$K$2:$K$5000) / ((Kintoneデータ抽出!$K$2:$K$5000="院内")), ROW(A202))),"*新制度*"),"新制度","企業主導型"))),""), "")</f>
        <v/>
      </c>
    </row>
    <row r="240" spans="2:16" ht="34.799999999999997" customHeight="1" x14ac:dyDescent="0.45">
      <c r="B240" s="45"/>
      <c r="C240" s="46"/>
      <c r="D240" s="98" t="str">
        <f t="shared" si="4"/>
        <v/>
      </c>
      <c r="E240" s="99"/>
      <c r="F240" s="75" t="str">
        <f t="array" ref="F240">IFERROR(INDEX(Kintoneデータ抽出!A:A, _xlfn.AGGREGATE(15, 6, ROW(Kintoneデータ抽出!$K$2:$K$5000) / ((Kintoneデータ抽出!$K$2:$K$5000="院内")), ROW(A203))), "")</f>
        <v/>
      </c>
      <c r="G240" s="77" t="str">
        <f t="array" ref="G240">IFERROR(INDEX(Kintoneデータ抽出!D:D, _xlfn.AGGREGATE(15, 6, ROW(Kintoneデータ抽出!$K$2:$K$5000) / ((Kintoneデータ抽出!$K$2:$K$5000="院内")), ROW(A203))), "")</f>
        <v/>
      </c>
      <c r="H240" s="77" t="str">
        <f t="array" ref="H240">IFERROR(INDEX(Kintoneデータ抽出!C:C, _xlfn.AGGREGATE(15, 6, ROW(Kintoneデータ抽出!$K$2:$K$5000) / ((Kintoneデータ抽出!$K$2:$K$5000="院内")), ROW(A203))), "")</f>
        <v/>
      </c>
      <c r="I240" s="75" t="str">
        <f t="array" ref="I240">IFERROR(IF(INDEX(Kintoneデータ抽出!G:G, _xlfn.AGGREGATE(15, 6, ROW(Kintoneデータ抽出!$K$2:$K$5000) / ((Kintoneデータ抽出!$K$2:$K$5000="院内")), ROW(A203)))&lt;&gt;"",INDEX(Kintoneデータ抽出!G:G, _xlfn.AGGREGATE(15, 6, ROW(Kintoneデータ抽出!$K$2:$K$5000) / ((Kintoneデータ抽出!$K$2:$K$5000="院内")), ROW(A203)))&amp;"名",""), "")</f>
        <v/>
      </c>
      <c r="J240" s="76" t="str">
        <f t="array" ref="J240">IFERROR(IF(INDEX(Kintoneデータ抽出!E:E, _xlfn.AGGREGATE(15, 6, ROW(Kintoneデータ抽出!$K$2:$K$5000) / ((Kintoneデータ抽出!$K$2:$K$5000="院内")), ROW(A203)))&lt;&gt;"",
YEAR(INDEX(Kintoneデータ抽出!E:E, _xlfn.AGGREGATE(15, 6, ROW(Kintoneデータ抽出!$K$2:$K$5000) / ((Kintoneデータ抽出!$K$2:$K$5000="院内")), ROW(A203))))&amp;"年"
&amp;MONTH(INDEX(Kintoneデータ抽出!E:E, _xlfn.AGGREGATE(15, 6, ROW(Kintoneデータ抽出!$K$2:$K$5000) / ((Kintoneデータ抽出!$K$2:$K$5000="院内")), ROW(A203))))&amp;"月"
&amp;DAY(INDEX(Kintoneデータ抽出!E:E, _xlfn.AGGREGATE(15, 6, ROW(Kintoneデータ抽出!$K$2:$K$5000) /((Kintoneデータ抽出!$K$2:$K$5000="院内")), ROW(A203))))&amp;"日",""), "")</f>
        <v/>
      </c>
      <c r="K240" s="77" t="str" cm="1">
        <f t="array" ref="K240">IFERROR(IF(INDEX(Kintoneデータ抽出!F:F, _xlfn.AGGREGATE(15, 6, ROW(Kintoneデータ抽出!$K$2:$K$5000) / ((Kintoneデータ抽出!$K$2:$K$5000="院内")), ROW(A203)))&lt;&gt;"",
VLOOKUP(INDEX(Kintoneデータ抽出!F:F, _xlfn.AGGREGATE(15, 6, ROW(Kintoneデータ抽出!$K$2:$K$5000) / ((Kintoneデータ抽出!$K$2:$K$5000="院内")), ROW(A203))),基本開園日の表記!$A$2:$B$13,2,FALSE),""), "")</f>
        <v/>
      </c>
      <c r="L240" s="75" t="str">
        <f t="array" ref="L240">IFERROR(IF(INDEX(Kintoneデータ抽出!F:F, _xlfn.AGGREGATE(15, 6, ROW(Kintoneデータ抽出!$K$2:$K$5000) / ((Kintoneデータ抽出!$K$2:$K$5000="院内")), ROW(A203)))&lt;&gt;"",
IF(COUNTIF(INDEX(Kintoneデータ抽出!F:F, _xlfn.AGGREGATE(15, 6, ROW(Kintoneデータ抽出!$K$2:$K$5000) / ((Kintoneデータ抽出!$K$2:$K$5000="院内")), ROW(A203))),"*あり*"),"夜間",""),""), "")</f>
        <v/>
      </c>
      <c r="M240" s="75" t="str">
        <f t="array" ref="M240">IFERROR(IF(INDEX(Kintoneデータ抽出!I:I, _xlfn.AGGREGATE(15, 6, ROW(Kintoneデータ抽出!$K$2:$K$5000) / ((Kintoneデータ抽出!$K$2:$K$5000="院内")), ROW(A203)))&lt;&gt;"",
IF(COUNTIF(INDEX(Kintoneデータ抽出!I:I, _xlfn.AGGREGATE(15, 6, ROW(Kintoneデータ抽出!$K$2:$K$5000) / ((Kintoneデータ抽出!$K$2:$K$5000="院内")), ROW(A203))),"*あり*"),"学童",""),""), "")</f>
        <v/>
      </c>
      <c r="N240" s="75" t="str">
        <f t="array" ref="N240">IFERROR(IF(INDEX(Kintoneデータ抽出!H:H, _xlfn.AGGREGATE(15, 6, ROW(Kintoneデータ抽出!$K$2:$K$5000) / ((Kintoneデータ抽出!$K$2:$K$5000="院内")), ROW(A203)))&lt;&gt;"",
IF(COUNTIF(INDEX(Kintoneデータ抽出!H:H, _xlfn.AGGREGATE(15, 6, ROW(Kintoneデータ抽出!$K$2:$K$5000) / ((Kintoneデータ抽出!$K$2:$K$5000="院内")), ROW(A203))),"*あり*"),"病児",""),""), "")</f>
        <v/>
      </c>
      <c r="O240" s="94" t="str" cm="1">
        <f t="array" ref="O240">IFERROR(
IF(INDEX(Kintoneデータ抽出!M:M, _xlfn.AGGREGATE(15, 6, ROW(Kintoneデータ抽出!$K$2:$K$5000) / ((Kintoneデータ抽出!$K$2:$K$5000="院内")), ROW(A203)))&lt;&gt;0,INDEX(Kintoneデータ抽出!M:M, _xlfn.AGGREGATE(15, 6, ROW(Kintoneデータ抽出!$K$2:$K$5000) / ((Kintoneデータ抽出!$K$2:$K$5000="院内")), ROW(A203))),""), "")</f>
        <v/>
      </c>
      <c r="P240" s="78" t="str">
        <f t="array" ref="P240">IFERROR(IF(INDEX(Kintoneデータ抽出!L:L, _xlfn.AGGREGATE(15, 6, ROW(Kintoneデータ抽出!$K$2:$K$5000) / ((Kintoneデータ抽出!$K$2:$K$5000="院内")), ROW(A203)))&lt;&gt;"",
IF(COUNTIF(INDEX(Kintoneデータ抽出!L:L, _xlfn.AGGREGATE(15, 6, ROW(Kintoneデータ抽出!$K$2:$K$5000) / ((Kintoneデータ抽出!$K$2:$K$5000="院内")), ROW(A203))),"*企業主導型以外*"),"",
IF(COUNTIF(INDEX(Kintoneデータ抽出!L:L, _xlfn.AGGREGATE(15, 6, ROW(Kintoneデータ抽出!$K$2:$K$5000) / ((Kintoneデータ抽出!$K$2:$K$5000="院内")), ROW(A203))),"*その他*"),"",
IF(COUNTIF(INDEX(Kintoneデータ抽出!L:L, _xlfn.AGGREGATE(15, 6, ROW(Kintoneデータ抽出!$K$2:$K$5000) / ((Kintoneデータ抽出!$K$2:$K$5000="院内")), ROW(A203))),"*新制度*"),"新制度","企業主導型"))),""), "")</f>
        <v/>
      </c>
    </row>
    <row r="241" spans="2:16" ht="34.799999999999997" customHeight="1" x14ac:dyDescent="0.45">
      <c r="B241" s="45"/>
      <c r="C241" s="46"/>
      <c r="D241" s="98" t="str">
        <f t="shared" si="4"/>
        <v/>
      </c>
      <c r="E241" s="99"/>
      <c r="F241" s="75" t="str">
        <f t="array" ref="F241">IFERROR(INDEX(Kintoneデータ抽出!A:A, _xlfn.AGGREGATE(15, 6, ROW(Kintoneデータ抽出!$K$2:$K$5000) / ((Kintoneデータ抽出!$K$2:$K$5000="院内")), ROW(A204))), "")</f>
        <v/>
      </c>
      <c r="G241" s="77" t="str">
        <f t="array" ref="G241">IFERROR(INDEX(Kintoneデータ抽出!D:D, _xlfn.AGGREGATE(15, 6, ROW(Kintoneデータ抽出!$K$2:$K$5000) / ((Kintoneデータ抽出!$K$2:$K$5000="院内")), ROW(A204))), "")</f>
        <v/>
      </c>
      <c r="H241" s="77" t="str">
        <f t="array" ref="H241">IFERROR(INDEX(Kintoneデータ抽出!C:C, _xlfn.AGGREGATE(15, 6, ROW(Kintoneデータ抽出!$K$2:$K$5000) / ((Kintoneデータ抽出!$K$2:$K$5000="院内")), ROW(A204))), "")</f>
        <v/>
      </c>
      <c r="I241" s="75" t="str">
        <f t="array" ref="I241">IFERROR(IF(INDEX(Kintoneデータ抽出!G:G, _xlfn.AGGREGATE(15, 6, ROW(Kintoneデータ抽出!$K$2:$K$5000) / ((Kintoneデータ抽出!$K$2:$K$5000="院内")), ROW(A204)))&lt;&gt;"",INDEX(Kintoneデータ抽出!G:G, _xlfn.AGGREGATE(15, 6, ROW(Kintoneデータ抽出!$K$2:$K$5000) / ((Kintoneデータ抽出!$K$2:$K$5000="院内")), ROW(A204)))&amp;"名",""), "")</f>
        <v/>
      </c>
      <c r="J241" s="76" t="str">
        <f t="array" ref="J241">IFERROR(IF(INDEX(Kintoneデータ抽出!E:E, _xlfn.AGGREGATE(15, 6, ROW(Kintoneデータ抽出!$K$2:$K$5000) / ((Kintoneデータ抽出!$K$2:$K$5000="院内")), ROW(A204)))&lt;&gt;"",
YEAR(INDEX(Kintoneデータ抽出!E:E, _xlfn.AGGREGATE(15, 6, ROW(Kintoneデータ抽出!$K$2:$K$5000) / ((Kintoneデータ抽出!$K$2:$K$5000="院内")), ROW(A204))))&amp;"年"
&amp;MONTH(INDEX(Kintoneデータ抽出!E:E, _xlfn.AGGREGATE(15, 6, ROW(Kintoneデータ抽出!$K$2:$K$5000) / ((Kintoneデータ抽出!$K$2:$K$5000="院内")), ROW(A204))))&amp;"月"
&amp;DAY(INDEX(Kintoneデータ抽出!E:E, _xlfn.AGGREGATE(15, 6, ROW(Kintoneデータ抽出!$K$2:$K$5000) /((Kintoneデータ抽出!$K$2:$K$5000="院内")), ROW(A204))))&amp;"日",""), "")</f>
        <v/>
      </c>
      <c r="K241" s="77" t="str" cm="1">
        <f t="array" ref="K241">IFERROR(IF(INDEX(Kintoneデータ抽出!F:F, _xlfn.AGGREGATE(15, 6, ROW(Kintoneデータ抽出!$K$2:$K$5000) / ((Kintoneデータ抽出!$K$2:$K$5000="院内")), ROW(A204)))&lt;&gt;"",
VLOOKUP(INDEX(Kintoneデータ抽出!F:F, _xlfn.AGGREGATE(15, 6, ROW(Kintoneデータ抽出!$K$2:$K$5000) / ((Kintoneデータ抽出!$K$2:$K$5000="院内")), ROW(A204))),基本開園日の表記!$A$2:$B$13,2,FALSE),""), "")</f>
        <v/>
      </c>
      <c r="L241" s="75" t="str">
        <f t="array" ref="L241">IFERROR(IF(INDEX(Kintoneデータ抽出!F:F, _xlfn.AGGREGATE(15, 6, ROW(Kintoneデータ抽出!$K$2:$K$5000) / ((Kintoneデータ抽出!$K$2:$K$5000="院内")), ROW(A204)))&lt;&gt;"",
IF(COUNTIF(INDEX(Kintoneデータ抽出!F:F, _xlfn.AGGREGATE(15, 6, ROW(Kintoneデータ抽出!$K$2:$K$5000) / ((Kintoneデータ抽出!$K$2:$K$5000="院内")), ROW(A204))),"*あり*"),"夜間",""),""), "")</f>
        <v/>
      </c>
      <c r="M241" s="75" t="str">
        <f t="array" ref="M241">IFERROR(IF(INDEX(Kintoneデータ抽出!I:I, _xlfn.AGGREGATE(15, 6, ROW(Kintoneデータ抽出!$K$2:$K$5000) / ((Kintoneデータ抽出!$K$2:$K$5000="院内")), ROW(A204)))&lt;&gt;"",
IF(COUNTIF(INDEX(Kintoneデータ抽出!I:I, _xlfn.AGGREGATE(15, 6, ROW(Kintoneデータ抽出!$K$2:$K$5000) / ((Kintoneデータ抽出!$K$2:$K$5000="院内")), ROW(A204))),"*あり*"),"学童",""),""), "")</f>
        <v/>
      </c>
      <c r="N241" s="75" t="str">
        <f t="array" ref="N241">IFERROR(IF(INDEX(Kintoneデータ抽出!H:H, _xlfn.AGGREGATE(15, 6, ROW(Kintoneデータ抽出!$K$2:$K$5000) / ((Kintoneデータ抽出!$K$2:$K$5000="院内")), ROW(A204)))&lt;&gt;"",
IF(COUNTIF(INDEX(Kintoneデータ抽出!H:H, _xlfn.AGGREGATE(15, 6, ROW(Kintoneデータ抽出!$K$2:$K$5000) / ((Kintoneデータ抽出!$K$2:$K$5000="院内")), ROW(A204))),"*あり*"),"病児",""),""), "")</f>
        <v/>
      </c>
      <c r="O241" s="94" t="str" cm="1">
        <f t="array" ref="O241">IFERROR(
IF(INDEX(Kintoneデータ抽出!M:M, _xlfn.AGGREGATE(15, 6, ROW(Kintoneデータ抽出!$K$2:$K$5000) / ((Kintoneデータ抽出!$K$2:$K$5000="院内")), ROW(A204)))&lt;&gt;0,INDEX(Kintoneデータ抽出!M:M, _xlfn.AGGREGATE(15, 6, ROW(Kintoneデータ抽出!$K$2:$K$5000) / ((Kintoneデータ抽出!$K$2:$K$5000="院内")), ROW(A204))),""), "")</f>
        <v/>
      </c>
      <c r="P241" s="78" t="str">
        <f t="array" ref="P241">IFERROR(IF(INDEX(Kintoneデータ抽出!L:L, _xlfn.AGGREGATE(15, 6, ROW(Kintoneデータ抽出!$K$2:$K$5000) / ((Kintoneデータ抽出!$K$2:$K$5000="院内")), ROW(A204)))&lt;&gt;"",
IF(COUNTIF(INDEX(Kintoneデータ抽出!L:L, _xlfn.AGGREGATE(15, 6, ROW(Kintoneデータ抽出!$K$2:$K$5000) / ((Kintoneデータ抽出!$K$2:$K$5000="院内")), ROW(A204))),"*企業主導型以外*"),"",
IF(COUNTIF(INDEX(Kintoneデータ抽出!L:L, _xlfn.AGGREGATE(15, 6, ROW(Kintoneデータ抽出!$K$2:$K$5000) / ((Kintoneデータ抽出!$K$2:$K$5000="院内")), ROW(A204))),"*その他*"),"",
IF(COUNTIF(INDEX(Kintoneデータ抽出!L:L, _xlfn.AGGREGATE(15, 6, ROW(Kintoneデータ抽出!$K$2:$K$5000) / ((Kintoneデータ抽出!$K$2:$K$5000="院内")), ROW(A204))),"*新制度*"),"新制度","企業主導型"))),""), "")</f>
        <v/>
      </c>
    </row>
    <row r="242" spans="2:16" ht="34.799999999999997" customHeight="1" x14ac:dyDescent="0.45">
      <c r="B242" s="45"/>
      <c r="C242" s="46"/>
      <c r="D242" s="98" t="str">
        <f t="shared" si="4"/>
        <v/>
      </c>
      <c r="E242" s="99"/>
      <c r="F242" s="75" t="str">
        <f t="array" ref="F242">IFERROR(INDEX(Kintoneデータ抽出!A:A, _xlfn.AGGREGATE(15, 6, ROW(Kintoneデータ抽出!$K$2:$K$5000) / ((Kintoneデータ抽出!$K$2:$K$5000="院内")), ROW(A205))), "")</f>
        <v/>
      </c>
      <c r="G242" s="77" t="str">
        <f t="array" ref="G242">IFERROR(INDEX(Kintoneデータ抽出!D:D, _xlfn.AGGREGATE(15, 6, ROW(Kintoneデータ抽出!$K$2:$K$5000) / ((Kintoneデータ抽出!$K$2:$K$5000="院内")), ROW(A205))), "")</f>
        <v/>
      </c>
      <c r="H242" s="77" t="str">
        <f t="array" ref="H242">IFERROR(INDEX(Kintoneデータ抽出!C:C, _xlfn.AGGREGATE(15, 6, ROW(Kintoneデータ抽出!$K$2:$K$5000) / ((Kintoneデータ抽出!$K$2:$K$5000="院内")), ROW(A205))), "")</f>
        <v/>
      </c>
      <c r="I242" s="75" t="str">
        <f t="array" ref="I242">IFERROR(IF(INDEX(Kintoneデータ抽出!G:G, _xlfn.AGGREGATE(15, 6, ROW(Kintoneデータ抽出!$K$2:$K$5000) / ((Kintoneデータ抽出!$K$2:$K$5000="院内")), ROW(A205)))&lt;&gt;"",INDEX(Kintoneデータ抽出!G:G, _xlfn.AGGREGATE(15, 6, ROW(Kintoneデータ抽出!$K$2:$K$5000) / ((Kintoneデータ抽出!$K$2:$K$5000="院内")), ROW(A205)))&amp;"名",""), "")</f>
        <v/>
      </c>
      <c r="J242" s="76" t="str">
        <f t="array" ref="J242">IFERROR(IF(INDEX(Kintoneデータ抽出!E:E, _xlfn.AGGREGATE(15, 6, ROW(Kintoneデータ抽出!$K$2:$K$5000) / ((Kintoneデータ抽出!$K$2:$K$5000="院内")), ROW(A205)))&lt;&gt;"",
YEAR(INDEX(Kintoneデータ抽出!E:E, _xlfn.AGGREGATE(15, 6, ROW(Kintoneデータ抽出!$K$2:$K$5000) / ((Kintoneデータ抽出!$K$2:$K$5000="院内")), ROW(A205))))&amp;"年"
&amp;MONTH(INDEX(Kintoneデータ抽出!E:E, _xlfn.AGGREGATE(15, 6, ROW(Kintoneデータ抽出!$K$2:$K$5000) / ((Kintoneデータ抽出!$K$2:$K$5000="院内")), ROW(A205))))&amp;"月"
&amp;DAY(INDEX(Kintoneデータ抽出!E:E, _xlfn.AGGREGATE(15, 6, ROW(Kintoneデータ抽出!$K$2:$K$5000) /((Kintoneデータ抽出!$K$2:$K$5000="院内")), ROW(A205))))&amp;"日",""), "")</f>
        <v/>
      </c>
      <c r="K242" s="77" t="str" cm="1">
        <f t="array" ref="K242">IFERROR(IF(INDEX(Kintoneデータ抽出!F:F, _xlfn.AGGREGATE(15, 6, ROW(Kintoneデータ抽出!$K$2:$K$5000) / ((Kintoneデータ抽出!$K$2:$K$5000="院内")), ROW(A205)))&lt;&gt;"",
VLOOKUP(INDEX(Kintoneデータ抽出!F:F, _xlfn.AGGREGATE(15, 6, ROW(Kintoneデータ抽出!$K$2:$K$5000) / ((Kintoneデータ抽出!$K$2:$K$5000="院内")), ROW(A205))),基本開園日の表記!$A$2:$B$13,2,FALSE),""), "")</f>
        <v/>
      </c>
      <c r="L242" s="75" t="str">
        <f t="array" ref="L242">IFERROR(IF(INDEX(Kintoneデータ抽出!F:F, _xlfn.AGGREGATE(15, 6, ROW(Kintoneデータ抽出!$K$2:$K$5000) / ((Kintoneデータ抽出!$K$2:$K$5000="院内")), ROW(A205)))&lt;&gt;"",
IF(COUNTIF(INDEX(Kintoneデータ抽出!F:F, _xlfn.AGGREGATE(15, 6, ROW(Kintoneデータ抽出!$K$2:$K$5000) / ((Kintoneデータ抽出!$K$2:$K$5000="院内")), ROW(A205))),"*あり*"),"夜間",""),""), "")</f>
        <v/>
      </c>
      <c r="M242" s="75" t="str">
        <f t="array" ref="M242">IFERROR(IF(INDEX(Kintoneデータ抽出!I:I, _xlfn.AGGREGATE(15, 6, ROW(Kintoneデータ抽出!$K$2:$K$5000) / ((Kintoneデータ抽出!$K$2:$K$5000="院内")), ROW(A205)))&lt;&gt;"",
IF(COUNTIF(INDEX(Kintoneデータ抽出!I:I, _xlfn.AGGREGATE(15, 6, ROW(Kintoneデータ抽出!$K$2:$K$5000) / ((Kintoneデータ抽出!$K$2:$K$5000="院内")), ROW(A205))),"*あり*"),"学童",""),""), "")</f>
        <v/>
      </c>
      <c r="N242" s="75" t="str">
        <f t="array" ref="N242">IFERROR(IF(INDEX(Kintoneデータ抽出!H:H, _xlfn.AGGREGATE(15, 6, ROW(Kintoneデータ抽出!$K$2:$K$5000) / ((Kintoneデータ抽出!$K$2:$K$5000="院内")), ROW(A205)))&lt;&gt;"",
IF(COUNTIF(INDEX(Kintoneデータ抽出!H:H, _xlfn.AGGREGATE(15, 6, ROW(Kintoneデータ抽出!$K$2:$K$5000) / ((Kintoneデータ抽出!$K$2:$K$5000="院内")), ROW(A205))),"*あり*"),"病児",""),""), "")</f>
        <v/>
      </c>
      <c r="O242" s="94" t="str" cm="1">
        <f t="array" ref="O242">IFERROR(
IF(INDEX(Kintoneデータ抽出!M:M, _xlfn.AGGREGATE(15, 6, ROW(Kintoneデータ抽出!$K$2:$K$5000) / ((Kintoneデータ抽出!$K$2:$K$5000="院内")), ROW(A205)))&lt;&gt;0,INDEX(Kintoneデータ抽出!M:M, _xlfn.AGGREGATE(15, 6, ROW(Kintoneデータ抽出!$K$2:$K$5000) / ((Kintoneデータ抽出!$K$2:$K$5000="院内")), ROW(A205))),""), "")</f>
        <v/>
      </c>
      <c r="P242" s="78" t="str">
        <f t="array" ref="P242">IFERROR(IF(INDEX(Kintoneデータ抽出!L:L, _xlfn.AGGREGATE(15, 6, ROW(Kintoneデータ抽出!$K$2:$K$5000) / ((Kintoneデータ抽出!$K$2:$K$5000="院内")), ROW(A205)))&lt;&gt;"",
IF(COUNTIF(INDEX(Kintoneデータ抽出!L:L, _xlfn.AGGREGATE(15, 6, ROW(Kintoneデータ抽出!$K$2:$K$5000) / ((Kintoneデータ抽出!$K$2:$K$5000="院内")), ROW(A205))),"*企業主導型以外*"),"",
IF(COUNTIF(INDEX(Kintoneデータ抽出!L:L, _xlfn.AGGREGATE(15, 6, ROW(Kintoneデータ抽出!$K$2:$K$5000) / ((Kintoneデータ抽出!$K$2:$K$5000="院内")), ROW(A205))),"*その他*"),"",
IF(COUNTIF(INDEX(Kintoneデータ抽出!L:L, _xlfn.AGGREGATE(15, 6, ROW(Kintoneデータ抽出!$K$2:$K$5000) / ((Kintoneデータ抽出!$K$2:$K$5000="院内")), ROW(A205))),"*新制度*"),"新制度","企業主導型"))),""), "")</f>
        <v/>
      </c>
    </row>
    <row r="243" spans="2:16" ht="34.799999999999997" customHeight="1" x14ac:dyDescent="0.45">
      <c r="B243" s="45"/>
      <c r="C243" s="46"/>
      <c r="D243" s="98" t="str">
        <f t="shared" si="4"/>
        <v/>
      </c>
      <c r="E243" s="99"/>
      <c r="F243" s="75" t="str">
        <f t="array" ref="F243">IFERROR(INDEX(Kintoneデータ抽出!A:A, _xlfn.AGGREGATE(15, 6, ROW(Kintoneデータ抽出!$K$2:$K$5000) / ((Kintoneデータ抽出!$K$2:$K$5000="院内")), ROW(A206))), "")</f>
        <v/>
      </c>
      <c r="G243" s="77" t="str">
        <f t="array" ref="G243">IFERROR(INDEX(Kintoneデータ抽出!D:D, _xlfn.AGGREGATE(15, 6, ROW(Kintoneデータ抽出!$K$2:$K$5000) / ((Kintoneデータ抽出!$K$2:$K$5000="院内")), ROW(A206))), "")</f>
        <v/>
      </c>
      <c r="H243" s="77" t="str">
        <f t="array" ref="H243">IFERROR(INDEX(Kintoneデータ抽出!C:C, _xlfn.AGGREGATE(15, 6, ROW(Kintoneデータ抽出!$K$2:$K$5000) / ((Kintoneデータ抽出!$K$2:$K$5000="院内")), ROW(A206))), "")</f>
        <v/>
      </c>
      <c r="I243" s="75" t="str">
        <f t="array" ref="I243">IFERROR(IF(INDEX(Kintoneデータ抽出!G:G, _xlfn.AGGREGATE(15, 6, ROW(Kintoneデータ抽出!$K$2:$K$5000) / ((Kintoneデータ抽出!$K$2:$K$5000="院内")), ROW(A206)))&lt;&gt;"",INDEX(Kintoneデータ抽出!G:G, _xlfn.AGGREGATE(15, 6, ROW(Kintoneデータ抽出!$K$2:$K$5000) / ((Kintoneデータ抽出!$K$2:$K$5000="院内")), ROW(A206)))&amp;"名",""), "")</f>
        <v/>
      </c>
      <c r="J243" s="76" t="str">
        <f t="array" ref="J243">IFERROR(IF(INDEX(Kintoneデータ抽出!E:E, _xlfn.AGGREGATE(15, 6, ROW(Kintoneデータ抽出!$K$2:$K$5000) / ((Kintoneデータ抽出!$K$2:$K$5000="院内")), ROW(A206)))&lt;&gt;"",
YEAR(INDEX(Kintoneデータ抽出!E:E, _xlfn.AGGREGATE(15, 6, ROW(Kintoneデータ抽出!$K$2:$K$5000) / ((Kintoneデータ抽出!$K$2:$K$5000="院内")), ROW(A206))))&amp;"年"
&amp;MONTH(INDEX(Kintoneデータ抽出!E:E, _xlfn.AGGREGATE(15, 6, ROW(Kintoneデータ抽出!$K$2:$K$5000) / ((Kintoneデータ抽出!$K$2:$K$5000="院内")), ROW(A206))))&amp;"月"
&amp;DAY(INDEX(Kintoneデータ抽出!E:E, _xlfn.AGGREGATE(15, 6, ROW(Kintoneデータ抽出!$K$2:$K$5000) /((Kintoneデータ抽出!$K$2:$K$5000="院内")), ROW(A206))))&amp;"日",""), "")</f>
        <v/>
      </c>
      <c r="K243" s="77" t="str" cm="1">
        <f t="array" ref="K243">IFERROR(IF(INDEX(Kintoneデータ抽出!F:F, _xlfn.AGGREGATE(15, 6, ROW(Kintoneデータ抽出!$K$2:$K$5000) / ((Kintoneデータ抽出!$K$2:$K$5000="院内")), ROW(A206)))&lt;&gt;"",
VLOOKUP(INDEX(Kintoneデータ抽出!F:F, _xlfn.AGGREGATE(15, 6, ROW(Kintoneデータ抽出!$K$2:$K$5000) / ((Kintoneデータ抽出!$K$2:$K$5000="院内")), ROW(A206))),基本開園日の表記!$A$2:$B$13,2,FALSE),""), "")</f>
        <v/>
      </c>
      <c r="L243" s="75" t="str">
        <f t="array" ref="L243">IFERROR(IF(INDEX(Kintoneデータ抽出!F:F, _xlfn.AGGREGATE(15, 6, ROW(Kintoneデータ抽出!$K$2:$K$5000) / ((Kintoneデータ抽出!$K$2:$K$5000="院内")), ROW(A206)))&lt;&gt;"",
IF(COUNTIF(INDEX(Kintoneデータ抽出!F:F, _xlfn.AGGREGATE(15, 6, ROW(Kintoneデータ抽出!$K$2:$K$5000) / ((Kintoneデータ抽出!$K$2:$K$5000="院内")), ROW(A206))),"*あり*"),"夜間",""),""), "")</f>
        <v/>
      </c>
      <c r="M243" s="75" t="str">
        <f t="array" ref="M243">IFERROR(IF(INDEX(Kintoneデータ抽出!I:I, _xlfn.AGGREGATE(15, 6, ROW(Kintoneデータ抽出!$K$2:$K$5000) / ((Kintoneデータ抽出!$K$2:$K$5000="院内")), ROW(A206)))&lt;&gt;"",
IF(COUNTIF(INDEX(Kintoneデータ抽出!I:I, _xlfn.AGGREGATE(15, 6, ROW(Kintoneデータ抽出!$K$2:$K$5000) / ((Kintoneデータ抽出!$K$2:$K$5000="院内")), ROW(A206))),"*あり*"),"学童",""),""), "")</f>
        <v/>
      </c>
      <c r="N243" s="75" t="str">
        <f t="array" ref="N243">IFERROR(IF(INDEX(Kintoneデータ抽出!H:H, _xlfn.AGGREGATE(15, 6, ROW(Kintoneデータ抽出!$K$2:$K$5000) / ((Kintoneデータ抽出!$K$2:$K$5000="院内")), ROW(A206)))&lt;&gt;"",
IF(COUNTIF(INDEX(Kintoneデータ抽出!H:H, _xlfn.AGGREGATE(15, 6, ROW(Kintoneデータ抽出!$K$2:$K$5000) / ((Kintoneデータ抽出!$K$2:$K$5000="院内")), ROW(A206))),"*あり*"),"病児",""),""), "")</f>
        <v/>
      </c>
      <c r="O243" s="94" t="str" cm="1">
        <f t="array" ref="O243">IFERROR(
IF(INDEX(Kintoneデータ抽出!M:M, _xlfn.AGGREGATE(15, 6, ROW(Kintoneデータ抽出!$K$2:$K$5000) / ((Kintoneデータ抽出!$K$2:$K$5000="院内")), ROW(A206)))&lt;&gt;0,INDEX(Kintoneデータ抽出!M:M, _xlfn.AGGREGATE(15, 6, ROW(Kintoneデータ抽出!$K$2:$K$5000) / ((Kintoneデータ抽出!$K$2:$K$5000="院内")), ROW(A206))),""), "")</f>
        <v/>
      </c>
      <c r="P243" s="78" t="str">
        <f t="array" ref="P243">IFERROR(IF(INDEX(Kintoneデータ抽出!L:L, _xlfn.AGGREGATE(15, 6, ROW(Kintoneデータ抽出!$K$2:$K$5000) / ((Kintoneデータ抽出!$K$2:$K$5000="院内")), ROW(A206)))&lt;&gt;"",
IF(COUNTIF(INDEX(Kintoneデータ抽出!L:L, _xlfn.AGGREGATE(15, 6, ROW(Kintoneデータ抽出!$K$2:$K$5000) / ((Kintoneデータ抽出!$K$2:$K$5000="院内")), ROW(A206))),"*企業主導型以外*"),"",
IF(COUNTIF(INDEX(Kintoneデータ抽出!L:L, _xlfn.AGGREGATE(15, 6, ROW(Kintoneデータ抽出!$K$2:$K$5000) / ((Kintoneデータ抽出!$K$2:$K$5000="院内")), ROW(A206))),"*その他*"),"",
IF(COUNTIF(INDEX(Kintoneデータ抽出!L:L, _xlfn.AGGREGATE(15, 6, ROW(Kintoneデータ抽出!$K$2:$K$5000) / ((Kintoneデータ抽出!$K$2:$K$5000="院内")), ROW(A206))),"*新制度*"),"新制度","企業主導型"))),""), "")</f>
        <v/>
      </c>
    </row>
    <row r="244" spans="2:16" ht="34.799999999999997" customHeight="1" x14ac:dyDescent="0.45">
      <c r="B244" s="45"/>
      <c r="C244" s="46"/>
      <c r="D244" s="98" t="str">
        <f t="shared" si="4"/>
        <v/>
      </c>
      <c r="E244" s="99"/>
      <c r="F244" s="75" t="str">
        <f t="array" ref="F244">IFERROR(INDEX(Kintoneデータ抽出!A:A, _xlfn.AGGREGATE(15, 6, ROW(Kintoneデータ抽出!$K$2:$K$5000) / ((Kintoneデータ抽出!$K$2:$K$5000="院内")), ROW(A207))), "")</f>
        <v/>
      </c>
      <c r="G244" s="77" t="str">
        <f t="array" ref="G244">IFERROR(INDEX(Kintoneデータ抽出!D:D, _xlfn.AGGREGATE(15, 6, ROW(Kintoneデータ抽出!$K$2:$K$5000) / ((Kintoneデータ抽出!$K$2:$K$5000="院内")), ROW(A207))), "")</f>
        <v/>
      </c>
      <c r="H244" s="77" t="str">
        <f t="array" ref="H244">IFERROR(INDEX(Kintoneデータ抽出!C:C, _xlfn.AGGREGATE(15, 6, ROW(Kintoneデータ抽出!$K$2:$K$5000) / ((Kintoneデータ抽出!$K$2:$K$5000="院内")), ROW(A207))), "")</f>
        <v/>
      </c>
      <c r="I244" s="75" t="str">
        <f t="array" ref="I244">IFERROR(IF(INDEX(Kintoneデータ抽出!G:G, _xlfn.AGGREGATE(15, 6, ROW(Kintoneデータ抽出!$K$2:$K$5000) / ((Kintoneデータ抽出!$K$2:$K$5000="院内")), ROW(A207)))&lt;&gt;"",INDEX(Kintoneデータ抽出!G:G, _xlfn.AGGREGATE(15, 6, ROW(Kintoneデータ抽出!$K$2:$K$5000) / ((Kintoneデータ抽出!$K$2:$K$5000="院内")), ROW(A207)))&amp;"名",""), "")</f>
        <v/>
      </c>
      <c r="J244" s="76" t="str">
        <f t="array" ref="J244">IFERROR(IF(INDEX(Kintoneデータ抽出!E:E, _xlfn.AGGREGATE(15, 6, ROW(Kintoneデータ抽出!$K$2:$K$5000) / ((Kintoneデータ抽出!$K$2:$K$5000="院内")), ROW(A207)))&lt;&gt;"",
YEAR(INDEX(Kintoneデータ抽出!E:E, _xlfn.AGGREGATE(15, 6, ROW(Kintoneデータ抽出!$K$2:$K$5000) / ((Kintoneデータ抽出!$K$2:$K$5000="院内")), ROW(A207))))&amp;"年"
&amp;MONTH(INDEX(Kintoneデータ抽出!E:E, _xlfn.AGGREGATE(15, 6, ROW(Kintoneデータ抽出!$K$2:$K$5000) / ((Kintoneデータ抽出!$K$2:$K$5000="院内")), ROW(A207))))&amp;"月"
&amp;DAY(INDEX(Kintoneデータ抽出!E:E, _xlfn.AGGREGATE(15, 6, ROW(Kintoneデータ抽出!$K$2:$K$5000) /((Kintoneデータ抽出!$K$2:$K$5000="院内")), ROW(A207))))&amp;"日",""), "")</f>
        <v/>
      </c>
      <c r="K244" s="77" t="str" cm="1">
        <f t="array" ref="K244">IFERROR(IF(INDEX(Kintoneデータ抽出!F:F, _xlfn.AGGREGATE(15, 6, ROW(Kintoneデータ抽出!$K$2:$K$5000) / ((Kintoneデータ抽出!$K$2:$K$5000="院内")), ROW(A207)))&lt;&gt;"",
VLOOKUP(INDEX(Kintoneデータ抽出!F:F, _xlfn.AGGREGATE(15, 6, ROW(Kintoneデータ抽出!$K$2:$K$5000) / ((Kintoneデータ抽出!$K$2:$K$5000="院内")), ROW(A207))),基本開園日の表記!$A$2:$B$13,2,FALSE),""), "")</f>
        <v/>
      </c>
      <c r="L244" s="75" t="str">
        <f t="array" ref="L244">IFERROR(IF(INDEX(Kintoneデータ抽出!F:F, _xlfn.AGGREGATE(15, 6, ROW(Kintoneデータ抽出!$K$2:$K$5000) / ((Kintoneデータ抽出!$K$2:$K$5000="院内")), ROW(A207)))&lt;&gt;"",
IF(COUNTIF(INDEX(Kintoneデータ抽出!F:F, _xlfn.AGGREGATE(15, 6, ROW(Kintoneデータ抽出!$K$2:$K$5000) / ((Kintoneデータ抽出!$K$2:$K$5000="院内")), ROW(A207))),"*あり*"),"夜間",""),""), "")</f>
        <v/>
      </c>
      <c r="M244" s="75" t="str">
        <f t="array" ref="M244">IFERROR(IF(INDEX(Kintoneデータ抽出!I:I, _xlfn.AGGREGATE(15, 6, ROW(Kintoneデータ抽出!$K$2:$K$5000) / ((Kintoneデータ抽出!$K$2:$K$5000="院内")), ROW(A207)))&lt;&gt;"",
IF(COUNTIF(INDEX(Kintoneデータ抽出!I:I, _xlfn.AGGREGATE(15, 6, ROW(Kintoneデータ抽出!$K$2:$K$5000) / ((Kintoneデータ抽出!$K$2:$K$5000="院内")), ROW(A207))),"*あり*"),"学童",""),""), "")</f>
        <v/>
      </c>
      <c r="N244" s="75" t="str">
        <f t="array" ref="N244">IFERROR(IF(INDEX(Kintoneデータ抽出!H:H, _xlfn.AGGREGATE(15, 6, ROW(Kintoneデータ抽出!$K$2:$K$5000) / ((Kintoneデータ抽出!$K$2:$K$5000="院内")), ROW(A207)))&lt;&gt;"",
IF(COUNTIF(INDEX(Kintoneデータ抽出!H:H, _xlfn.AGGREGATE(15, 6, ROW(Kintoneデータ抽出!$K$2:$K$5000) / ((Kintoneデータ抽出!$K$2:$K$5000="院内")), ROW(A207))),"*あり*"),"病児",""),""), "")</f>
        <v/>
      </c>
      <c r="O244" s="94" t="str" cm="1">
        <f t="array" ref="O244">IFERROR(
IF(INDEX(Kintoneデータ抽出!M:M, _xlfn.AGGREGATE(15, 6, ROW(Kintoneデータ抽出!$K$2:$K$5000) / ((Kintoneデータ抽出!$K$2:$K$5000="院内")), ROW(A207)))&lt;&gt;0,INDEX(Kintoneデータ抽出!M:M, _xlfn.AGGREGATE(15, 6, ROW(Kintoneデータ抽出!$K$2:$K$5000) / ((Kintoneデータ抽出!$K$2:$K$5000="院内")), ROW(A207))),""), "")</f>
        <v/>
      </c>
      <c r="P244" s="78" t="str">
        <f t="array" ref="P244">IFERROR(IF(INDEX(Kintoneデータ抽出!L:L, _xlfn.AGGREGATE(15, 6, ROW(Kintoneデータ抽出!$K$2:$K$5000) / ((Kintoneデータ抽出!$K$2:$K$5000="院内")), ROW(A207)))&lt;&gt;"",
IF(COUNTIF(INDEX(Kintoneデータ抽出!L:L, _xlfn.AGGREGATE(15, 6, ROW(Kintoneデータ抽出!$K$2:$K$5000) / ((Kintoneデータ抽出!$K$2:$K$5000="院内")), ROW(A207))),"*企業主導型以外*"),"",
IF(COUNTIF(INDEX(Kintoneデータ抽出!L:L, _xlfn.AGGREGATE(15, 6, ROW(Kintoneデータ抽出!$K$2:$K$5000) / ((Kintoneデータ抽出!$K$2:$K$5000="院内")), ROW(A207))),"*その他*"),"",
IF(COUNTIF(INDEX(Kintoneデータ抽出!L:L, _xlfn.AGGREGATE(15, 6, ROW(Kintoneデータ抽出!$K$2:$K$5000) / ((Kintoneデータ抽出!$K$2:$K$5000="院内")), ROW(A207))),"*新制度*"),"新制度","企業主導型"))),""), "")</f>
        <v/>
      </c>
    </row>
    <row r="245" spans="2:16" ht="34.799999999999997" customHeight="1" x14ac:dyDescent="0.45">
      <c r="B245" s="45"/>
      <c r="C245" s="46"/>
      <c r="D245" s="98" t="str">
        <f t="shared" si="4"/>
        <v/>
      </c>
      <c r="E245" s="99"/>
      <c r="F245" s="75" t="str">
        <f t="array" ref="F245">IFERROR(INDEX(Kintoneデータ抽出!A:A, _xlfn.AGGREGATE(15, 6, ROW(Kintoneデータ抽出!$K$2:$K$5000) / ((Kintoneデータ抽出!$K$2:$K$5000="院内")), ROW(A208))), "")</f>
        <v/>
      </c>
      <c r="G245" s="77" t="str">
        <f t="array" ref="G245">IFERROR(INDEX(Kintoneデータ抽出!D:D, _xlfn.AGGREGATE(15, 6, ROW(Kintoneデータ抽出!$K$2:$K$5000) / ((Kintoneデータ抽出!$K$2:$K$5000="院内")), ROW(A208))), "")</f>
        <v/>
      </c>
      <c r="H245" s="77" t="str">
        <f t="array" ref="H245">IFERROR(INDEX(Kintoneデータ抽出!C:C, _xlfn.AGGREGATE(15, 6, ROW(Kintoneデータ抽出!$K$2:$K$5000) / ((Kintoneデータ抽出!$K$2:$K$5000="院内")), ROW(A208))), "")</f>
        <v/>
      </c>
      <c r="I245" s="75" t="str">
        <f t="array" ref="I245">IFERROR(IF(INDEX(Kintoneデータ抽出!G:G, _xlfn.AGGREGATE(15, 6, ROW(Kintoneデータ抽出!$K$2:$K$5000) / ((Kintoneデータ抽出!$K$2:$K$5000="院内")), ROW(A208)))&lt;&gt;"",INDEX(Kintoneデータ抽出!G:G, _xlfn.AGGREGATE(15, 6, ROW(Kintoneデータ抽出!$K$2:$K$5000) / ((Kintoneデータ抽出!$K$2:$K$5000="院内")), ROW(A208)))&amp;"名",""), "")</f>
        <v/>
      </c>
      <c r="J245" s="76" t="str">
        <f t="array" ref="J245">IFERROR(IF(INDEX(Kintoneデータ抽出!E:E, _xlfn.AGGREGATE(15, 6, ROW(Kintoneデータ抽出!$K$2:$K$5000) / ((Kintoneデータ抽出!$K$2:$K$5000="院内")), ROW(A208)))&lt;&gt;"",
YEAR(INDEX(Kintoneデータ抽出!E:E, _xlfn.AGGREGATE(15, 6, ROW(Kintoneデータ抽出!$K$2:$K$5000) / ((Kintoneデータ抽出!$K$2:$K$5000="院内")), ROW(A208))))&amp;"年"
&amp;MONTH(INDEX(Kintoneデータ抽出!E:E, _xlfn.AGGREGATE(15, 6, ROW(Kintoneデータ抽出!$K$2:$K$5000) / ((Kintoneデータ抽出!$K$2:$K$5000="院内")), ROW(A208))))&amp;"月"
&amp;DAY(INDEX(Kintoneデータ抽出!E:E, _xlfn.AGGREGATE(15, 6, ROW(Kintoneデータ抽出!$K$2:$K$5000) /((Kintoneデータ抽出!$K$2:$K$5000="院内")), ROW(A208))))&amp;"日",""), "")</f>
        <v/>
      </c>
      <c r="K245" s="77" t="str" cm="1">
        <f t="array" ref="K245">IFERROR(IF(INDEX(Kintoneデータ抽出!F:F, _xlfn.AGGREGATE(15, 6, ROW(Kintoneデータ抽出!$K$2:$K$5000) / ((Kintoneデータ抽出!$K$2:$K$5000="院内")), ROW(A208)))&lt;&gt;"",
VLOOKUP(INDEX(Kintoneデータ抽出!F:F, _xlfn.AGGREGATE(15, 6, ROW(Kintoneデータ抽出!$K$2:$K$5000) / ((Kintoneデータ抽出!$K$2:$K$5000="院内")), ROW(A208))),基本開園日の表記!$A$2:$B$13,2,FALSE),""), "")</f>
        <v/>
      </c>
      <c r="L245" s="75" t="str">
        <f t="array" ref="L245">IFERROR(IF(INDEX(Kintoneデータ抽出!F:F, _xlfn.AGGREGATE(15, 6, ROW(Kintoneデータ抽出!$K$2:$K$5000) / ((Kintoneデータ抽出!$K$2:$K$5000="院内")), ROW(A208)))&lt;&gt;"",
IF(COUNTIF(INDEX(Kintoneデータ抽出!F:F, _xlfn.AGGREGATE(15, 6, ROW(Kintoneデータ抽出!$K$2:$K$5000) / ((Kintoneデータ抽出!$K$2:$K$5000="院内")), ROW(A208))),"*あり*"),"夜間",""),""), "")</f>
        <v/>
      </c>
      <c r="M245" s="75" t="str">
        <f t="array" ref="M245">IFERROR(IF(INDEX(Kintoneデータ抽出!I:I, _xlfn.AGGREGATE(15, 6, ROW(Kintoneデータ抽出!$K$2:$K$5000) / ((Kintoneデータ抽出!$K$2:$K$5000="院内")), ROW(A208)))&lt;&gt;"",
IF(COUNTIF(INDEX(Kintoneデータ抽出!I:I, _xlfn.AGGREGATE(15, 6, ROW(Kintoneデータ抽出!$K$2:$K$5000) / ((Kintoneデータ抽出!$K$2:$K$5000="院内")), ROW(A208))),"*あり*"),"学童",""),""), "")</f>
        <v/>
      </c>
      <c r="N245" s="75" t="str">
        <f t="array" ref="N245">IFERROR(IF(INDEX(Kintoneデータ抽出!H:H, _xlfn.AGGREGATE(15, 6, ROW(Kintoneデータ抽出!$K$2:$K$5000) / ((Kintoneデータ抽出!$K$2:$K$5000="院内")), ROW(A208)))&lt;&gt;"",
IF(COUNTIF(INDEX(Kintoneデータ抽出!H:H, _xlfn.AGGREGATE(15, 6, ROW(Kintoneデータ抽出!$K$2:$K$5000) / ((Kintoneデータ抽出!$K$2:$K$5000="院内")), ROW(A208))),"*あり*"),"病児",""),""), "")</f>
        <v/>
      </c>
      <c r="O245" s="94" t="str" cm="1">
        <f t="array" ref="O245">IFERROR(
IF(INDEX(Kintoneデータ抽出!M:M, _xlfn.AGGREGATE(15, 6, ROW(Kintoneデータ抽出!$K$2:$K$5000) / ((Kintoneデータ抽出!$K$2:$K$5000="院内")), ROW(A208)))&lt;&gt;0,INDEX(Kintoneデータ抽出!M:M, _xlfn.AGGREGATE(15, 6, ROW(Kintoneデータ抽出!$K$2:$K$5000) / ((Kintoneデータ抽出!$K$2:$K$5000="院内")), ROW(A208))),""), "")</f>
        <v/>
      </c>
      <c r="P245" s="78" t="str">
        <f t="array" ref="P245">IFERROR(IF(INDEX(Kintoneデータ抽出!L:L, _xlfn.AGGREGATE(15, 6, ROW(Kintoneデータ抽出!$K$2:$K$5000) / ((Kintoneデータ抽出!$K$2:$K$5000="院内")), ROW(A208)))&lt;&gt;"",
IF(COUNTIF(INDEX(Kintoneデータ抽出!L:L, _xlfn.AGGREGATE(15, 6, ROW(Kintoneデータ抽出!$K$2:$K$5000) / ((Kintoneデータ抽出!$K$2:$K$5000="院内")), ROW(A208))),"*企業主導型以外*"),"",
IF(COUNTIF(INDEX(Kintoneデータ抽出!L:L, _xlfn.AGGREGATE(15, 6, ROW(Kintoneデータ抽出!$K$2:$K$5000) / ((Kintoneデータ抽出!$K$2:$K$5000="院内")), ROW(A208))),"*その他*"),"",
IF(COUNTIF(INDEX(Kintoneデータ抽出!L:L, _xlfn.AGGREGATE(15, 6, ROW(Kintoneデータ抽出!$K$2:$K$5000) / ((Kintoneデータ抽出!$K$2:$K$5000="院内")), ROW(A208))),"*新制度*"),"新制度","企業主導型"))),""), "")</f>
        <v/>
      </c>
    </row>
    <row r="246" spans="2:16" ht="34.799999999999997" customHeight="1" x14ac:dyDescent="0.45">
      <c r="B246" s="45"/>
      <c r="C246" s="46"/>
      <c r="D246" s="98" t="str">
        <f t="shared" si="4"/>
        <v/>
      </c>
      <c r="E246" s="99"/>
      <c r="F246" s="75" t="str">
        <f t="array" ref="F246">IFERROR(INDEX(Kintoneデータ抽出!A:A, _xlfn.AGGREGATE(15, 6, ROW(Kintoneデータ抽出!$K$2:$K$5000) / ((Kintoneデータ抽出!$K$2:$K$5000="院内")), ROW(A209))), "")</f>
        <v/>
      </c>
      <c r="G246" s="77" t="str">
        <f t="array" ref="G246">IFERROR(INDEX(Kintoneデータ抽出!D:D, _xlfn.AGGREGATE(15, 6, ROW(Kintoneデータ抽出!$K$2:$K$5000) / ((Kintoneデータ抽出!$K$2:$K$5000="院内")), ROW(A209))), "")</f>
        <v/>
      </c>
      <c r="H246" s="77" t="str">
        <f t="array" ref="H246">IFERROR(INDEX(Kintoneデータ抽出!C:C, _xlfn.AGGREGATE(15, 6, ROW(Kintoneデータ抽出!$K$2:$K$5000) / ((Kintoneデータ抽出!$K$2:$K$5000="院内")), ROW(A209))), "")</f>
        <v/>
      </c>
      <c r="I246" s="75" t="str">
        <f t="array" ref="I246">IFERROR(IF(INDEX(Kintoneデータ抽出!G:G, _xlfn.AGGREGATE(15, 6, ROW(Kintoneデータ抽出!$K$2:$K$5000) / ((Kintoneデータ抽出!$K$2:$K$5000="院内")), ROW(A209)))&lt;&gt;"",INDEX(Kintoneデータ抽出!G:G, _xlfn.AGGREGATE(15, 6, ROW(Kintoneデータ抽出!$K$2:$K$5000) / ((Kintoneデータ抽出!$K$2:$K$5000="院内")), ROW(A209)))&amp;"名",""), "")</f>
        <v/>
      </c>
      <c r="J246" s="76" t="str">
        <f t="array" ref="J246">IFERROR(IF(INDEX(Kintoneデータ抽出!E:E, _xlfn.AGGREGATE(15, 6, ROW(Kintoneデータ抽出!$K$2:$K$5000) / ((Kintoneデータ抽出!$K$2:$K$5000="院内")), ROW(A209)))&lt;&gt;"",
YEAR(INDEX(Kintoneデータ抽出!E:E, _xlfn.AGGREGATE(15, 6, ROW(Kintoneデータ抽出!$K$2:$K$5000) / ((Kintoneデータ抽出!$K$2:$K$5000="院内")), ROW(A209))))&amp;"年"
&amp;MONTH(INDEX(Kintoneデータ抽出!E:E, _xlfn.AGGREGATE(15, 6, ROW(Kintoneデータ抽出!$K$2:$K$5000) / ((Kintoneデータ抽出!$K$2:$K$5000="院内")), ROW(A209))))&amp;"月"
&amp;DAY(INDEX(Kintoneデータ抽出!E:E, _xlfn.AGGREGATE(15, 6, ROW(Kintoneデータ抽出!$K$2:$K$5000) /((Kintoneデータ抽出!$K$2:$K$5000="院内")), ROW(A209))))&amp;"日",""), "")</f>
        <v/>
      </c>
      <c r="K246" s="77" t="str" cm="1">
        <f t="array" ref="K246">IFERROR(IF(INDEX(Kintoneデータ抽出!F:F, _xlfn.AGGREGATE(15, 6, ROW(Kintoneデータ抽出!$K$2:$K$5000) / ((Kintoneデータ抽出!$K$2:$K$5000="院内")), ROW(A209)))&lt;&gt;"",
VLOOKUP(INDEX(Kintoneデータ抽出!F:F, _xlfn.AGGREGATE(15, 6, ROW(Kintoneデータ抽出!$K$2:$K$5000) / ((Kintoneデータ抽出!$K$2:$K$5000="院内")), ROW(A209))),基本開園日の表記!$A$2:$B$13,2,FALSE),""), "")</f>
        <v/>
      </c>
      <c r="L246" s="75" t="str">
        <f t="array" ref="L246">IFERROR(IF(INDEX(Kintoneデータ抽出!F:F, _xlfn.AGGREGATE(15, 6, ROW(Kintoneデータ抽出!$K$2:$K$5000) / ((Kintoneデータ抽出!$K$2:$K$5000="院内")), ROW(A209)))&lt;&gt;"",
IF(COUNTIF(INDEX(Kintoneデータ抽出!F:F, _xlfn.AGGREGATE(15, 6, ROW(Kintoneデータ抽出!$K$2:$K$5000) / ((Kintoneデータ抽出!$K$2:$K$5000="院内")), ROW(A209))),"*あり*"),"夜間",""),""), "")</f>
        <v/>
      </c>
      <c r="M246" s="75" t="str">
        <f t="array" ref="M246">IFERROR(IF(INDEX(Kintoneデータ抽出!I:I, _xlfn.AGGREGATE(15, 6, ROW(Kintoneデータ抽出!$K$2:$K$5000) / ((Kintoneデータ抽出!$K$2:$K$5000="院内")), ROW(A209)))&lt;&gt;"",
IF(COUNTIF(INDEX(Kintoneデータ抽出!I:I, _xlfn.AGGREGATE(15, 6, ROW(Kintoneデータ抽出!$K$2:$K$5000) / ((Kintoneデータ抽出!$K$2:$K$5000="院内")), ROW(A209))),"*あり*"),"学童",""),""), "")</f>
        <v/>
      </c>
      <c r="N246" s="75" t="str">
        <f t="array" ref="N246">IFERROR(IF(INDEX(Kintoneデータ抽出!H:H, _xlfn.AGGREGATE(15, 6, ROW(Kintoneデータ抽出!$K$2:$K$5000) / ((Kintoneデータ抽出!$K$2:$K$5000="院内")), ROW(A209)))&lt;&gt;"",
IF(COUNTIF(INDEX(Kintoneデータ抽出!H:H, _xlfn.AGGREGATE(15, 6, ROW(Kintoneデータ抽出!$K$2:$K$5000) / ((Kintoneデータ抽出!$K$2:$K$5000="院内")), ROW(A209))),"*あり*"),"病児",""),""), "")</f>
        <v/>
      </c>
      <c r="O246" s="94" t="str" cm="1">
        <f t="array" ref="O246">IFERROR(
IF(INDEX(Kintoneデータ抽出!M:M, _xlfn.AGGREGATE(15, 6, ROW(Kintoneデータ抽出!$K$2:$K$5000) / ((Kintoneデータ抽出!$K$2:$K$5000="院内")), ROW(A209)))&lt;&gt;0,INDEX(Kintoneデータ抽出!M:M, _xlfn.AGGREGATE(15, 6, ROW(Kintoneデータ抽出!$K$2:$K$5000) / ((Kintoneデータ抽出!$K$2:$K$5000="院内")), ROW(A209))),""), "")</f>
        <v/>
      </c>
      <c r="P246" s="78" t="str">
        <f t="array" ref="P246">IFERROR(IF(INDEX(Kintoneデータ抽出!L:L, _xlfn.AGGREGATE(15, 6, ROW(Kintoneデータ抽出!$K$2:$K$5000) / ((Kintoneデータ抽出!$K$2:$K$5000="院内")), ROW(A209)))&lt;&gt;"",
IF(COUNTIF(INDEX(Kintoneデータ抽出!L:L, _xlfn.AGGREGATE(15, 6, ROW(Kintoneデータ抽出!$K$2:$K$5000) / ((Kintoneデータ抽出!$K$2:$K$5000="院内")), ROW(A209))),"*企業主導型以外*"),"",
IF(COUNTIF(INDEX(Kintoneデータ抽出!L:L, _xlfn.AGGREGATE(15, 6, ROW(Kintoneデータ抽出!$K$2:$K$5000) / ((Kintoneデータ抽出!$K$2:$K$5000="院内")), ROW(A209))),"*その他*"),"",
IF(COUNTIF(INDEX(Kintoneデータ抽出!L:L, _xlfn.AGGREGATE(15, 6, ROW(Kintoneデータ抽出!$K$2:$K$5000) / ((Kintoneデータ抽出!$K$2:$K$5000="院内")), ROW(A209))),"*新制度*"),"新制度","企業主導型"))),""), "")</f>
        <v/>
      </c>
    </row>
    <row r="247" spans="2:16" ht="34.799999999999997" customHeight="1" x14ac:dyDescent="0.45">
      <c r="B247" s="45"/>
      <c r="C247" s="46"/>
      <c r="D247" s="98" t="str">
        <f t="shared" si="4"/>
        <v/>
      </c>
      <c r="E247" s="99"/>
      <c r="F247" s="75" t="str">
        <f t="array" ref="F247">IFERROR(INDEX(Kintoneデータ抽出!A:A, _xlfn.AGGREGATE(15, 6, ROW(Kintoneデータ抽出!$K$2:$K$5000) / ((Kintoneデータ抽出!$K$2:$K$5000="院内")), ROW(A210))), "")</f>
        <v/>
      </c>
      <c r="G247" s="77" t="str">
        <f t="array" ref="G247">IFERROR(INDEX(Kintoneデータ抽出!D:D, _xlfn.AGGREGATE(15, 6, ROW(Kintoneデータ抽出!$K$2:$K$5000) / ((Kintoneデータ抽出!$K$2:$K$5000="院内")), ROW(A210))), "")</f>
        <v/>
      </c>
      <c r="H247" s="77" t="str">
        <f t="array" ref="H247">IFERROR(INDEX(Kintoneデータ抽出!C:C, _xlfn.AGGREGATE(15, 6, ROW(Kintoneデータ抽出!$K$2:$K$5000) / ((Kintoneデータ抽出!$K$2:$K$5000="院内")), ROW(A210))), "")</f>
        <v/>
      </c>
      <c r="I247" s="75" t="str">
        <f t="array" ref="I247">IFERROR(IF(INDEX(Kintoneデータ抽出!G:G, _xlfn.AGGREGATE(15, 6, ROW(Kintoneデータ抽出!$K$2:$K$5000) / ((Kintoneデータ抽出!$K$2:$K$5000="院内")), ROW(A210)))&lt;&gt;"",INDEX(Kintoneデータ抽出!G:G, _xlfn.AGGREGATE(15, 6, ROW(Kintoneデータ抽出!$K$2:$K$5000) / ((Kintoneデータ抽出!$K$2:$K$5000="院内")), ROW(A210)))&amp;"名",""), "")</f>
        <v/>
      </c>
      <c r="J247" s="76" t="str">
        <f t="array" ref="J247">IFERROR(IF(INDEX(Kintoneデータ抽出!E:E, _xlfn.AGGREGATE(15, 6, ROW(Kintoneデータ抽出!$K$2:$K$5000) / ((Kintoneデータ抽出!$K$2:$K$5000="院内")), ROW(A210)))&lt;&gt;"",
YEAR(INDEX(Kintoneデータ抽出!E:E, _xlfn.AGGREGATE(15, 6, ROW(Kintoneデータ抽出!$K$2:$K$5000) / ((Kintoneデータ抽出!$K$2:$K$5000="院内")), ROW(A210))))&amp;"年"
&amp;MONTH(INDEX(Kintoneデータ抽出!E:E, _xlfn.AGGREGATE(15, 6, ROW(Kintoneデータ抽出!$K$2:$K$5000) / ((Kintoneデータ抽出!$K$2:$K$5000="院内")), ROW(A210))))&amp;"月"
&amp;DAY(INDEX(Kintoneデータ抽出!E:E, _xlfn.AGGREGATE(15, 6, ROW(Kintoneデータ抽出!$K$2:$K$5000) /((Kintoneデータ抽出!$K$2:$K$5000="院内")), ROW(A210))))&amp;"日",""), "")</f>
        <v/>
      </c>
      <c r="K247" s="77" t="str" cm="1">
        <f t="array" ref="K247">IFERROR(IF(INDEX(Kintoneデータ抽出!F:F, _xlfn.AGGREGATE(15, 6, ROW(Kintoneデータ抽出!$K$2:$K$5000) / ((Kintoneデータ抽出!$K$2:$K$5000="院内")), ROW(A210)))&lt;&gt;"",
VLOOKUP(INDEX(Kintoneデータ抽出!F:F, _xlfn.AGGREGATE(15, 6, ROW(Kintoneデータ抽出!$K$2:$K$5000) / ((Kintoneデータ抽出!$K$2:$K$5000="院内")), ROW(A210))),基本開園日の表記!$A$2:$B$13,2,FALSE),""), "")</f>
        <v/>
      </c>
      <c r="L247" s="75" t="str">
        <f t="array" ref="L247">IFERROR(IF(INDEX(Kintoneデータ抽出!F:F, _xlfn.AGGREGATE(15, 6, ROW(Kintoneデータ抽出!$K$2:$K$5000) / ((Kintoneデータ抽出!$K$2:$K$5000="院内")), ROW(A210)))&lt;&gt;"",
IF(COUNTIF(INDEX(Kintoneデータ抽出!F:F, _xlfn.AGGREGATE(15, 6, ROW(Kintoneデータ抽出!$K$2:$K$5000) / ((Kintoneデータ抽出!$K$2:$K$5000="院内")), ROW(A210))),"*あり*"),"夜間",""),""), "")</f>
        <v/>
      </c>
      <c r="M247" s="75" t="str">
        <f t="array" ref="M247">IFERROR(IF(INDEX(Kintoneデータ抽出!I:I, _xlfn.AGGREGATE(15, 6, ROW(Kintoneデータ抽出!$K$2:$K$5000) / ((Kintoneデータ抽出!$K$2:$K$5000="院内")), ROW(A210)))&lt;&gt;"",
IF(COUNTIF(INDEX(Kintoneデータ抽出!I:I, _xlfn.AGGREGATE(15, 6, ROW(Kintoneデータ抽出!$K$2:$K$5000) / ((Kintoneデータ抽出!$K$2:$K$5000="院内")), ROW(A210))),"*あり*"),"学童",""),""), "")</f>
        <v/>
      </c>
      <c r="N247" s="75" t="str">
        <f t="array" ref="N247">IFERROR(IF(INDEX(Kintoneデータ抽出!H:H, _xlfn.AGGREGATE(15, 6, ROW(Kintoneデータ抽出!$K$2:$K$5000) / ((Kintoneデータ抽出!$K$2:$K$5000="院内")), ROW(A210)))&lt;&gt;"",
IF(COUNTIF(INDEX(Kintoneデータ抽出!H:H, _xlfn.AGGREGATE(15, 6, ROW(Kintoneデータ抽出!$K$2:$K$5000) / ((Kintoneデータ抽出!$K$2:$K$5000="院内")), ROW(A210))),"*あり*"),"病児",""),""), "")</f>
        <v/>
      </c>
      <c r="O247" s="94" t="str" cm="1">
        <f t="array" ref="O247">IFERROR(
IF(INDEX(Kintoneデータ抽出!M:M, _xlfn.AGGREGATE(15, 6, ROW(Kintoneデータ抽出!$K$2:$K$5000) / ((Kintoneデータ抽出!$K$2:$K$5000="院内")), ROW(A210)))&lt;&gt;0,INDEX(Kintoneデータ抽出!M:M, _xlfn.AGGREGATE(15, 6, ROW(Kintoneデータ抽出!$K$2:$K$5000) / ((Kintoneデータ抽出!$K$2:$K$5000="院内")), ROW(A210))),""), "")</f>
        <v/>
      </c>
      <c r="P247" s="78" t="str">
        <f t="array" ref="P247">IFERROR(IF(INDEX(Kintoneデータ抽出!L:L, _xlfn.AGGREGATE(15, 6, ROW(Kintoneデータ抽出!$K$2:$K$5000) / ((Kintoneデータ抽出!$K$2:$K$5000="院内")), ROW(A210)))&lt;&gt;"",
IF(COUNTIF(INDEX(Kintoneデータ抽出!L:L, _xlfn.AGGREGATE(15, 6, ROW(Kintoneデータ抽出!$K$2:$K$5000) / ((Kintoneデータ抽出!$K$2:$K$5000="院内")), ROW(A210))),"*企業主導型以外*"),"",
IF(COUNTIF(INDEX(Kintoneデータ抽出!L:L, _xlfn.AGGREGATE(15, 6, ROW(Kintoneデータ抽出!$K$2:$K$5000) / ((Kintoneデータ抽出!$K$2:$K$5000="院内")), ROW(A210))),"*その他*"),"",
IF(COUNTIF(INDEX(Kintoneデータ抽出!L:L, _xlfn.AGGREGATE(15, 6, ROW(Kintoneデータ抽出!$K$2:$K$5000) / ((Kintoneデータ抽出!$K$2:$K$5000="院内")), ROW(A210))),"*新制度*"),"新制度","企業主導型"))),""), "")</f>
        <v/>
      </c>
    </row>
    <row r="248" spans="2:16" ht="34.799999999999997" customHeight="1" x14ac:dyDescent="0.45">
      <c r="B248" s="45"/>
      <c r="C248" s="46"/>
      <c r="D248" s="98" t="str">
        <f t="shared" si="4"/>
        <v/>
      </c>
      <c r="E248" s="99"/>
      <c r="F248" s="75" t="str">
        <f t="array" ref="F248">IFERROR(INDEX(Kintoneデータ抽出!A:A, _xlfn.AGGREGATE(15, 6, ROW(Kintoneデータ抽出!$K$2:$K$5000) / ((Kintoneデータ抽出!$K$2:$K$5000="院内")), ROW(A211))), "")</f>
        <v/>
      </c>
      <c r="G248" s="77" t="str">
        <f t="array" ref="G248">IFERROR(INDEX(Kintoneデータ抽出!D:D, _xlfn.AGGREGATE(15, 6, ROW(Kintoneデータ抽出!$K$2:$K$5000) / ((Kintoneデータ抽出!$K$2:$K$5000="院内")), ROW(A211))), "")</f>
        <v/>
      </c>
      <c r="H248" s="77" t="str">
        <f t="array" ref="H248">IFERROR(INDEX(Kintoneデータ抽出!C:C, _xlfn.AGGREGATE(15, 6, ROW(Kintoneデータ抽出!$K$2:$K$5000) / ((Kintoneデータ抽出!$K$2:$K$5000="院内")), ROW(A211))), "")</f>
        <v/>
      </c>
      <c r="I248" s="75" t="str">
        <f t="array" ref="I248">IFERROR(IF(INDEX(Kintoneデータ抽出!G:G, _xlfn.AGGREGATE(15, 6, ROW(Kintoneデータ抽出!$K$2:$K$5000) / ((Kintoneデータ抽出!$K$2:$K$5000="院内")), ROW(A211)))&lt;&gt;"",INDEX(Kintoneデータ抽出!G:G, _xlfn.AGGREGATE(15, 6, ROW(Kintoneデータ抽出!$K$2:$K$5000) / ((Kintoneデータ抽出!$K$2:$K$5000="院内")), ROW(A211)))&amp;"名",""), "")</f>
        <v/>
      </c>
      <c r="J248" s="76" t="str">
        <f t="array" ref="J248">IFERROR(IF(INDEX(Kintoneデータ抽出!E:E, _xlfn.AGGREGATE(15, 6, ROW(Kintoneデータ抽出!$K$2:$K$5000) / ((Kintoneデータ抽出!$K$2:$K$5000="院内")), ROW(A211)))&lt;&gt;"",
YEAR(INDEX(Kintoneデータ抽出!E:E, _xlfn.AGGREGATE(15, 6, ROW(Kintoneデータ抽出!$K$2:$K$5000) / ((Kintoneデータ抽出!$K$2:$K$5000="院内")), ROW(A211))))&amp;"年"
&amp;MONTH(INDEX(Kintoneデータ抽出!E:E, _xlfn.AGGREGATE(15, 6, ROW(Kintoneデータ抽出!$K$2:$K$5000) / ((Kintoneデータ抽出!$K$2:$K$5000="院内")), ROW(A211))))&amp;"月"
&amp;DAY(INDEX(Kintoneデータ抽出!E:E, _xlfn.AGGREGATE(15, 6, ROW(Kintoneデータ抽出!$K$2:$K$5000) /((Kintoneデータ抽出!$K$2:$K$5000="院内")), ROW(A211))))&amp;"日",""), "")</f>
        <v/>
      </c>
      <c r="K248" s="77" t="str" cm="1">
        <f t="array" ref="K248">IFERROR(IF(INDEX(Kintoneデータ抽出!F:F, _xlfn.AGGREGATE(15, 6, ROW(Kintoneデータ抽出!$K$2:$K$5000) / ((Kintoneデータ抽出!$K$2:$K$5000="院内")), ROW(A211)))&lt;&gt;"",
VLOOKUP(INDEX(Kintoneデータ抽出!F:F, _xlfn.AGGREGATE(15, 6, ROW(Kintoneデータ抽出!$K$2:$K$5000) / ((Kintoneデータ抽出!$K$2:$K$5000="院内")), ROW(A211))),基本開園日の表記!$A$2:$B$13,2,FALSE),""), "")</f>
        <v/>
      </c>
      <c r="L248" s="75" t="str">
        <f t="array" ref="L248">IFERROR(IF(INDEX(Kintoneデータ抽出!F:F, _xlfn.AGGREGATE(15, 6, ROW(Kintoneデータ抽出!$K$2:$K$5000) / ((Kintoneデータ抽出!$K$2:$K$5000="院内")), ROW(A211)))&lt;&gt;"",
IF(COUNTIF(INDEX(Kintoneデータ抽出!F:F, _xlfn.AGGREGATE(15, 6, ROW(Kintoneデータ抽出!$K$2:$K$5000) / ((Kintoneデータ抽出!$K$2:$K$5000="院内")), ROW(A211))),"*あり*"),"夜間",""),""), "")</f>
        <v/>
      </c>
      <c r="M248" s="75" t="str">
        <f t="array" ref="M248">IFERROR(IF(INDEX(Kintoneデータ抽出!I:I, _xlfn.AGGREGATE(15, 6, ROW(Kintoneデータ抽出!$K$2:$K$5000) / ((Kintoneデータ抽出!$K$2:$K$5000="院内")), ROW(A211)))&lt;&gt;"",
IF(COUNTIF(INDEX(Kintoneデータ抽出!I:I, _xlfn.AGGREGATE(15, 6, ROW(Kintoneデータ抽出!$K$2:$K$5000) / ((Kintoneデータ抽出!$K$2:$K$5000="院内")), ROW(A211))),"*あり*"),"学童",""),""), "")</f>
        <v/>
      </c>
      <c r="N248" s="75" t="str">
        <f t="array" ref="N248">IFERROR(IF(INDEX(Kintoneデータ抽出!H:H, _xlfn.AGGREGATE(15, 6, ROW(Kintoneデータ抽出!$K$2:$K$5000) / ((Kintoneデータ抽出!$K$2:$K$5000="院内")), ROW(A211)))&lt;&gt;"",
IF(COUNTIF(INDEX(Kintoneデータ抽出!H:H, _xlfn.AGGREGATE(15, 6, ROW(Kintoneデータ抽出!$K$2:$K$5000) / ((Kintoneデータ抽出!$K$2:$K$5000="院内")), ROW(A211))),"*あり*"),"病児",""),""), "")</f>
        <v/>
      </c>
      <c r="O248" s="94" t="str" cm="1">
        <f t="array" ref="O248">IFERROR(
IF(INDEX(Kintoneデータ抽出!M:M, _xlfn.AGGREGATE(15, 6, ROW(Kintoneデータ抽出!$K$2:$K$5000) / ((Kintoneデータ抽出!$K$2:$K$5000="院内")), ROW(A211)))&lt;&gt;0,INDEX(Kintoneデータ抽出!M:M, _xlfn.AGGREGATE(15, 6, ROW(Kintoneデータ抽出!$K$2:$K$5000) / ((Kintoneデータ抽出!$K$2:$K$5000="院内")), ROW(A211))),""), "")</f>
        <v/>
      </c>
      <c r="P248" s="78" t="str">
        <f t="array" ref="P248">IFERROR(IF(INDEX(Kintoneデータ抽出!L:L, _xlfn.AGGREGATE(15, 6, ROW(Kintoneデータ抽出!$K$2:$K$5000) / ((Kintoneデータ抽出!$K$2:$K$5000="院内")), ROW(A211)))&lt;&gt;"",
IF(COUNTIF(INDEX(Kintoneデータ抽出!L:L, _xlfn.AGGREGATE(15, 6, ROW(Kintoneデータ抽出!$K$2:$K$5000) / ((Kintoneデータ抽出!$K$2:$K$5000="院内")), ROW(A211))),"*企業主導型以外*"),"",
IF(COUNTIF(INDEX(Kintoneデータ抽出!L:L, _xlfn.AGGREGATE(15, 6, ROW(Kintoneデータ抽出!$K$2:$K$5000) / ((Kintoneデータ抽出!$K$2:$K$5000="院内")), ROW(A211))),"*その他*"),"",
IF(COUNTIF(INDEX(Kintoneデータ抽出!L:L, _xlfn.AGGREGATE(15, 6, ROW(Kintoneデータ抽出!$K$2:$K$5000) / ((Kintoneデータ抽出!$K$2:$K$5000="院内")), ROW(A211))),"*新制度*"),"新制度","企業主導型"))),""), "")</f>
        <v/>
      </c>
    </row>
    <row r="249" spans="2:16" ht="34.799999999999997" customHeight="1" x14ac:dyDescent="0.45">
      <c r="B249" s="45"/>
      <c r="C249" s="46"/>
      <c r="D249" s="98" t="str">
        <f t="shared" si="4"/>
        <v/>
      </c>
      <c r="E249" s="99"/>
      <c r="F249" s="75" t="str">
        <f t="array" ref="F249">IFERROR(INDEX(Kintoneデータ抽出!A:A, _xlfn.AGGREGATE(15, 6, ROW(Kintoneデータ抽出!$K$2:$K$5000) / ((Kintoneデータ抽出!$K$2:$K$5000="院内")), ROW(A212))), "")</f>
        <v/>
      </c>
      <c r="G249" s="77" t="str">
        <f t="array" ref="G249">IFERROR(INDEX(Kintoneデータ抽出!D:D, _xlfn.AGGREGATE(15, 6, ROW(Kintoneデータ抽出!$K$2:$K$5000) / ((Kintoneデータ抽出!$K$2:$K$5000="院内")), ROW(A212))), "")</f>
        <v/>
      </c>
      <c r="H249" s="77" t="str">
        <f t="array" ref="H249">IFERROR(INDEX(Kintoneデータ抽出!C:C, _xlfn.AGGREGATE(15, 6, ROW(Kintoneデータ抽出!$K$2:$K$5000) / ((Kintoneデータ抽出!$K$2:$K$5000="院内")), ROW(A212))), "")</f>
        <v/>
      </c>
      <c r="I249" s="75" t="str">
        <f t="array" ref="I249">IFERROR(IF(INDEX(Kintoneデータ抽出!G:G, _xlfn.AGGREGATE(15, 6, ROW(Kintoneデータ抽出!$K$2:$K$5000) / ((Kintoneデータ抽出!$K$2:$K$5000="院内")), ROW(A212)))&lt;&gt;"",INDEX(Kintoneデータ抽出!G:G, _xlfn.AGGREGATE(15, 6, ROW(Kintoneデータ抽出!$K$2:$K$5000) / ((Kintoneデータ抽出!$K$2:$K$5000="院内")), ROW(A212)))&amp;"名",""), "")</f>
        <v/>
      </c>
      <c r="J249" s="76" t="str">
        <f t="array" ref="J249">IFERROR(IF(INDEX(Kintoneデータ抽出!E:E, _xlfn.AGGREGATE(15, 6, ROW(Kintoneデータ抽出!$K$2:$K$5000) / ((Kintoneデータ抽出!$K$2:$K$5000="院内")), ROW(A212)))&lt;&gt;"",
YEAR(INDEX(Kintoneデータ抽出!E:E, _xlfn.AGGREGATE(15, 6, ROW(Kintoneデータ抽出!$K$2:$K$5000) / ((Kintoneデータ抽出!$K$2:$K$5000="院内")), ROW(A212))))&amp;"年"
&amp;MONTH(INDEX(Kintoneデータ抽出!E:E, _xlfn.AGGREGATE(15, 6, ROW(Kintoneデータ抽出!$K$2:$K$5000) / ((Kintoneデータ抽出!$K$2:$K$5000="院内")), ROW(A212))))&amp;"月"
&amp;DAY(INDEX(Kintoneデータ抽出!E:E, _xlfn.AGGREGATE(15, 6, ROW(Kintoneデータ抽出!$K$2:$K$5000) /((Kintoneデータ抽出!$K$2:$K$5000="院内")), ROW(A212))))&amp;"日",""), "")</f>
        <v/>
      </c>
      <c r="K249" s="77" t="str" cm="1">
        <f t="array" ref="K249">IFERROR(IF(INDEX(Kintoneデータ抽出!F:F, _xlfn.AGGREGATE(15, 6, ROW(Kintoneデータ抽出!$K$2:$K$5000) / ((Kintoneデータ抽出!$K$2:$K$5000="院内")), ROW(A212)))&lt;&gt;"",
VLOOKUP(INDEX(Kintoneデータ抽出!F:F, _xlfn.AGGREGATE(15, 6, ROW(Kintoneデータ抽出!$K$2:$K$5000) / ((Kintoneデータ抽出!$K$2:$K$5000="院内")), ROW(A212))),基本開園日の表記!$A$2:$B$13,2,FALSE),""), "")</f>
        <v/>
      </c>
      <c r="L249" s="75" t="str">
        <f t="array" ref="L249">IFERROR(IF(INDEX(Kintoneデータ抽出!F:F, _xlfn.AGGREGATE(15, 6, ROW(Kintoneデータ抽出!$K$2:$K$5000) / ((Kintoneデータ抽出!$K$2:$K$5000="院内")), ROW(A212)))&lt;&gt;"",
IF(COUNTIF(INDEX(Kintoneデータ抽出!F:F, _xlfn.AGGREGATE(15, 6, ROW(Kintoneデータ抽出!$K$2:$K$5000) / ((Kintoneデータ抽出!$K$2:$K$5000="院内")), ROW(A212))),"*あり*"),"夜間",""),""), "")</f>
        <v/>
      </c>
      <c r="M249" s="75" t="str">
        <f t="array" ref="M249">IFERROR(IF(INDEX(Kintoneデータ抽出!I:I, _xlfn.AGGREGATE(15, 6, ROW(Kintoneデータ抽出!$K$2:$K$5000) / ((Kintoneデータ抽出!$K$2:$K$5000="院内")), ROW(A212)))&lt;&gt;"",
IF(COUNTIF(INDEX(Kintoneデータ抽出!I:I, _xlfn.AGGREGATE(15, 6, ROW(Kintoneデータ抽出!$K$2:$K$5000) / ((Kintoneデータ抽出!$K$2:$K$5000="院内")), ROW(A212))),"*あり*"),"学童",""),""), "")</f>
        <v/>
      </c>
      <c r="N249" s="75" t="str">
        <f t="array" ref="N249">IFERROR(IF(INDEX(Kintoneデータ抽出!H:H, _xlfn.AGGREGATE(15, 6, ROW(Kintoneデータ抽出!$K$2:$K$5000) / ((Kintoneデータ抽出!$K$2:$K$5000="院内")), ROW(A212)))&lt;&gt;"",
IF(COUNTIF(INDEX(Kintoneデータ抽出!H:H, _xlfn.AGGREGATE(15, 6, ROW(Kintoneデータ抽出!$K$2:$K$5000) / ((Kintoneデータ抽出!$K$2:$K$5000="院内")), ROW(A212))),"*あり*"),"病児",""),""), "")</f>
        <v/>
      </c>
      <c r="O249" s="94" t="str" cm="1">
        <f t="array" ref="O249">IFERROR(
IF(INDEX(Kintoneデータ抽出!M:M, _xlfn.AGGREGATE(15, 6, ROW(Kintoneデータ抽出!$K$2:$K$5000) / ((Kintoneデータ抽出!$K$2:$K$5000="院内")), ROW(A212)))&lt;&gt;0,INDEX(Kintoneデータ抽出!M:M, _xlfn.AGGREGATE(15, 6, ROW(Kintoneデータ抽出!$K$2:$K$5000) / ((Kintoneデータ抽出!$K$2:$K$5000="院内")), ROW(A212))),""), "")</f>
        <v/>
      </c>
      <c r="P249" s="78" t="str">
        <f t="array" ref="P249">IFERROR(IF(INDEX(Kintoneデータ抽出!L:L, _xlfn.AGGREGATE(15, 6, ROW(Kintoneデータ抽出!$K$2:$K$5000) / ((Kintoneデータ抽出!$K$2:$K$5000="院内")), ROW(A212)))&lt;&gt;"",
IF(COUNTIF(INDEX(Kintoneデータ抽出!L:L, _xlfn.AGGREGATE(15, 6, ROW(Kintoneデータ抽出!$K$2:$K$5000) / ((Kintoneデータ抽出!$K$2:$K$5000="院内")), ROW(A212))),"*企業主導型以外*"),"",
IF(COUNTIF(INDEX(Kintoneデータ抽出!L:L, _xlfn.AGGREGATE(15, 6, ROW(Kintoneデータ抽出!$K$2:$K$5000) / ((Kintoneデータ抽出!$K$2:$K$5000="院内")), ROW(A212))),"*その他*"),"",
IF(COUNTIF(INDEX(Kintoneデータ抽出!L:L, _xlfn.AGGREGATE(15, 6, ROW(Kintoneデータ抽出!$K$2:$K$5000) / ((Kintoneデータ抽出!$K$2:$K$5000="院内")), ROW(A212))),"*新制度*"),"新制度","企業主導型"))),""), "")</f>
        <v/>
      </c>
    </row>
    <row r="250" spans="2:16" ht="34.799999999999997" customHeight="1" x14ac:dyDescent="0.45">
      <c r="B250" s="45"/>
      <c r="C250" s="46"/>
      <c r="D250" s="98" t="str">
        <f t="shared" si="4"/>
        <v/>
      </c>
      <c r="E250" s="99"/>
      <c r="F250" s="75" t="str">
        <f t="array" ref="F250">IFERROR(INDEX(Kintoneデータ抽出!A:A, _xlfn.AGGREGATE(15, 6, ROW(Kintoneデータ抽出!$K$2:$K$5000) / ((Kintoneデータ抽出!$K$2:$K$5000="院内")), ROW(A213))), "")</f>
        <v/>
      </c>
      <c r="G250" s="77" t="str">
        <f t="array" ref="G250">IFERROR(INDEX(Kintoneデータ抽出!D:D, _xlfn.AGGREGATE(15, 6, ROW(Kintoneデータ抽出!$K$2:$K$5000) / ((Kintoneデータ抽出!$K$2:$K$5000="院内")), ROW(A213))), "")</f>
        <v/>
      </c>
      <c r="H250" s="77" t="str">
        <f t="array" ref="H250">IFERROR(INDEX(Kintoneデータ抽出!C:C, _xlfn.AGGREGATE(15, 6, ROW(Kintoneデータ抽出!$K$2:$K$5000) / ((Kintoneデータ抽出!$K$2:$K$5000="院内")), ROW(A213))), "")</f>
        <v/>
      </c>
      <c r="I250" s="75" t="str">
        <f t="array" ref="I250">IFERROR(IF(INDEX(Kintoneデータ抽出!G:G, _xlfn.AGGREGATE(15, 6, ROW(Kintoneデータ抽出!$K$2:$K$5000) / ((Kintoneデータ抽出!$K$2:$K$5000="院内")), ROW(A213)))&lt;&gt;"",INDEX(Kintoneデータ抽出!G:G, _xlfn.AGGREGATE(15, 6, ROW(Kintoneデータ抽出!$K$2:$K$5000) / ((Kintoneデータ抽出!$K$2:$K$5000="院内")), ROW(A213)))&amp;"名",""), "")</f>
        <v/>
      </c>
      <c r="J250" s="76" t="str">
        <f t="array" ref="J250">IFERROR(IF(INDEX(Kintoneデータ抽出!E:E, _xlfn.AGGREGATE(15, 6, ROW(Kintoneデータ抽出!$K$2:$K$5000) / ((Kintoneデータ抽出!$K$2:$K$5000="院内")), ROW(A213)))&lt;&gt;"",
YEAR(INDEX(Kintoneデータ抽出!E:E, _xlfn.AGGREGATE(15, 6, ROW(Kintoneデータ抽出!$K$2:$K$5000) / ((Kintoneデータ抽出!$K$2:$K$5000="院内")), ROW(A213))))&amp;"年"
&amp;MONTH(INDEX(Kintoneデータ抽出!E:E, _xlfn.AGGREGATE(15, 6, ROW(Kintoneデータ抽出!$K$2:$K$5000) / ((Kintoneデータ抽出!$K$2:$K$5000="院内")), ROW(A213))))&amp;"月"
&amp;DAY(INDEX(Kintoneデータ抽出!E:E, _xlfn.AGGREGATE(15, 6, ROW(Kintoneデータ抽出!$K$2:$K$5000) /((Kintoneデータ抽出!$K$2:$K$5000="院内")), ROW(A213))))&amp;"日",""), "")</f>
        <v/>
      </c>
      <c r="K250" s="77" t="str" cm="1">
        <f t="array" ref="K250">IFERROR(IF(INDEX(Kintoneデータ抽出!F:F, _xlfn.AGGREGATE(15, 6, ROW(Kintoneデータ抽出!$K$2:$K$5000) / ((Kintoneデータ抽出!$K$2:$K$5000="院内")), ROW(A213)))&lt;&gt;"",
VLOOKUP(INDEX(Kintoneデータ抽出!F:F, _xlfn.AGGREGATE(15, 6, ROW(Kintoneデータ抽出!$K$2:$K$5000) / ((Kintoneデータ抽出!$K$2:$K$5000="院内")), ROW(A213))),基本開園日の表記!$A$2:$B$13,2,FALSE),""), "")</f>
        <v/>
      </c>
      <c r="L250" s="75" t="str">
        <f t="array" ref="L250">IFERROR(IF(INDEX(Kintoneデータ抽出!F:F, _xlfn.AGGREGATE(15, 6, ROW(Kintoneデータ抽出!$K$2:$K$5000) / ((Kintoneデータ抽出!$K$2:$K$5000="院内")), ROW(A213)))&lt;&gt;"",
IF(COUNTIF(INDEX(Kintoneデータ抽出!F:F, _xlfn.AGGREGATE(15, 6, ROW(Kintoneデータ抽出!$K$2:$K$5000) / ((Kintoneデータ抽出!$K$2:$K$5000="院内")), ROW(A213))),"*あり*"),"夜間",""),""), "")</f>
        <v/>
      </c>
      <c r="M250" s="75" t="str">
        <f t="array" ref="M250">IFERROR(IF(INDEX(Kintoneデータ抽出!I:I, _xlfn.AGGREGATE(15, 6, ROW(Kintoneデータ抽出!$K$2:$K$5000) / ((Kintoneデータ抽出!$K$2:$K$5000="院内")), ROW(A213)))&lt;&gt;"",
IF(COUNTIF(INDEX(Kintoneデータ抽出!I:I, _xlfn.AGGREGATE(15, 6, ROW(Kintoneデータ抽出!$K$2:$K$5000) / ((Kintoneデータ抽出!$K$2:$K$5000="院内")), ROW(A213))),"*あり*"),"学童",""),""), "")</f>
        <v/>
      </c>
      <c r="N250" s="75" t="str">
        <f t="array" ref="N250">IFERROR(IF(INDEX(Kintoneデータ抽出!H:H, _xlfn.AGGREGATE(15, 6, ROW(Kintoneデータ抽出!$K$2:$K$5000) / ((Kintoneデータ抽出!$K$2:$K$5000="院内")), ROW(A213)))&lt;&gt;"",
IF(COUNTIF(INDEX(Kintoneデータ抽出!H:H, _xlfn.AGGREGATE(15, 6, ROW(Kintoneデータ抽出!$K$2:$K$5000) / ((Kintoneデータ抽出!$K$2:$K$5000="院内")), ROW(A213))),"*あり*"),"病児",""),""), "")</f>
        <v/>
      </c>
      <c r="O250" s="94" t="str" cm="1">
        <f t="array" ref="O250">IFERROR(
IF(INDEX(Kintoneデータ抽出!M:M, _xlfn.AGGREGATE(15, 6, ROW(Kintoneデータ抽出!$K$2:$K$5000) / ((Kintoneデータ抽出!$K$2:$K$5000="院内")), ROW(A213)))&lt;&gt;0,INDEX(Kintoneデータ抽出!M:M, _xlfn.AGGREGATE(15, 6, ROW(Kintoneデータ抽出!$K$2:$K$5000) / ((Kintoneデータ抽出!$K$2:$K$5000="院内")), ROW(A213))),""), "")</f>
        <v/>
      </c>
      <c r="P250" s="78" t="str">
        <f t="array" ref="P250">IFERROR(IF(INDEX(Kintoneデータ抽出!L:L, _xlfn.AGGREGATE(15, 6, ROW(Kintoneデータ抽出!$K$2:$K$5000) / ((Kintoneデータ抽出!$K$2:$K$5000="院内")), ROW(A213)))&lt;&gt;"",
IF(COUNTIF(INDEX(Kintoneデータ抽出!L:L, _xlfn.AGGREGATE(15, 6, ROW(Kintoneデータ抽出!$K$2:$K$5000) / ((Kintoneデータ抽出!$K$2:$K$5000="院内")), ROW(A213))),"*企業主導型以外*"),"",
IF(COUNTIF(INDEX(Kintoneデータ抽出!L:L, _xlfn.AGGREGATE(15, 6, ROW(Kintoneデータ抽出!$K$2:$K$5000) / ((Kintoneデータ抽出!$K$2:$K$5000="院内")), ROW(A213))),"*その他*"),"",
IF(COUNTIF(INDEX(Kintoneデータ抽出!L:L, _xlfn.AGGREGATE(15, 6, ROW(Kintoneデータ抽出!$K$2:$K$5000) / ((Kintoneデータ抽出!$K$2:$K$5000="院内")), ROW(A213))),"*新制度*"),"新制度","企業主導型"))),""), "")</f>
        <v/>
      </c>
    </row>
    <row r="251" spans="2:16" ht="34.799999999999997" customHeight="1" x14ac:dyDescent="0.45">
      <c r="B251" s="45"/>
      <c r="C251" s="46"/>
      <c r="D251" s="98" t="str">
        <f t="shared" si="4"/>
        <v/>
      </c>
      <c r="E251" s="99"/>
      <c r="F251" s="75" t="str">
        <f t="array" ref="F251">IFERROR(INDEX(Kintoneデータ抽出!A:A, _xlfn.AGGREGATE(15, 6, ROW(Kintoneデータ抽出!$K$2:$K$5000) / ((Kintoneデータ抽出!$K$2:$K$5000="院内")), ROW(A214))), "")</f>
        <v/>
      </c>
      <c r="G251" s="77" t="str">
        <f t="array" ref="G251">IFERROR(INDEX(Kintoneデータ抽出!D:D, _xlfn.AGGREGATE(15, 6, ROW(Kintoneデータ抽出!$K$2:$K$5000) / ((Kintoneデータ抽出!$K$2:$K$5000="院内")), ROW(A214))), "")</f>
        <v/>
      </c>
      <c r="H251" s="77" t="str">
        <f t="array" ref="H251">IFERROR(INDEX(Kintoneデータ抽出!C:C, _xlfn.AGGREGATE(15, 6, ROW(Kintoneデータ抽出!$K$2:$K$5000) / ((Kintoneデータ抽出!$K$2:$K$5000="院内")), ROW(A214))), "")</f>
        <v/>
      </c>
      <c r="I251" s="75" t="str">
        <f t="array" ref="I251">IFERROR(IF(INDEX(Kintoneデータ抽出!G:G, _xlfn.AGGREGATE(15, 6, ROW(Kintoneデータ抽出!$K$2:$K$5000) / ((Kintoneデータ抽出!$K$2:$K$5000="院内")), ROW(A214)))&lt;&gt;"",INDEX(Kintoneデータ抽出!G:G, _xlfn.AGGREGATE(15, 6, ROW(Kintoneデータ抽出!$K$2:$K$5000) / ((Kintoneデータ抽出!$K$2:$K$5000="院内")), ROW(A214)))&amp;"名",""), "")</f>
        <v/>
      </c>
      <c r="J251" s="76" t="str">
        <f t="array" ref="J251">IFERROR(IF(INDEX(Kintoneデータ抽出!E:E, _xlfn.AGGREGATE(15, 6, ROW(Kintoneデータ抽出!$K$2:$K$5000) / ((Kintoneデータ抽出!$K$2:$K$5000="院内")), ROW(A214)))&lt;&gt;"",
YEAR(INDEX(Kintoneデータ抽出!E:E, _xlfn.AGGREGATE(15, 6, ROW(Kintoneデータ抽出!$K$2:$K$5000) / ((Kintoneデータ抽出!$K$2:$K$5000="院内")), ROW(A214))))&amp;"年"
&amp;MONTH(INDEX(Kintoneデータ抽出!E:E, _xlfn.AGGREGATE(15, 6, ROW(Kintoneデータ抽出!$K$2:$K$5000) / ((Kintoneデータ抽出!$K$2:$K$5000="院内")), ROW(A214))))&amp;"月"
&amp;DAY(INDEX(Kintoneデータ抽出!E:E, _xlfn.AGGREGATE(15, 6, ROW(Kintoneデータ抽出!$K$2:$K$5000) /((Kintoneデータ抽出!$K$2:$K$5000="院内")), ROW(A214))))&amp;"日",""), "")</f>
        <v/>
      </c>
      <c r="K251" s="77" t="str" cm="1">
        <f t="array" ref="K251">IFERROR(IF(INDEX(Kintoneデータ抽出!F:F, _xlfn.AGGREGATE(15, 6, ROW(Kintoneデータ抽出!$K$2:$K$5000) / ((Kintoneデータ抽出!$K$2:$K$5000="院内")), ROW(A214)))&lt;&gt;"",
VLOOKUP(INDEX(Kintoneデータ抽出!F:F, _xlfn.AGGREGATE(15, 6, ROW(Kintoneデータ抽出!$K$2:$K$5000) / ((Kintoneデータ抽出!$K$2:$K$5000="院内")), ROW(A214))),基本開園日の表記!$A$2:$B$13,2,FALSE),""), "")</f>
        <v/>
      </c>
      <c r="L251" s="75" t="str">
        <f t="array" ref="L251">IFERROR(IF(INDEX(Kintoneデータ抽出!F:F, _xlfn.AGGREGATE(15, 6, ROW(Kintoneデータ抽出!$K$2:$K$5000) / ((Kintoneデータ抽出!$K$2:$K$5000="院内")), ROW(A214)))&lt;&gt;"",
IF(COUNTIF(INDEX(Kintoneデータ抽出!F:F, _xlfn.AGGREGATE(15, 6, ROW(Kintoneデータ抽出!$K$2:$K$5000) / ((Kintoneデータ抽出!$K$2:$K$5000="院内")), ROW(A214))),"*あり*"),"夜間",""),""), "")</f>
        <v/>
      </c>
      <c r="M251" s="75" t="str">
        <f t="array" ref="M251">IFERROR(IF(INDEX(Kintoneデータ抽出!I:I, _xlfn.AGGREGATE(15, 6, ROW(Kintoneデータ抽出!$K$2:$K$5000) / ((Kintoneデータ抽出!$K$2:$K$5000="院内")), ROW(A214)))&lt;&gt;"",
IF(COUNTIF(INDEX(Kintoneデータ抽出!I:I, _xlfn.AGGREGATE(15, 6, ROW(Kintoneデータ抽出!$K$2:$K$5000) / ((Kintoneデータ抽出!$K$2:$K$5000="院内")), ROW(A214))),"*あり*"),"学童",""),""), "")</f>
        <v/>
      </c>
      <c r="N251" s="75" t="str">
        <f t="array" ref="N251">IFERROR(IF(INDEX(Kintoneデータ抽出!H:H, _xlfn.AGGREGATE(15, 6, ROW(Kintoneデータ抽出!$K$2:$K$5000) / ((Kintoneデータ抽出!$K$2:$K$5000="院内")), ROW(A214)))&lt;&gt;"",
IF(COUNTIF(INDEX(Kintoneデータ抽出!H:H, _xlfn.AGGREGATE(15, 6, ROW(Kintoneデータ抽出!$K$2:$K$5000) / ((Kintoneデータ抽出!$K$2:$K$5000="院内")), ROW(A214))),"*あり*"),"病児",""),""), "")</f>
        <v/>
      </c>
      <c r="O251" s="94" t="str" cm="1">
        <f t="array" ref="O251">IFERROR(
IF(INDEX(Kintoneデータ抽出!M:M, _xlfn.AGGREGATE(15, 6, ROW(Kintoneデータ抽出!$K$2:$K$5000) / ((Kintoneデータ抽出!$K$2:$K$5000="院内")), ROW(A214)))&lt;&gt;0,INDEX(Kintoneデータ抽出!M:M, _xlfn.AGGREGATE(15, 6, ROW(Kintoneデータ抽出!$K$2:$K$5000) / ((Kintoneデータ抽出!$K$2:$K$5000="院内")), ROW(A214))),""), "")</f>
        <v/>
      </c>
      <c r="P251" s="78" t="str">
        <f t="array" ref="P251">IFERROR(IF(INDEX(Kintoneデータ抽出!L:L, _xlfn.AGGREGATE(15, 6, ROW(Kintoneデータ抽出!$K$2:$K$5000) / ((Kintoneデータ抽出!$K$2:$K$5000="院内")), ROW(A214)))&lt;&gt;"",
IF(COUNTIF(INDEX(Kintoneデータ抽出!L:L, _xlfn.AGGREGATE(15, 6, ROW(Kintoneデータ抽出!$K$2:$K$5000) / ((Kintoneデータ抽出!$K$2:$K$5000="院内")), ROW(A214))),"*企業主導型以外*"),"",
IF(COUNTIF(INDEX(Kintoneデータ抽出!L:L, _xlfn.AGGREGATE(15, 6, ROW(Kintoneデータ抽出!$K$2:$K$5000) / ((Kintoneデータ抽出!$K$2:$K$5000="院内")), ROW(A214))),"*その他*"),"",
IF(COUNTIF(INDEX(Kintoneデータ抽出!L:L, _xlfn.AGGREGATE(15, 6, ROW(Kintoneデータ抽出!$K$2:$K$5000) / ((Kintoneデータ抽出!$K$2:$K$5000="院内")), ROW(A214))),"*新制度*"),"新制度","企業主導型"))),""), "")</f>
        <v/>
      </c>
    </row>
    <row r="252" spans="2:16" ht="34.799999999999997" customHeight="1" x14ac:dyDescent="0.45">
      <c r="B252" s="45"/>
      <c r="C252" s="46"/>
      <c r="D252" s="98" t="str">
        <f t="shared" si="4"/>
        <v/>
      </c>
      <c r="E252" s="99"/>
      <c r="F252" s="75" t="str">
        <f t="array" ref="F252">IFERROR(INDEX(Kintoneデータ抽出!A:A, _xlfn.AGGREGATE(15, 6, ROW(Kintoneデータ抽出!$K$2:$K$5000) / ((Kintoneデータ抽出!$K$2:$K$5000="院内")), ROW(A215))), "")</f>
        <v/>
      </c>
      <c r="G252" s="77" t="str">
        <f t="array" ref="G252">IFERROR(INDEX(Kintoneデータ抽出!D:D, _xlfn.AGGREGATE(15, 6, ROW(Kintoneデータ抽出!$K$2:$K$5000) / ((Kintoneデータ抽出!$K$2:$K$5000="院内")), ROW(A215))), "")</f>
        <v/>
      </c>
      <c r="H252" s="77" t="str">
        <f t="array" ref="H252">IFERROR(INDEX(Kintoneデータ抽出!C:C, _xlfn.AGGREGATE(15, 6, ROW(Kintoneデータ抽出!$K$2:$K$5000) / ((Kintoneデータ抽出!$K$2:$K$5000="院内")), ROW(A215))), "")</f>
        <v/>
      </c>
      <c r="I252" s="75" t="str">
        <f t="array" ref="I252">IFERROR(IF(INDEX(Kintoneデータ抽出!G:G, _xlfn.AGGREGATE(15, 6, ROW(Kintoneデータ抽出!$K$2:$K$5000) / ((Kintoneデータ抽出!$K$2:$K$5000="院内")), ROW(A215)))&lt;&gt;"",INDEX(Kintoneデータ抽出!G:G, _xlfn.AGGREGATE(15, 6, ROW(Kintoneデータ抽出!$K$2:$K$5000) / ((Kintoneデータ抽出!$K$2:$K$5000="院内")), ROW(A215)))&amp;"名",""), "")</f>
        <v/>
      </c>
      <c r="J252" s="76" t="str">
        <f t="array" ref="J252">IFERROR(IF(INDEX(Kintoneデータ抽出!E:E, _xlfn.AGGREGATE(15, 6, ROW(Kintoneデータ抽出!$K$2:$K$5000) / ((Kintoneデータ抽出!$K$2:$K$5000="院内")), ROW(A215)))&lt;&gt;"",
YEAR(INDEX(Kintoneデータ抽出!E:E, _xlfn.AGGREGATE(15, 6, ROW(Kintoneデータ抽出!$K$2:$K$5000) / ((Kintoneデータ抽出!$K$2:$K$5000="院内")), ROW(A215))))&amp;"年"
&amp;MONTH(INDEX(Kintoneデータ抽出!E:E, _xlfn.AGGREGATE(15, 6, ROW(Kintoneデータ抽出!$K$2:$K$5000) / ((Kintoneデータ抽出!$K$2:$K$5000="院内")), ROW(A215))))&amp;"月"
&amp;DAY(INDEX(Kintoneデータ抽出!E:E, _xlfn.AGGREGATE(15, 6, ROW(Kintoneデータ抽出!$K$2:$K$5000) /((Kintoneデータ抽出!$K$2:$K$5000="院内")), ROW(A215))))&amp;"日",""), "")</f>
        <v/>
      </c>
      <c r="K252" s="77" t="str" cm="1">
        <f t="array" ref="K252">IFERROR(IF(INDEX(Kintoneデータ抽出!F:F, _xlfn.AGGREGATE(15, 6, ROW(Kintoneデータ抽出!$K$2:$K$5000) / ((Kintoneデータ抽出!$K$2:$K$5000="院内")), ROW(A215)))&lt;&gt;"",
VLOOKUP(INDEX(Kintoneデータ抽出!F:F, _xlfn.AGGREGATE(15, 6, ROW(Kintoneデータ抽出!$K$2:$K$5000) / ((Kintoneデータ抽出!$K$2:$K$5000="院内")), ROW(A215))),基本開園日の表記!$A$2:$B$13,2,FALSE),""), "")</f>
        <v/>
      </c>
      <c r="L252" s="75" t="str">
        <f t="array" ref="L252">IFERROR(IF(INDEX(Kintoneデータ抽出!F:F, _xlfn.AGGREGATE(15, 6, ROW(Kintoneデータ抽出!$K$2:$K$5000) / ((Kintoneデータ抽出!$K$2:$K$5000="院内")), ROW(A215)))&lt;&gt;"",
IF(COUNTIF(INDEX(Kintoneデータ抽出!F:F, _xlfn.AGGREGATE(15, 6, ROW(Kintoneデータ抽出!$K$2:$K$5000) / ((Kintoneデータ抽出!$K$2:$K$5000="院内")), ROW(A215))),"*あり*"),"夜間",""),""), "")</f>
        <v/>
      </c>
      <c r="M252" s="75" t="str">
        <f t="array" ref="M252">IFERROR(IF(INDEX(Kintoneデータ抽出!I:I, _xlfn.AGGREGATE(15, 6, ROW(Kintoneデータ抽出!$K$2:$K$5000) / ((Kintoneデータ抽出!$K$2:$K$5000="院内")), ROW(A215)))&lt;&gt;"",
IF(COUNTIF(INDEX(Kintoneデータ抽出!I:I, _xlfn.AGGREGATE(15, 6, ROW(Kintoneデータ抽出!$K$2:$K$5000) / ((Kintoneデータ抽出!$K$2:$K$5000="院内")), ROW(A215))),"*あり*"),"学童",""),""), "")</f>
        <v/>
      </c>
      <c r="N252" s="75" t="str">
        <f t="array" ref="N252">IFERROR(IF(INDEX(Kintoneデータ抽出!H:H, _xlfn.AGGREGATE(15, 6, ROW(Kintoneデータ抽出!$K$2:$K$5000) / ((Kintoneデータ抽出!$K$2:$K$5000="院内")), ROW(A215)))&lt;&gt;"",
IF(COUNTIF(INDEX(Kintoneデータ抽出!H:H, _xlfn.AGGREGATE(15, 6, ROW(Kintoneデータ抽出!$K$2:$K$5000) / ((Kintoneデータ抽出!$K$2:$K$5000="院内")), ROW(A215))),"*あり*"),"病児",""),""), "")</f>
        <v/>
      </c>
      <c r="O252" s="94" t="str" cm="1">
        <f t="array" ref="O252">IFERROR(
IF(INDEX(Kintoneデータ抽出!M:M, _xlfn.AGGREGATE(15, 6, ROW(Kintoneデータ抽出!$K$2:$K$5000) / ((Kintoneデータ抽出!$K$2:$K$5000="院内")), ROW(A215)))&lt;&gt;0,INDEX(Kintoneデータ抽出!M:M, _xlfn.AGGREGATE(15, 6, ROW(Kintoneデータ抽出!$K$2:$K$5000) / ((Kintoneデータ抽出!$K$2:$K$5000="院内")), ROW(A215))),""), "")</f>
        <v/>
      </c>
      <c r="P252" s="78" t="str">
        <f t="array" ref="P252">IFERROR(IF(INDEX(Kintoneデータ抽出!L:L, _xlfn.AGGREGATE(15, 6, ROW(Kintoneデータ抽出!$K$2:$K$5000) / ((Kintoneデータ抽出!$K$2:$K$5000="院内")), ROW(A215)))&lt;&gt;"",
IF(COUNTIF(INDEX(Kintoneデータ抽出!L:L, _xlfn.AGGREGATE(15, 6, ROW(Kintoneデータ抽出!$K$2:$K$5000) / ((Kintoneデータ抽出!$K$2:$K$5000="院内")), ROW(A215))),"*企業主導型以外*"),"",
IF(COUNTIF(INDEX(Kintoneデータ抽出!L:L, _xlfn.AGGREGATE(15, 6, ROW(Kintoneデータ抽出!$K$2:$K$5000) / ((Kintoneデータ抽出!$K$2:$K$5000="院内")), ROW(A215))),"*その他*"),"",
IF(COUNTIF(INDEX(Kintoneデータ抽出!L:L, _xlfn.AGGREGATE(15, 6, ROW(Kintoneデータ抽出!$K$2:$K$5000) / ((Kintoneデータ抽出!$K$2:$K$5000="院内")), ROW(A215))),"*新制度*"),"新制度","企業主導型"))),""), "")</f>
        <v/>
      </c>
    </row>
    <row r="253" spans="2:16" ht="34.799999999999997" customHeight="1" x14ac:dyDescent="0.45">
      <c r="B253" s="45"/>
      <c r="C253" s="46"/>
      <c r="D253" s="98" t="str">
        <f t="shared" si="4"/>
        <v/>
      </c>
      <c r="E253" s="99"/>
      <c r="F253" s="75" t="str">
        <f t="array" ref="F253">IFERROR(INDEX(Kintoneデータ抽出!A:A, _xlfn.AGGREGATE(15, 6, ROW(Kintoneデータ抽出!$K$2:$K$5000) / ((Kintoneデータ抽出!$K$2:$K$5000="院内")), ROW(A216))), "")</f>
        <v/>
      </c>
      <c r="G253" s="77" t="str">
        <f t="array" ref="G253">IFERROR(INDEX(Kintoneデータ抽出!D:D, _xlfn.AGGREGATE(15, 6, ROW(Kintoneデータ抽出!$K$2:$K$5000) / ((Kintoneデータ抽出!$K$2:$K$5000="院内")), ROW(A216))), "")</f>
        <v/>
      </c>
      <c r="H253" s="77" t="str">
        <f t="array" ref="H253">IFERROR(INDEX(Kintoneデータ抽出!C:C, _xlfn.AGGREGATE(15, 6, ROW(Kintoneデータ抽出!$K$2:$K$5000) / ((Kintoneデータ抽出!$K$2:$K$5000="院内")), ROW(A216))), "")</f>
        <v/>
      </c>
      <c r="I253" s="75" t="str">
        <f t="array" ref="I253">IFERROR(IF(INDEX(Kintoneデータ抽出!G:G, _xlfn.AGGREGATE(15, 6, ROW(Kintoneデータ抽出!$K$2:$K$5000) / ((Kintoneデータ抽出!$K$2:$K$5000="院内")), ROW(A216)))&lt;&gt;"",INDEX(Kintoneデータ抽出!G:G, _xlfn.AGGREGATE(15, 6, ROW(Kintoneデータ抽出!$K$2:$K$5000) / ((Kintoneデータ抽出!$K$2:$K$5000="院内")), ROW(A216)))&amp;"名",""), "")</f>
        <v/>
      </c>
      <c r="J253" s="76" t="str">
        <f t="array" ref="J253">IFERROR(IF(INDEX(Kintoneデータ抽出!E:E, _xlfn.AGGREGATE(15, 6, ROW(Kintoneデータ抽出!$K$2:$K$5000) / ((Kintoneデータ抽出!$K$2:$K$5000="院内")), ROW(A216)))&lt;&gt;"",
YEAR(INDEX(Kintoneデータ抽出!E:E, _xlfn.AGGREGATE(15, 6, ROW(Kintoneデータ抽出!$K$2:$K$5000) / ((Kintoneデータ抽出!$K$2:$K$5000="院内")), ROW(A216))))&amp;"年"
&amp;MONTH(INDEX(Kintoneデータ抽出!E:E, _xlfn.AGGREGATE(15, 6, ROW(Kintoneデータ抽出!$K$2:$K$5000) / ((Kintoneデータ抽出!$K$2:$K$5000="院内")), ROW(A216))))&amp;"月"
&amp;DAY(INDEX(Kintoneデータ抽出!E:E, _xlfn.AGGREGATE(15, 6, ROW(Kintoneデータ抽出!$K$2:$K$5000) /((Kintoneデータ抽出!$K$2:$K$5000="院内")), ROW(A216))))&amp;"日",""), "")</f>
        <v/>
      </c>
      <c r="K253" s="77" t="str" cm="1">
        <f t="array" ref="K253">IFERROR(IF(INDEX(Kintoneデータ抽出!F:F, _xlfn.AGGREGATE(15, 6, ROW(Kintoneデータ抽出!$K$2:$K$5000) / ((Kintoneデータ抽出!$K$2:$K$5000="院内")), ROW(A216)))&lt;&gt;"",
VLOOKUP(INDEX(Kintoneデータ抽出!F:F, _xlfn.AGGREGATE(15, 6, ROW(Kintoneデータ抽出!$K$2:$K$5000) / ((Kintoneデータ抽出!$K$2:$K$5000="院内")), ROW(A216))),基本開園日の表記!$A$2:$B$13,2,FALSE),""), "")</f>
        <v/>
      </c>
      <c r="L253" s="75" t="str">
        <f t="array" ref="L253">IFERROR(IF(INDEX(Kintoneデータ抽出!F:F, _xlfn.AGGREGATE(15, 6, ROW(Kintoneデータ抽出!$K$2:$K$5000) / ((Kintoneデータ抽出!$K$2:$K$5000="院内")), ROW(A216)))&lt;&gt;"",
IF(COUNTIF(INDEX(Kintoneデータ抽出!F:F, _xlfn.AGGREGATE(15, 6, ROW(Kintoneデータ抽出!$K$2:$K$5000) / ((Kintoneデータ抽出!$K$2:$K$5000="院内")), ROW(A216))),"*あり*"),"夜間",""),""), "")</f>
        <v/>
      </c>
      <c r="M253" s="75" t="str">
        <f t="array" ref="M253">IFERROR(IF(INDEX(Kintoneデータ抽出!I:I, _xlfn.AGGREGATE(15, 6, ROW(Kintoneデータ抽出!$K$2:$K$5000) / ((Kintoneデータ抽出!$K$2:$K$5000="院内")), ROW(A216)))&lt;&gt;"",
IF(COUNTIF(INDEX(Kintoneデータ抽出!I:I, _xlfn.AGGREGATE(15, 6, ROW(Kintoneデータ抽出!$K$2:$K$5000) / ((Kintoneデータ抽出!$K$2:$K$5000="院内")), ROW(A216))),"*あり*"),"学童",""),""), "")</f>
        <v/>
      </c>
      <c r="N253" s="75" t="str">
        <f t="array" ref="N253">IFERROR(IF(INDEX(Kintoneデータ抽出!H:H, _xlfn.AGGREGATE(15, 6, ROW(Kintoneデータ抽出!$K$2:$K$5000) / ((Kintoneデータ抽出!$K$2:$K$5000="院内")), ROW(A216)))&lt;&gt;"",
IF(COUNTIF(INDEX(Kintoneデータ抽出!H:H, _xlfn.AGGREGATE(15, 6, ROW(Kintoneデータ抽出!$K$2:$K$5000) / ((Kintoneデータ抽出!$K$2:$K$5000="院内")), ROW(A216))),"*あり*"),"病児",""),""), "")</f>
        <v/>
      </c>
      <c r="O253" s="94" t="str" cm="1">
        <f t="array" ref="O253">IFERROR(
IF(INDEX(Kintoneデータ抽出!M:M, _xlfn.AGGREGATE(15, 6, ROW(Kintoneデータ抽出!$K$2:$K$5000) / ((Kintoneデータ抽出!$K$2:$K$5000="院内")), ROW(A216)))&lt;&gt;0,INDEX(Kintoneデータ抽出!M:M, _xlfn.AGGREGATE(15, 6, ROW(Kintoneデータ抽出!$K$2:$K$5000) / ((Kintoneデータ抽出!$K$2:$K$5000="院内")), ROW(A216))),""), "")</f>
        <v/>
      </c>
      <c r="P253" s="78" t="str">
        <f t="array" ref="P253">IFERROR(IF(INDEX(Kintoneデータ抽出!L:L, _xlfn.AGGREGATE(15, 6, ROW(Kintoneデータ抽出!$K$2:$K$5000) / ((Kintoneデータ抽出!$K$2:$K$5000="院内")), ROW(A216)))&lt;&gt;"",
IF(COUNTIF(INDEX(Kintoneデータ抽出!L:L, _xlfn.AGGREGATE(15, 6, ROW(Kintoneデータ抽出!$K$2:$K$5000) / ((Kintoneデータ抽出!$K$2:$K$5000="院内")), ROW(A216))),"*企業主導型以外*"),"",
IF(COUNTIF(INDEX(Kintoneデータ抽出!L:L, _xlfn.AGGREGATE(15, 6, ROW(Kintoneデータ抽出!$K$2:$K$5000) / ((Kintoneデータ抽出!$K$2:$K$5000="院内")), ROW(A216))),"*その他*"),"",
IF(COUNTIF(INDEX(Kintoneデータ抽出!L:L, _xlfn.AGGREGATE(15, 6, ROW(Kintoneデータ抽出!$K$2:$K$5000) / ((Kintoneデータ抽出!$K$2:$K$5000="院内")), ROW(A216))),"*新制度*"),"新制度","企業主導型"))),""), "")</f>
        <v/>
      </c>
    </row>
    <row r="254" spans="2:16" ht="34.799999999999997" customHeight="1" x14ac:dyDescent="0.45">
      <c r="B254" s="45"/>
      <c r="C254" s="46"/>
      <c r="D254" s="98" t="str">
        <f t="shared" si="4"/>
        <v/>
      </c>
      <c r="E254" s="99"/>
      <c r="F254" s="75" t="str">
        <f t="array" ref="F254">IFERROR(INDEX(Kintoneデータ抽出!A:A, _xlfn.AGGREGATE(15, 6, ROW(Kintoneデータ抽出!$K$2:$K$5000) / ((Kintoneデータ抽出!$K$2:$K$5000="院内")), ROW(A217))), "")</f>
        <v/>
      </c>
      <c r="G254" s="77" t="str">
        <f t="array" ref="G254">IFERROR(INDEX(Kintoneデータ抽出!D:D, _xlfn.AGGREGATE(15, 6, ROW(Kintoneデータ抽出!$K$2:$K$5000) / ((Kintoneデータ抽出!$K$2:$K$5000="院内")), ROW(A217))), "")</f>
        <v/>
      </c>
      <c r="H254" s="77" t="str">
        <f t="array" ref="H254">IFERROR(INDEX(Kintoneデータ抽出!C:C, _xlfn.AGGREGATE(15, 6, ROW(Kintoneデータ抽出!$K$2:$K$5000) / ((Kintoneデータ抽出!$K$2:$K$5000="院内")), ROW(A217))), "")</f>
        <v/>
      </c>
      <c r="I254" s="75" t="str">
        <f t="array" ref="I254">IFERROR(IF(INDEX(Kintoneデータ抽出!G:G, _xlfn.AGGREGATE(15, 6, ROW(Kintoneデータ抽出!$K$2:$K$5000) / ((Kintoneデータ抽出!$K$2:$K$5000="院内")), ROW(A217)))&lt;&gt;"",INDEX(Kintoneデータ抽出!G:G, _xlfn.AGGREGATE(15, 6, ROW(Kintoneデータ抽出!$K$2:$K$5000) / ((Kintoneデータ抽出!$K$2:$K$5000="院内")), ROW(A217)))&amp;"名",""), "")</f>
        <v/>
      </c>
      <c r="J254" s="76" t="str">
        <f t="array" ref="J254">IFERROR(IF(INDEX(Kintoneデータ抽出!E:E, _xlfn.AGGREGATE(15, 6, ROW(Kintoneデータ抽出!$K$2:$K$5000) / ((Kintoneデータ抽出!$K$2:$K$5000="院内")), ROW(A217)))&lt;&gt;"",
YEAR(INDEX(Kintoneデータ抽出!E:E, _xlfn.AGGREGATE(15, 6, ROW(Kintoneデータ抽出!$K$2:$K$5000) / ((Kintoneデータ抽出!$K$2:$K$5000="院内")), ROW(A217))))&amp;"年"
&amp;MONTH(INDEX(Kintoneデータ抽出!E:E, _xlfn.AGGREGATE(15, 6, ROW(Kintoneデータ抽出!$K$2:$K$5000) / ((Kintoneデータ抽出!$K$2:$K$5000="院内")), ROW(A217))))&amp;"月"
&amp;DAY(INDEX(Kintoneデータ抽出!E:E, _xlfn.AGGREGATE(15, 6, ROW(Kintoneデータ抽出!$K$2:$K$5000) /((Kintoneデータ抽出!$K$2:$K$5000="院内")), ROW(A217))))&amp;"日",""), "")</f>
        <v/>
      </c>
      <c r="K254" s="77" t="str" cm="1">
        <f t="array" ref="K254">IFERROR(IF(INDEX(Kintoneデータ抽出!F:F, _xlfn.AGGREGATE(15, 6, ROW(Kintoneデータ抽出!$K$2:$K$5000) / ((Kintoneデータ抽出!$K$2:$K$5000="院内")), ROW(A217)))&lt;&gt;"",
VLOOKUP(INDEX(Kintoneデータ抽出!F:F, _xlfn.AGGREGATE(15, 6, ROW(Kintoneデータ抽出!$K$2:$K$5000) / ((Kintoneデータ抽出!$K$2:$K$5000="院内")), ROW(A217))),基本開園日の表記!$A$2:$B$13,2,FALSE),""), "")</f>
        <v/>
      </c>
      <c r="L254" s="75" t="str">
        <f t="array" ref="L254">IFERROR(IF(INDEX(Kintoneデータ抽出!F:F, _xlfn.AGGREGATE(15, 6, ROW(Kintoneデータ抽出!$K$2:$K$5000) / ((Kintoneデータ抽出!$K$2:$K$5000="院内")), ROW(A217)))&lt;&gt;"",
IF(COUNTIF(INDEX(Kintoneデータ抽出!F:F, _xlfn.AGGREGATE(15, 6, ROW(Kintoneデータ抽出!$K$2:$K$5000) / ((Kintoneデータ抽出!$K$2:$K$5000="院内")), ROW(A217))),"*あり*"),"夜間",""),""), "")</f>
        <v/>
      </c>
      <c r="M254" s="75" t="str">
        <f t="array" ref="M254">IFERROR(IF(INDEX(Kintoneデータ抽出!I:I, _xlfn.AGGREGATE(15, 6, ROW(Kintoneデータ抽出!$K$2:$K$5000) / ((Kintoneデータ抽出!$K$2:$K$5000="院内")), ROW(A217)))&lt;&gt;"",
IF(COUNTIF(INDEX(Kintoneデータ抽出!I:I, _xlfn.AGGREGATE(15, 6, ROW(Kintoneデータ抽出!$K$2:$K$5000) / ((Kintoneデータ抽出!$K$2:$K$5000="院内")), ROW(A217))),"*あり*"),"学童",""),""), "")</f>
        <v/>
      </c>
      <c r="N254" s="75" t="str">
        <f t="array" ref="N254">IFERROR(IF(INDEX(Kintoneデータ抽出!H:H, _xlfn.AGGREGATE(15, 6, ROW(Kintoneデータ抽出!$K$2:$K$5000) / ((Kintoneデータ抽出!$K$2:$K$5000="院内")), ROW(A217)))&lt;&gt;"",
IF(COUNTIF(INDEX(Kintoneデータ抽出!H:H, _xlfn.AGGREGATE(15, 6, ROW(Kintoneデータ抽出!$K$2:$K$5000) / ((Kintoneデータ抽出!$K$2:$K$5000="院内")), ROW(A217))),"*あり*"),"病児",""),""), "")</f>
        <v/>
      </c>
      <c r="O254" s="94" t="str" cm="1">
        <f t="array" ref="O254">IFERROR(
IF(INDEX(Kintoneデータ抽出!M:M, _xlfn.AGGREGATE(15, 6, ROW(Kintoneデータ抽出!$K$2:$K$5000) / ((Kintoneデータ抽出!$K$2:$K$5000="院内")), ROW(A217)))&lt;&gt;0,INDEX(Kintoneデータ抽出!M:M, _xlfn.AGGREGATE(15, 6, ROW(Kintoneデータ抽出!$K$2:$K$5000) / ((Kintoneデータ抽出!$K$2:$K$5000="院内")), ROW(A217))),""), "")</f>
        <v/>
      </c>
      <c r="P254" s="78" t="str">
        <f t="array" ref="P254">IFERROR(IF(INDEX(Kintoneデータ抽出!L:L, _xlfn.AGGREGATE(15, 6, ROW(Kintoneデータ抽出!$K$2:$K$5000) / ((Kintoneデータ抽出!$K$2:$K$5000="院内")), ROW(A217)))&lt;&gt;"",
IF(COUNTIF(INDEX(Kintoneデータ抽出!L:L, _xlfn.AGGREGATE(15, 6, ROW(Kintoneデータ抽出!$K$2:$K$5000) / ((Kintoneデータ抽出!$K$2:$K$5000="院内")), ROW(A217))),"*企業主導型以外*"),"",
IF(COUNTIF(INDEX(Kintoneデータ抽出!L:L, _xlfn.AGGREGATE(15, 6, ROW(Kintoneデータ抽出!$K$2:$K$5000) / ((Kintoneデータ抽出!$K$2:$K$5000="院内")), ROW(A217))),"*その他*"),"",
IF(COUNTIF(INDEX(Kintoneデータ抽出!L:L, _xlfn.AGGREGATE(15, 6, ROW(Kintoneデータ抽出!$K$2:$K$5000) / ((Kintoneデータ抽出!$K$2:$K$5000="院内")), ROW(A217))),"*新制度*"),"新制度","企業主導型"))),""), "")</f>
        <v/>
      </c>
    </row>
    <row r="255" spans="2:16" ht="34.799999999999997" customHeight="1" x14ac:dyDescent="0.45">
      <c r="B255" s="45"/>
      <c r="C255" s="46"/>
      <c r="D255" s="98" t="str">
        <f t="shared" si="4"/>
        <v/>
      </c>
      <c r="E255" s="99"/>
      <c r="F255" s="75" t="str">
        <f t="array" ref="F255">IFERROR(INDEX(Kintoneデータ抽出!A:A, _xlfn.AGGREGATE(15, 6, ROW(Kintoneデータ抽出!$K$2:$K$5000) / ((Kintoneデータ抽出!$K$2:$K$5000="院内")), ROW(A218))), "")</f>
        <v/>
      </c>
      <c r="G255" s="77" t="str">
        <f t="array" ref="G255">IFERROR(INDEX(Kintoneデータ抽出!D:D, _xlfn.AGGREGATE(15, 6, ROW(Kintoneデータ抽出!$K$2:$K$5000) / ((Kintoneデータ抽出!$K$2:$K$5000="院内")), ROW(A218))), "")</f>
        <v/>
      </c>
      <c r="H255" s="77" t="str">
        <f t="array" ref="H255">IFERROR(INDEX(Kintoneデータ抽出!C:C, _xlfn.AGGREGATE(15, 6, ROW(Kintoneデータ抽出!$K$2:$K$5000) / ((Kintoneデータ抽出!$K$2:$K$5000="院内")), ROW(A218))), "")</f>
        <v/>
      </c>
      <c r="I255" s="75" t="str">
        <f t="array" ref="I255">IFERROR(IF(INDEX(Kintoneデータ抽出!G:G, _xlfn.AGGREGATE(15, 6, ROW(Kintoneデータ抽出!$K$2:$K$5000) / ((Kintoneデータ抽出!$K$2:$K$5000="院内")), ROW(A218)))&lt;&gt;"",INDEX(Kintoneデータ抽出!G:G, _xlfn.AGGREGATE(15, 6, ROW(Kintoneデータ抽出!$K$2:$K$5000) / ((Kintoneデータ抽出!$K$2:$K$5000="院内")), ROW(A218)))&amp;"名",""), "")</f>
        <v/>
      </c>
      <c r="J255" s="76" t="str">
        <f t="array" ref="J255">IFERROR(IF(INDEX(Kintoneデータ抽出!E:E, _xlfn.AGGREGATE(15, 6, ROW(Kintoneデータ抽出!$K$2:$K$5000) / ((Kintoneデータ抽出!$K$2:$K$5000="院内")), ROW(A218)))&lt;&gt;"",
YEAR(INDEX(Kintoneデータ抽出!E:E, _xlfn.AGGREGATE(15, 6, ROW(Kintoneデータ抽出!$K$2:$K$5000) / ((Kintoneデータ抽出!$K$2:$K$5000="院内")), ROW(A218))))&amp;"年"
&amp;MONTH(INDEX(Kintoneデータ抽出!E:E, _xlfn.AGGREGATE(15, 6, ROW(Kintoneデータ抽出!$K$2:$K$5000) / ((Kintoneデータ抽出!$K$2:$K$5000="院内")), ROW(A218))))&amp;"月"
&amp;DAY(INDEX(Kintoneデータ抽出!E:E, _xlfn.AGGREGATE(15, 6, ROW(Kintoneデータ抽出!$K$2:$K$5000) /((Kintoneデータ抽出!$K$2:$K$5000="院内")), ROW(A218))))&amp;"日",""), "")</f>
        <v/>
      </c>
      <c r="K255" s="77" t="str" cm="1">
        <f t="array" ref="K255">IFERROR(IF(INDEX(Kintoneデータ抽出!F:F, _xlfn.AGGREGATE(15, 6, ROW(Kintoneデータ抽出!$K$2:$K$5000) / ((Kintoneデータ抽出!$K$2:$K$5000="院内")), ROW(A218)))&lt;&gt;"",
VLOOKUP(INDEX(Kintoneデータ抽出!F:F, _xlfn.AGGREGATE(15, 6, ROW(Kintoneデータ抽出!$K$2:$K$5000) / ((Kintoneデータ抽出!$K$2:$K$5000="院内")), ROW(A218))),基本開園日の表記!$A$2:$B$13,2,FALSE),""), "")</f>
        <v/>
      </c>
      <c r="L255" s="75" t="str">
        <f t="array" ref="L255">IFERROR(IF(INDEX(Kintoneデータ抽出!F:F, _xlfn.AGGREGATE(15, 6, ROW(Kintoneデータ抽出!$K$2:$K$5000) / ((Kintoneデータ抽出!$K$2:$K$5000="院内")), ROW(A218)))&lt;&gt;"",
IF(COUNTIF(INDEX(Kintoneデータ抽出!F:F, _xlfn.AGGREGATE(15, 6, ROW(Kintoneデータ抽出!$K$2:$K$5000) / ((Kintoneデータ抽出!$K$2:$K$5000="院内")), ROW(A218))),"*あり*"),"夜間",""),""), "")</f>
        <v/>
      </c>
      <c r="M255" s="75" t="str">
        <f t="array" ref="M255">IFERROR(IF(INDEX(Kintoneデータ抽出!I:I, _xlfn.AGGREGATE(15, 6, ROW(Kintoneデータ抽出!$K$2:$K$5000) / ((Kintoneデータ抽出!$K$2:$K$5000="院内")), ROW(A218)))&lt;&gt;"",
IF(COUNTIF(INDEX(Kintoneデータ抽出!I:I, _xlfn.AGGREGATE(15, 6, ROW(Kintoneデータ抽出!$K$2:$K$5000) / ((Kintoneデータ抽出!$K$2:$K$5000="院内")), ROW(A218))),"*あり*"),"学童",""),""), "")</f>
        <v/>
      </c>
      <c r="N255" s="75" t="str">
        <f t="array" ref="N255">IFERROR(IF(INDEX(Kintoneデータ抽出!H:H, _xlfn.AGGREGATE(15, 6, ROW(Kintoneデータ抽出!$K$2:$K$5000) / ((Kintoneデータ抽出!$K$2:$K$5000="院内")), ROW(A218)))&lt;&gt;"",
IF(COUNTIF(INDEX(Kintoneデータ抽出!H:H, _xlfn.AGGREGATE(15, 6, ROW(Kintoneデータ抽出!$K$2:$K$5000) / ((Kintoneデータ抽出!$K$2:$K$5000="院内")), ROW(A218))),"*あり*"),"病児",""),""), "")</f>
        <v/>
      </c>
      <c r="O255" s="94" t="str" cm="1">
        <f t="array" ref="O255">IFERROR(
IF(INDEX(Kintoneデータ抽出!M:M, _xlfn.AGGREGATE(15, 6, ROW(Kintoneデータ抽出!$K$2:$K$5000) / ((Kintoneデータ抽出!$K$2:$K$5000="院内")), ROW(A218)))&lt;&gt;0,INDEX(Kintoneデータ抽出!M:M, _xlfn.AGGREGATE(15, 6, ROW(Kintoneデータ抽出!$K$2:$K$5000) / ((Kintoneデータ抽出!$K$2:$K$5000="院内")), ROW(A218))),""), "")</f>
        <v/>
      </c>
      <c r="P255" s="78" t="str">
        <f t="array" ref="P255">IFERROR(IF(INDEX(Kintoneデータ抽出!L:L, _xlfn.AGGREGATE(15, 6, ROW(Kintoneデータ抽出!$K$2:$K$5000) / ((Kintoneデータ抽出!$K$2:$K$5000="院内")), ROW(A218)))&lt;&gt;"",
IF(COUNTIF(INDEX(Kintoneデータ抽出!L:L, _xlfn.AGGREGATE(15, 6, ROW(Kintoneデータ抽出!$K$2:$K$5000) / ((Kintoneデータ抽出!$K$2:$K$5000="院内")), ROW(A218))),"*企業主導型以外*"),"",
IF(COUNTIF(INDEX(Kintoneデータ抽出!L:L, _xlfn.AGGREGATE(15, 6, ROW(Kintoneデータ抽出!$K$2:$K$5000) / ((Kintoneデータ抽出!$K$2:$K$5000="院内")), ROW(A218))),"*その他*"),"",
IF(COUNTIF(INDEX(Kintoneデータ抽出!L:L, _xlfn.AGGREGATE(15, 6, ROW(Kintoneデータ抽出!$K$2:$K$5000) / ((Kintoneデータ抽出!$K$2:$K$5000="院内")), ROW(A218))),"*新制度*"),"新制度","企業主導型"))),""), "")</f>
        <v/>
      </c>
    </row>
    <row r="256" spans="2:16" ht="34.799999999999997" customHeight="1" x14ac:dyDescent="0.45">
      <c r="B256" s="45"/>
      <c r="C256" s="46"/>
      <c r="D256" s="98" t="str">
        <f t="shared" si="4"/>
        <v/>
      </c>
      <c r="E256" s="99"/>
      <c r="F256" s="75" t="str">
        <f t="array" ref="F256">IFERROR(INDEX(Kintoneデータ抽出!A:A, _xlfn.AGGREGATE(15, 6, ROW(Kintoneデータ抽出!$K$2:$K$5000) / ((Kintoneデータ抽出!$K$2:$K$5000="院内")), ROW(A219))), "")</f>
        <v/>
      </c>
      <c r="G256" s="77" t="str">
        <f t="array" ref="G256">IFERROR(INDEX(Kintoneデータ抽出!D:D, _xlfn.AGGREGATE(15, 6, ROW(Kintoneデータ抽出!$K$2:$K$5000) / ((Kintoneデータ抽出!$K$2:$K$5000="院内")), ROW(A219))), "")</f>
        <v/>
      </c>
      <c r="H256" s="77" t="str">
        <f t="array" ref="H256">IFERROR(INDEX(Kintoneデータ抽出!C:C, _xlfn.AGGREGATE(15, 6, ROW(Kintoneデータ抽出!$K$2:$K$5000) / ((Kintoneデータ抽出!$K$2:$K$5000="院内")), ROW(A219))), "")</f>
        <v/>
      </c>
      <c r="I256" s="75" t="str">
        <f t="array" ref="I256">IFERROR(IF(INDEX(Kintoneデータ抽出!G:G, _xlfn.AGGREGATE(15, 6, ROW(Kintoneデータ抽出!$K$2:$K$5000) / ((Kintoneデータ抽出!$K$2:$K$5000="院内")), ROW(A219)))&lt;&gt;"",INDEX(Kintoneデータ抽出!G:G, _xlfn.AGGREGATE(15, 6, ROW(Kintoneデータ抽出!$K$2:$K$5000) / ((Kintoneデータ抽出!$K$2:$K$5000="院内")), ROW(A219)))&amp;"名",""), "")</f>
        <v/>
      </c>
      <c r="J256" s="76" t="str">
        <f t="array" ref="J256">IFERROR(IF(INDEX(Kintoneデータ抽出!E:E, _xlfn.AGGREGATE(15, 6, ROW(Kintoneデータ抽出!$K$2:$K$5000) / ((Kintoneデータ抽出!$K$2:$K$5000="院内")), ROW(A219)))&lt;&gt;"",
YEAR(INDEX(Kintoneデータ抽出!E:E, _xlfn.AGGREGATE(15, 6, ROW(Kintoneデータ抽出!$K$2:$K$5000) / ((Kintoneデータ抽出!$K$2:$K$5000="院内")), ROW(A219))))&amp;"年"
&amp;MONTH(INDEX(Kintoneデータ抽出!E:E, _xlfn.AGGREGATE(15, 6, ROW(Kintoneデータ抽出!$K$2:$K$5000) / ((Kintoneデータ抽出!$K$2:$K$5000="院内")), ROW(A219))))&amp;"月"
&amp;DAY(INDEX(Kintoneデータ抽出!E:E, _xlfn.AGGREGATE(15, 6, ROW(Kintoneデータ抽出!$K$2:$K$5000) /((Kintoneデータ抽出!$K$2:$K$5000="院内")), ROW(A219))))&amp;"日",""), "")</f>
        <v/>
      </c>
      <c r="K256" s="77" t="str" cm="1">
        <f t="array" ref="K256">IFERROR(IF(INDEX(Kintoneデータ抽出!F:F, _xlfn.AGGREGATE(15, 6, ROW(Kintoneデータ抽出!$K$2:$K$5000) / ((Kintoneデータ抽出!$K$2:$K$5000="院内")), ROW(A219)))&lt;&gt;"",
VLOOKUP(INDEX(Kintoneデータ抽出!F:F, _xlfn.AGGREGATE(15, 6, ROW(Kintoneデータ抽出!$K$2:$K$5000) / ((Kintoneデータ抽出!$K$2:$K$5000="院内")), ROW(A219))),基本開園日の表記!$A$2:$B$13,2,FALSE),""), "")</f>
        <v/>
      </c>
      <c r="L256" s="75" t="str">
        <f t="array" ref="L256">IFERROR(IF(INDEX(Kintoneデータ抽出!F:F, _xlfn.AGGREGATE(15, 6, ROW(Kintoneデータ抽出!$K$2:$K$5000) / ((Kintoneデータ抽出!$K$2:$K$5000="院内")), ROW(A219)))&lt;&gt;"",
IF(COUNTIF(INDEX(Kintoneデータ抽出!F:F, _xlfn.AGGREGATE(15, 6, ROW(Kintoneデータ抽出!$K$2:$K$5000) / ((Kintoneデータ抽出!$K$2:$K$5000="院内")), ROW(A219))),"*あり*"),"夜間",""),""), "")</f>
        <v/>
      </c>
      <c r="M256" s="75" t="str">
        <f t="array" ref="M256">IFERROR(IF(INDEX(Kintoneデータ抽出!I:I, _xlfn.AGGREGATE(15, 6, ROW(Kintoneデータ抽出!$K$2:$K$5000) / ((Kintoneデータ抽出!$K$2:$K$5000="院内")), ROW(A219)))&lt;&gt;"",
IF(COUNTIF(INDEX(Kintoneデータ抽出!I:I, _xlfn.AGGREGATE(15, 6, ROW(Kintoneデータ抽出!$K$2:$K$5000) / ((Kintoneデータ抽出!$K$2:$K$5000="院内")), ROW(A219))),"*あり*"),"学童",""),""), "")</f>
        <v/>
      </c>
      <c r="N256" s="75" t="str">
        <f t="array" ref="N256">IFERROR(IF(INDEX(Kintoneデータ抽出!H:H, _xlfn.AGGREGATE(15, 6, ROW(Kintoneデータ抽出!$K$2:$K$5000) / ((Kintoneデータ抽出!$K$2:$K$5000="院内")), ROW(A219)))&lt;&gt;"",
IF(COUNTIF(INDEX(Kintoneデータ抽出!H:H, _xlfn.AGGREGATE(15, 6, ROW(Kintoneデータ抽出!$K$2:$K$5000) / ((Kintoneデータ抽出!$K$2:$K$5000="院内")), ROW(A219))),"*あり*"),"病児",""),""), "")</f>
        <v/>
      </c>
      <c r="O256" s="94" t="str" cm="1">
        <f t="array" ref="O256">IFERROR(
IF(INDEX(Kintoneデータ抽出!M:M, _xlfn.AGGREGATE(15, 6, ROW(Kintoneデータ抽出!$K$2:$K$5000) / ((Kintoneデータ抽出!$K$2:$K$5000="院内")), ROW(A219)))&lt;&gt;0,INDEX(Kintoneデータ抽出!M:M, _xlfn.AGGREGATE(15, 6, ROW(Kintoneデータ抽出!$K$2:$K$5000) / ((Kintoneデータ抽出!$K$2:$K$5000="院内")), ROW(A219))),""), "")</f>
        <v/>
      </c>
      <c r="P256" s="78" t="str">
        <f t="array" ref="P256">IFERROR(IF(INDEX(Kintoneデータ抽出!L:L, _xlfn.AGGREGATE(15, 6, ROW(Kintoneデータ抽出!$K$2:$K$5000) / ((Kintoneデータ抽出!$K$2:$K$5000="院内")), ROW(A219)))&lt;&gt;"",
IF(COUNTIF(INDEX(Kintoneデータ抽出!L:L, _xlfn.AGGREGATE(15, 6, ROW(Kintoneデータ抽出!$K$2:$K$5000) / ((Kintoneデータ抽出!$K$2:$K$5000="院内")), ROW(A219))),"*企業主導型以外*"),"",
IF(COUNTIF(INDEX(Kintoneデータ抽出!L:L, _xlfn.AGGREGATE(15, 6, ROW(Kintoneデータ抽出!$K$2:$K$5000) / ((Kintoneデータ抽出!$K$2:$K$5000="院内")), ROW(A219))),"*その他*"),"",
IF(COUNTIF(INDEX(Kintoneデータ抽出!L:L, _xlfn.AGGREGATE(15, 6, ROW(Kintoneデータ抽出!$K$2:$K$5000) / ((Kintoneデータ抽出!$K$2:$K$5000="院内")), ROW(A219))),"*新制度*"),"新制度","企業主導型"))),""), "")</f>
        <v/>
      </c>
    </row>
    <row r="257" spans="2:16" ht="34.799999999999997" customHeight="1" x14ac:dyDescent="0.45">
      <c r="B257" s="45"/>
      <c r="C257" s="46"/>
      <c r="D257" s="98" t="str">
        <f t="shared" si="4"/>
        <v/>
      </c>
      <c r="E257" s="99"/>
      <c r="F257" s="75" t="str">
        <f t="array" ref="F257">IFERROR(INDEX(Kintoneデータ抽出!A:A, _xlfn.AGGREGATE(15, 6, ROW(Kintoneデータ抽出!$K$2:$K$5000) / ((Kintoneデータ抽出!$K$2:$K$5000="院内")), ROW(A220))), "")</f>
        <v/>
      </c>
      <c r="G257" s="77" t="str">
        <f t="array" ref="G257">IFERROR(INDEX(Kintoneデータ抽出!D:D, _xlfn.AGGREGATE(15, 6, ROW(Kintoneデータ抽出!$K$2:$K$5000) / ((Kintoneデータ抽出!$K$2:$K$5000="院内")), ROW(A220))), "")</f>
        <v/>
      </c>
      <c r="H257" s="77" t="str">
        <f t="array" ref="H257">IFERROR(INDEX(Kintoneデータ抽出!C:C, _xlfn.AGGREGATE(15, 6, ROW(Kintoneデータ抽出!$K$2:$K$5000) / ((Kintoneデータ抽出!$K$2:$K$5000="院内")), ROW(A220))), "")</f>
        <v/>
      </c>
      <c r="I257" s="75" t="str">
        <f t="array" ref="I257">IFERROR(IF(INDEX(Kintoneデータ抽出!G:G, _xlfn.AGGREGATE(15, 6, ROW(Kintoneデータ抽出!$K$2:$K$5000) / ((Kintoneデータ抽出!$K$2:$K$5000="院内")), ROW(A220)))&lt;&gt;"",INDEX(Kintoneデータ抽出!G:G, _xlfn.AGGREGATE(15, 6, ROW(Kintoneデータ抽出!$K$2:$K$5000) / ((Kintoneデータ抽出!$K$2:$K$5000="院内")), ROW(A220)))&amp;"名",""), "")</f>
        <v/>
      </c>
      <c r="J257" s="76" t="str">
        <f t="array" ref="J257">IFERROR(IF(INDEX(Kintoneデータ抽出!E:E, _xlfn.AGGREGATE(15, 6, ROW(Kintoneデータ抽出!$K$2:$K$5000) / ((Kintoneデータ抽出!$K$2:$K$5000="院内")), ROW(A220)))&lt;&gt;"",
YEAR(INDEX(Kintoneデータ抽出!E:E, _xlfn.AGGREGATE(15, 6, ROW(Kintoneデータ抽出!$K$2:$K$5000) / ((Kintoneデータ抽出!$K$2:$K$5000="院内")), ROW(A220))))&amp;"年"
&amp;MONTH(INDEX(Kintoneデータ抽出!E:E, _xlfn.AGGREGATE(15, 6, ROW(Kintoneデータ抽出!$K$2:$K$5000) / ((Kintoneデータ抽出!$K$2:$K$5000="院内")), ROW(A220))))&amp;"月"
&amp;DAY(INDEX(Kintoneデータ抽出!E:E, _xlfn.AGGREGATE(15, 6, ROW(Kintoneデータ抽出!$K$2:$K$5000) /((Kintoneデータ抽出!$K$2:$K$5000="院内")), ROW(A220))))&amp;"日",""), "")</f>
        <v/>
      </c>
      <c r="K257" s="77" t="str" cm="1">
        <f t="array" ref="K257">IFERROR(IF(INDEX(Kintoneデータ抽出!F:F, _xlfn.AGGREGATE(15, 6, ROW(Kintoneデータ抽出!$K$2:$K$5000) / ((Kintoneデータ抽出!$K$2:$K$5000="院内")), ROW(A220)))&lt;&gt;"",
VLOOKUP(INDEX(Kintoneデータ抽出!F:F, _xlfn.AGGREGATE(15, 6, ROW(Kintoneデータ抽出!$K$2:$K$5000) / ((Kintoneデータ抽出!$K$2:$K$5000="院内")), ROW(A220))),基本開園日の表記!$A$2:$B$13,2,FALSE),""), "")</f>
        <v/>
      </c>
      <c r="L257" s="75" t="str">
        <f t="array" ref="L257">IFERROR(IF(INDEX(Kintoneデータ抽出!F:F, _xlfn.AGGREGATE(15, 6, ROW(Kintoneデータ抽出!$K$2:$K$5000) / ((Kintoneデータ抽出!$K$2:$K$5000="院内")), ROW(A220)))&lt;&gt;"",
IF(COUNTIF(INDEX(Kintoneデータ抽出!F:F, _xlfn.AGGREGATE(15, 6, ROW(Kintoneデータ抽出!$K$2:$K$5000) / ((Kintoneデータ抽出!$K$2:$K$5000="院内")), ROW(A220))),"*あり*"),"夜間",""),""), "")</f>
        <v/>
      </c>
      <c r="M257" s="75" t="str">
        <f t="array" ref="M257">IFERROR(IF(INDEX(Kintoneデータ抽出!I:I, _xlfn.AGGREGATE(15, 6, ROW(Kintoneデータ抽出!$K$2:$K$5000) / ((Kintoneデータ抽出!$K$2:$K$5000="院内")), ROW(A220)))&lt;&gt;"",
IF(COUNTIF(INDEX(Kintoneデータ抽出!I:I, _xlfn.AGGREGATE(15, 6, ROW(Kintoneデータ抽出!$K$2:$K$5000) / ((Kintoneデータ抽出!$K$2:$K$5000="院内")), ROW(A220))),"*あり*"),"学童",""),""), "")</f>
        <v/>
      </c>
      <c r="N257" s="75" t="str">
        <f t="array" ref="N257">IFERROR(IF(INDEX(Kintoneデータ抽出!H:H, _xlfn.AGGREGATE(15, 6, ROW(Kintoneデータ抽出!$K$2:$K$5000) / ((Kintoneデータ抽出!$K$2:$K$5000="院内")), ROW(A220)))&lt;&gt;"",
IF(COUNTIF(INDEX(Kintoneデータ抽出!H:H, _xlfn.AGGREGATE(15, 6, ROW(Kintoneデータ抽出!$K$2:$K$5000) / ((Kintoneデータ抽出!$K$2:$K$5000="院内")), ROW(A220))),"*あり*"),"病児",""),""), "")</f>
        <v/>
      </c>
      <c r="O257" s="94" t="str" cm="1">
        <f t="array" ref="O257">IFERROR(
IF(INDEX(Kintoneデータ抽出!M:M, _xlfn.AGGREGATE(15, 6, ROW(Kintoneデータ抽出!$K$2:$K$5000) / ((Kintoneデータ抽出!$K$2:$K$5000="院内")), ROW(A220)))&lt;&gt;0,INDEX(Kintoneデータ抽出!M:M, _xlfn.AGGREGATE(15, 6, ROW(Kintoneデータ抽出!$K$2:$K$5000) / ((Kintoneデータ抽出!$K$2:$K$5000="院内")), ROW(A220))),""), "")</f>
        <v/>
      </c>
      <c r="P257" s="78" t="str">
        <f t="array" ref="P257">IFERROR(IF(INDEX(Kintoneデータ抽出!L:L, _xlfn.AGGREGATE(15, 6, ROW(Kintoneデータ抽出!$K$2:$K$5000) / ((Kintoneデータ抽出!$K$2:$K$5000="院内")), ROW(A220)))&lt;&gt;"",
IF(COUNTIF(INDEX(Kintoneデータ抽出!L:L, _xlfn.AGGREGATE(15, 6, ROW(Kintoneデータ抽出!$K$2:$K$5000) / ((Kintoneデータ抽出!$K$2:$K$5000="院内")), ROW(A220))),"*企業主導型以外*"),"",
IF(COUNTIF(INDEX(Kintoneデータ抽出!L:L, _xlfn.AGGREGATE(15, 6, ROW(Kintoneデータ抽出!$K$2:$K$5000) / ((Kintoneデータ抽出!$K$2:$K$5000="院内")), ROW(A220))),"*その他*"),"",
IF(COUNTIF(INDEX(Kintoneデータ抽出!L:L, _xlfn.AGGREGATE(15, 6, ROW(Kintoneデータ抽出!$K$2:$K$5000) / ((Kintoneデータ抽出!$K$2:$K$5000="院内")), ROW(A220))),"*新制度*"),"新制度","企業主導型"))),""), "")</f>
        <v/>
      </c>
    </row>
    <row r="258" spans="2:16" ht="34.799999999999997" customHeight="1" x14ac:dyDescent="0.45">
      <c r="B258" s="45"/>
      <c r="C258" s="46"/>
      <c r="D258" s="98" t="str">
        <f t="shared" si="4"/>
        <v/>
      </c>
      <c r="E258" s="99"/>
      <c r="F258" s="75" t="str">
        <f t="array" ref="F258">IFERROR(INDEX(Kintoneデータ抽出!A:A, _xlfn.AGGREGATE(15, 6, ROW(Kintoneデータ抽出!$K$2:$K$5000) / ((Kintoneデータ抽出!$K$2:$K$5000="院内")), ROW(A221))), "")</f>
        <v/>
      </c>
      <c r="G258" s="77" t="str">
        <f t="array" ref="G258">IFERROR(INDEX(Kintoneデータ抽出!D:D, _xlfn.AGGREGATE(15, 6, ROW(Kintoneデータ抽出!$K$2:$K$5000) / ((Kintoneデータ抽出!$K$2:$K$5000="院内")), ROW(A221))), "")</f>
        <v/>
      </c>
      <c r="H258" s="77" t="str">
        <f t="array" ref="H258">IFERROR(INDEX(Kintoneデータ抽出!C:C, _xlfn.AGGREGATE(15, 6, ROW(Kintoneデータ抽出!$K$2:$K$5000) / ((Kintoneデータ抽出!$K$2:$K$5000="院内")), ROW(A221))), "")</f>
        <v/>
      </c>
      <c r="I258" s="75" t="str">
        <f t="array" ref="I258">IFERROR(IF(INDEX(Kintoneデータ抽出!G:G, _xlfn.AGGREGATE(15, 6, ROW(Kintoneデータ抽出!$K$2:$K$5000) / ((Kintoneデータ抽出!$K$2:$K$5000="院内")), ROW(A221)))&lt;&gt;"",INDEX(Kintoneデータ抽出!G:G, _xlfn.AGGREGATE(15, 6, ROW(Kintoneデータ抽出!$K$2:$K$5000) / ((Kintoneデータ抽出!$K$2:$K$5000="院内")), ROW(A221)))&amp;"名",""), "")</f>
        <v/>
      </c>
      <c r="J258" s="76" t="str">
        <f t="array" ref="J258">IFERROR(IF(INDEX(Kintoneデータ抽出!E:E, _xlfn.AGGREGATE(15, 6, ROW(Kintoneデータ抽出!$K$2:$K$5000) / ((Kintoneデータ抽出!$K$2:$K$5000="院内")), ROW(A221)))&lt;&gt;"",
YEAR(INDEX(Kintoneデータ抽出!E:E, _xlfn.AGGREGATE(15, 6, ROW(Kintoneデータ抽出!$K$2:$K$5000) / ((Kintoneデータ抽出!$K$2:$K$5000="院内")), ROW(A221))))&amp;"年"
&amp;MONTH(INDEX(Kintoneデータ抽出!E:E, _xlfn.AGGREGATE(15, 6, ROW(Kintoneデータ抽出!$K$2:$K$5000) / ((Kintoneデータ抽出!$K$2:$K$5000="院内")), ROW(A221))))&amp;"月"
&amp;DAY(INDEX(Kintoneデータ抽出!E:E, _xlfn.AGGREGATE(15, 6, ROW(Kintoneデータ抽出!$K$2:$K$5000) /((Kintoneデータ抽出!$K$2:$K$5000="院内")), ROW(A221))))&amp;"日",""), "")</f>
        <v/>
      </c>
      <c r="K258" s="77" t="str" cm="1">
        <f t="array" ref="K258">IFERROR(IF(INDEX(Kintoneデータ抽出!F:F, _xlfn.AGGREGATE(15, 6, ROW(Kintoneデータ抽出!$K$2:$K$5000) / ((Kintoneデータ抽出!$K$2:$K$5000="院内")), ROW(A221)))&lt;&gt;"",
VLOOKUP(INDEX(Kintoneデータ抽出!F:F, _xlfn.AGGREGATE(15, 6, ROW(Kintoneデータ抽出!$K$2:$K$5000) / ((Kintoneデータ抽出!$K$2:$K$5000="院内")), ROW(A221))),基本開園日の表記!$A$2:$B$13,2,FALSE),""), "")</f>
        <v/>
      </c>
      <c r="L258" s="75" t="str">
        <f t="array" ref="L258">IFERROR(IF(INDEX(Kintoneデータ抽出!F:F, _xlfn.AGGREGATE(15, 6, ROW(Kintoneデータ抽出!$K$2:$K$5000) / ((Kintoneデータ抽出!$K$2:$K$5000="院内")), ROW(A221)))&lt;&gt;"",
IF(COUNTIF(INDEX(Kintoneデータ抽出!F:F, _xlfn.AGGREGATE(15, 6, ROW(Kintoneデータ抽出!$K$2:$K$5000) / ((Kintoneデータ抽出!$K$2:$K$5000="院内")), ROW(A221))),"*あり*"),"夜間",""),""), "")</f>
        <v/>
      </c>
      <c r="M258" s="75" t="str">
        <f t="array" ref="M258">IFERROR(IF(INDEX(Kintoneデータ抽出!I:I, _xlfn.AGGREGATE(15, 6, ROW(Kintoneデータ抽出!$K$2:$K$5000) / ((Kintoneデータ抽出!$K$2:$K$5000="院内")), ROW(A221)))&lt;&gt;"",
IF(COUNTIF(INDEX(Kintoneデータ抽出!I:I, _xlfn.AGGREGATE(15, 6, ROW(Kintoneデータ抽出!$K$2:$K$5000) / ((Kintoneデータ抽出!$K$2:$K$5000="院内")), ROW(A221))),"*あり*"),"学童",""),""), "")</f>
        <v/>
      </c>
      <c r="N258" s="75" t="str">
        <f t="array" ref="N258">IFERROR(IF(INDEX(Kintoneデータ抽出!H:H, _xlfn.AGGREGATE(15, 6, ROW(Kintoneデータ抽出!$K$2:$K$5000) / ((Kintoneデータ抽出!$K$2:$K$5000="院内")), ROW(A221)))&lt;&gt;"",
IF(COUNTIF(INDEX(Kintoneデータ抽出!H:H, _xlfn.AGGREGATE(15, 6, ROW(Kintoneデータ抽出!$K$2:$K$5000) / ((Kintoneデータ抽出!$K$2:$K$5000="院内")), ROW(A221))),"*あり*"),"病児",""),""), "")</f>
        <v/>
      </c>
      <c r="O258" s="94" t="str" cm="1">
        <f t="array" ref="O258">IFERROR(
IF(INDEX(Kintoneデータ抽出!M:M, _xlfn.AGGREGATE(15, 6, ROW(Kintoneデータ抽出!$K$2:$K$5000) / ((Kintoneデータ抽出!$K$2:$K$5000="院内")), ROW(A221)))&lt;&gt;0,INDEX(Kintoneデータ抽出!M:M, _xlfn.AGGREGATE(15, 6, ROW(Kintoneデータ抽出!$K$2:$K$5000) / ((Kintoneデータ抽出!$K$2:$K$5000="院内")), ROW(A221))),""), "")</f>
        <v/>
      </c>
      <c r="P258" s="78" t="str">
        <f t="array" ref="P258">IFERROR(IF(INDEX(Kintoneデータ抽出!L:L, _xlfn.AGGREGATE(15, 6, ROW(Kintoneデータ抽出!$K$2:$K$5000) / ((Kintoneデータ抽出!$K$2:$K$5000="院内")), ROW(A221)))&lt;&gt;"",
IF(COUNTIF(INDEX(Kintoneデータ抽出!L:L, _xlfn.AGGREGATE(15, 6, ROW(Kintoneデータ抽出!$K$2:$K$5000) / ((Kintoneデータ抽出!$K$2:$K$5000="院内")), ROW(A221))),"*企業主導型以外*"),"",
IF(COUNTIF(INDEX(Kintoneデータ抽出!L:L, _xlfn.AGGREGATE(15, 6, ROW(Kintoneデータ抽出!$K$2:$K$5000) / ((Kintoneデータ抽出!$K$2:$K$5000="院内")), ROW(A221))),"*その他*"),"",
IF(COUNTIF(INDEX(Kintoneデータ抽出!L:L, _xlfn.AGGREGATE(15, 6, ROW(Kintoneデータ抽出!$K$2:$K$5000) / ((Kintoneデータ抽出!$K$2:$K$5000="院内")), ROW(A221))),"*新制度*"),"新制度","企業主導型"))),""), "")</f>
        <v/>
      </c>
    </row>
    <row r="259" spans="2:16" ht="34.799999999999997" customHeight="1" x14ac:dyDescent="0.45">
      <c r="B259" s="45"/>
      <c r="C259" s="46"/>
      <c r="D259" s="98" t="str">
        <f t="shared" si="4"/>
        <v/>
      </c>
      <c r="E259" s="99"/>
      <c r="F259" s="75" t="str">
        <f t="array" ref="F259">IFERROR(INDEX(Kintoneデータ抽出!A:A, _xlfn.AGGREGATE(15, 6, ROW(Kintoneデータ抽出!$K$2:$K$5000) / ((Kintoneデータ抽出!$K$2:$K$5000="院内")), ROW(A222))), "")</f>
        <v/>
      </c>
      <c r="G259" s="77" t="str">
        <f t="array" ref="G259">IFERROR(INDEX(Kintoneデータ抽出!D:D, _xlfn.AGGREGATE(15, 6, ROW(Kintoneデータ抽出!$K$2:$K$5000) / ((Kintoneデータ抽出!$K$2:$K$5000="院内")), ROW(A222))), "")</f>
        <v/>
      </c>
      <c r="H259" s="77" t="str">
        <f t="array" ref="H259">IFERROR(INDEX(Kintoneデータ抽出!C:C, _xlfn.AGGREGATE(15, 6, ROW(Kintoneデータ抽出!$K$2:$K$5000) / ((Kintoneデータ抽出!$K$2:$K$5000="院内")), ROW(A222))), "")</f>
        <v/>
      </c>
      <c r="I259" s="75" t="str">
        <f t="array" ref="I259">IFERROR(IF(INDEX(Kintoneデータ抽出!G:G, _xlfn.AGGREGATE(15, 6, ROW(Kintoneデータ抽出!$K$2:$K$5000) / ((Kintoneデータ抽出!$K$2:$K$5000="院内")), ROW(A222)))&lt;&gt;"",INDEX(Kintoneデータ抽出!G:G, _xlfn.AGGREGATE(15, 6, ROW(Kintoneデータ抽出!$K$2:$K$5000) / ((Kintoneデータ抽出!$K$2:$K$5000="院内")), ROW(A222)))&amp;"名",""), "")</f>
        <v/>
      </c>
      <c r="J259" s="76" t="str">
        <f t="array" ref="J259">IFERROR(IF(INDEX(Kintoneデータ抽出!E:E, _xlfn.AGGREGATE(15, 6, ROW(Kintoneデータ抽出!$K$2:$K$5000) / ((Kintoneデータ抽出!$K$2:$K$5000="院内")), ROW(A222)))&lt;&gt;"",
YEAR(INDEX(Kintoneデータ抽出!E:E, _xlfn.AGGREGATE(15, 6, ROW(Kintoneデータ抽出!$K$2:$K$5000) / ((Kintoneデータ抽出!$K$2:$K$5000="院内")), ROW(A222))))&amp;"年"
&amp;MONTH(INDEX(Kintoneデータ抽出!E:E, _xlfn.AGGREGATE(15, 6, ROW(Kintoneデータ抽出!$K$2:$K$5000) / ((Kintoneデータ抽出!$K$2:$K$5000="院内")), ROW(A222))))&amp;"月"
&amp;DAY(INDEX(Kintoneデータ抽出!E:E, _xlfn.AGGREGATE(15, 6, ROW(Kintoneデータ抽出!$K$2:$K$5000) /((Kintoneデータ抽出!$K$2:$K$5000="院内")), ROW(A222))))&amp;"日",""), "")</f>
        <v/>
      </c>
      <c r="K259" s="77" t="str" cm="1">
        <f t="array" ref="K259">IFERROR(IF(INDEX(Kintoneデータ抽出!F:F, _xlfn.AGGREGATE(15, 6, ROW(Kintoneデータ抽出!$K$2:$K$5000) / ((Kintoneデータ抽出!$K$2:$K$5000="院内")), ROW(A222)))&lt;&gt;"",
VLOOKUP(INDEX(Kintoneデータ抽出!F:F, _xlfn.AGGREGATE(15, 6, ROW(Kintoneデータ抽出!$K$2:$K$5000) / ((Kintoneデータ抽出!$K$2:$K$5000="院内")), ROW(A222))),基本開園日の表記!$A$2:$B$13,2,FALSE),""), "")</f>
        <v/>
      </c>
      <c r="L259" s="75" t="str">
        <f t="array" ref="L259">IFERROR(IF(INDEX(Kintoneデータ抽出!F:F, _xlfn.AGGREGATE(15, 6, ROW(Kintoneデータ抽出!$K$2:$K$5000) / ((Kintoneデータ抽出!$K$2:$K$5000="院内")), ROW(A222)))&lt;&gt;"",
IF(COUNTIF(INDEX(Kintoneデータ抽出!F:F, _xlfn.AGGREGATE(15, 6, ROW(Kintoneデータ抽出!$K$2:$K$5000) / ((Kintoneデータ抽出!$K$2:$K$5000="院内")), ROW(A222))),"*あり*"),"夜間",""),""), "")</f>
        <v/>
      </c>
      <c r="M259" s="75" t="str">
        <f t="array" ref="M259">IFERROR(IF(INDEX(Kintoneデータ抽出!I:I, _xlfn.AGGREGATE(15, 6, ROW(Kintoneデータ抽出!$K$2:$K$5000) / ((Kintoneデータ抽出!$K$2:$K$5000="院内")), ROW(A222)))&lt;&gt;"",
IF(COUNTIF(INDEX(Kintoneデータ抽出!I:I, _xlfn.AGGREGATE(15, 6, ROW(Kintoneデータ抽出!$K$2:$K$5000) / ((Kintoneデータ抽出!$K$2:$K$5000="院内")), ROW(A222))),"*あり*"),"学童",""),""), "")</f>
        <v/>
      </c>
      <c r="N259" s="75" t="str">
        <f t="array" ref="N259">IFERROR(IF(INDEX(Kintoneデータ抽出!H:H, _xlfn.AGGREGATE(15, 6, ROW(Kintoneデータ抽出!$K$2:$K$5000) / ((Kintoneデータ抽出!$K$2:$K$5000="院内")), ROW(A222)))&lt;&gt;"",
IF(COUNTIF(INDEX(Kintoneデータ抽出!H:H, _xlfn.AGGREGATE(15, 6, ROW(Kintoneデータ抽出!$K$2:$K$5000) / ((Kintoneデータ抽出!$K$2:$K$5000="院内")), ROW(A222))),"*あり*"),"病児",""),""), "")</f>
        <v/>
      </c>
      <c r="O259" s="94" t="str" cm="1">
        <f t="array" ref="O259">IFERROR(
IF(INDEX(Kintoneデータ抽出!M:M, _xlfn.AGGREGATE(15, 6, ROW(Kintoneデータ抽出!$K$2:$K$5000) / ((Kintoneデータ抽出!$K$2:$K$5000="院内")), ROW(A222)))&lt;&gt;0,INDEX(Kintoneデータ抽出!M:M, _xlfn.AGGREGATE(15, 6, ROW(Kintoneデータ抽出!$K$2:$K$5000) / ((Kintoneデータ抽出!$K$2:$K$5000="院内")), ROW(A222))),""), "")</f>
        <v/>
      </c>
      <c r="P259" s="78" t="str">
        <f t="array" ref="P259">IFERROR(IF(INDEX(Kintoneデータ抽出!L:L, _xlfn.AGGREGATE(15, 6, ROW(Kintoneデータ抽出!$K$2:$K$5000) / ((Kintoneデータ抽出!$K$2:$K$5000="院内")), ROW(A222)))&lt;&gt;"",
IF(COUNTIF(INDEX(Kintoneデータ抽出!L:L, _xlfn.AGGREGATE(15, 6, ROW(Kintoneデータ抽出!$K$2:$K$5000) / ((Kintoneデータ抽出!$K$2:$K$5000="院内")), ROW(A222))),"*企業主導型以外*"),"",
IF(COUNTIF(INDEX(Kintoneデータ抽出!L:L, _xlfn.AGGREGATE(15, 6, ROW(Kintoneデータ抽出!$K$2:$K$5000) / ((Kintoneデータ抽出!$K$2:$K$5000="院内")), ROW(A222))),"*その他*"),"",
IF(COUNTIF(INDEX(Kintoneデータ抽出!L:L, _xlfn.AGGREGATE(15, 6, ROW(Kintoneデータ抽出!$K$2:$K$5000) / ((Kintoneデータ抽出!$K$2:$K$5000="院内")), ROW(A222))),"*新制度*"),"新制度","企業主導型"))),""), "")</f>
        <v/>
      </c>
    </row>
    <row r="260" spans="2:16" ht="34.799999999999997" customHeight="1" x14ac:dyDescent="0.45">
      <c r="B260" s="45"/>
      <c r="C260" s="46"/>
      <c r="D260" s="98" t="str">
        <f t="shared" si="4"/>
        <v/>
      </c>
      <c r="E260" s="99"/>
      <c r="F260" s="75" t="str">
        <f t="array" ref="F260">IFERROR(INDEX(Kintoneデータ抽出!A:A, _xlfn.AGGREGATE(15, 6, ROW(Kintoneデータ抽出!$K$2:$K$5000) / ((Kintoneデータ抽出!$K$2:$K$5000="院内")), ROW(A223))), "")</f>
        <v/>
      </c>
      <c r="G260" s="77" t="str">
        <f t="array" ref="G260">IFERROR(INDEX(Kintoneデータ抽出!D:D, _xlfn.AGGREGATE(15, 6, ROW(Kintoneデータ抽出!$K$2:$K$5000) / ((Kintoneデータ抽出!$K$2:$K$5000="院内")), ROW(A223))), "")</f>
        <v/>
      </c>
      <c r="H260" s="77" t="str">
        <f t="array" ref="H260">IFERROR(INDEX(Kintoneデータ抽出!C:C, _xlfn.AGGREGATE(15, 6, ROW(Kintoneデータ抽出!$K$2:$K$5000) / ((Kintoneデータ抽出!$K$2:$K$5000="院内")), ROW(A223))), "")</f>
        <v/>
      </c>
      <c r="I260" s="75" t="str">
        <f t="array" ref="I260">IFERROR(IF(INDEX(Kintoneデータ抽出!G:G, _xlfn.AGGREGATE(15, 6, ROW(Kintoneデータ抽出!$K$2:$K$5000) / ((Kintoneデータ抽出!$K$2:$K$5000="院内")), ROW(A223)))&lt;&gt;"",INDEX(Kintoneデータ抽出!G:G, _xlfn.AGGREGATE(15, 6, ROW(Kintoneデータ抽出!$K$2:$K$5000) / ((Kintoneデータ抽出!$K$2:$K$5000="院内")), ROW(A223)))&amp;"名",""), "")</f>
        <v/>
      </c>
      <c r="J260" s="76" t="str">
        <f t="array" ref="J260">IFERROR(IF(INDEX(Kintoneデータ抽出!E:E, _xlfn.AGGREGATE(15, 6, ROW(Kintoneデータ抽出!$K$2:$K$5000) / ((Kintoneデータ抽出!$K$2:$K$5000="院内")), ROW(A223)))&lt;&gt;"",
YEAR(INDEX(Kintoneデータ抽出!E:E, _xlfn.AGGREGATE(15, 6, ROW(Kintoneデータ抽出!$K$2:$K$5000) / ((Kintoneデータ抽出!$K$2:$K$5000="院内")), ROW(A223))))&amp;"年"
&amp;MONTH(INDEX(Kintoneデータ抽出!E:E, _xlfn.AGGREGATE(15, 6, ROW(Kintoneデータ抽出!$K$2:$K$5000) / ((Kintoneデータ抽出!$K$2:$K$5000="院内")), ROW(A223))))&amp;"月"
&amp;DAY(INDEX(Kintoneデータ抽出!E:E, _xlfn.AGGREGATE(15, 6, ROW(Kintoneデータ抽出!$K$2:$K$5000) /((Kintoneデータ抽出!$K$2:$K$5000="院内")), ROW(A223))))&amp;"日",""), "")</f>
        <v/>
      </c>
      <c r="K260" s="77" t="str" cm="1">
        <f t="array" ref="K260">IFERROR(IF(INDEX(Kintoneデータ抽出!F:F, _xlfn.AGGREGATE(15, 6, ROW(Kintoneデータ抽出!$K$2:$K$5000) / ((Kintoneデータ抽出!$K$2:$K$5000="院内")), ROW(A223)))&lt;&gt;"",
VLOOKUP(INDEX(Kintoneデータ抽出!F:F, _xlfn.AGGREGATE(15, 6, ROW(Kintoneデータ抽出!$K$2:$K$5000) / ((Kintoneデータ抽出!$K$2:$K$5000="院内")), ROW(A223))),基本開園日の表記!$A$2:$B$13,2,FALSE),""), "")</f>
        <v/>
      </c>
      <c r="L260" s="75" t="str">
        <f t="array" ref="L260">IFERROR(IF(INDEX(Kintoneデータ抽出!F:F, _xlfn.AGGREGATE(15, 6, ROW(Kintoneデータ抽出!$K$2:$K$5000) / ((Kintoneデータ抽出!$K$2:$K$5000="院内")), ROW(A223)))&lt;&gt;"",
IF(COUNTIF(INDEX(Kintoneデータ抽出!F:F, _xlfn.AGGREGATE(15, 6, ROW(Kintoneデータ抽出!$K$2:$K$5000) / ((Kintoneデータ抽出!$K$2:$K$5000="院内")), ROW(A223))),"*あり*"),"夜間",""),""), "")</f>
        <v/>
      </c>
      <c r="M260" s="75" t="str">
        <f t="array" ref="M260">IFERROR(IF(INDEX(Kintoneデータ抽出!I:I, _xlfn.AGGREGATE(15, 6, ROW(Kintoneデータ抽出!$K$2:$K$5000) / ((Kintoneデータ抽出!$K$2:$K$5000="院内")), ROW(A223)))&lt;&gt;"",
IF(COUNTIF(INDEX(Kintoneデータ抽出!I:I, _xlfn.AGGREGATE(15, 6, ROW(Kintoneデータ抽出!$K$2:$K$5000) / ((Kintoneデータ抽出!$K$2:$K$5000="院内")), ROW(A223))),"*あり*"),"学童",""),""), "")</f>
        <v/>
      </c>
      <c r="N260" s="75" t="str">
        <f t="array" ref="N260">IFERROR(IF(INDEX(Kintoneデータ抽出!H:H, _xlfn.AGGREGATE(15, 6, ROW(Kintoneデータ抽出!$K$2:$K$5000) / ((Kintoneデータ抽出!$K$2:$K$5000="院内")), ROW(A223)))&lt;&gt;"",
IF(COUNTIF(INDEX(Kintoneデータ抽出!H:H, _xlfn.AGGREGATE(15, 6, ROW(Kintoneデータ抽出!$K$2:$K$5000) / ((Kintoneデータ抽出!$K$2:$K$5000="院内")), ROW(A223))),"*あり*"),"病児",""),""), "")</f>
        <v/>
      </c>
      <c r="O260" s="94" t="str" cm="1">
        <f t="array" ref="O260">IFERROR(
IF(INDEX(Kintoneデータ抽出!M:M, _xlfn.AGGREGATE(15, 6, ROW(Kintoneデータ抽出!$K$2:$K$5000) / ((Kintoneデータ抽出!$K$2:$K$5000="院内")), ROW(A223)))&lt;&gt;0,INDEX(Kintoneデータ抽出!M:M, _xlfn.AGGREGATE(15, 6, ROW(Kintoneデータ抽出!$K$2:$K$5000) / ((Kintoneデータ抽出!$K$2:$K$5000="院内")), ROW(A223))),""), "")</f>
        <v/>
      </c>
      <c r="P260" s="78" t="str">
        <f t="array" ref="P260">IFERROR(IF(INDEX(Kintoneデータ抽出!L:L, _xlfn.AGGREGATE(15, 6, ROW(Kintoneデータ抽出!$K$2:$K$5000) / ((Kintoneデータ抽出!$K$2:$K$5000="院内")), ROW(A223)))&lt;&gt;"",
IF(COUNTIF(INDEX(Kintoneデータ抽出!L:L, _xlfn.AGGREGATE(15, 6, ROW(Kintoneデータ抽出!$K$2:$K$5000) / ((Kintoneデータ抽出!$K$2:$K$5000="院内")), ROW(A223))),"*企業主導型以外*"),"",
IF(COUNTIF(INDEX(Kintoneデータ抽出!L:L, _xlfn.AGGREGATE(15, 6, ROW(Kintoneデータ抽出!$K$2:$K$5000) / ((Kintoneデータ抽出!$K$2:$K$5000="院内")), ROW(A223))),"*その他*"),"",
IF(COUNTIF(INDEX(Kintoneデータ抽出!L:L, _xlfn.AGGREGATE(15, 6, ROW(Kintoneデータ抽出!$K$2:$K$5000) / ((Kintoneデータ抽出!$K$2:$K$5000="院内")), ROW(A223))),"*新制度*"),"新制度","企業主導型"))),""), "")</f>
        <v/>
      </c>
    </row>
    <row r="261" spans="2:16" ht="34.799999999999997" customHeight="1" x14ac:dyDescent="0.45">
      <c r="B261" s="45"/>
      <c r="C261" s="46"/>
      <c r="D261" s="98" t="str">
        <f t="shared" si="4"/>
        <v/>
      </c>
      <c r="E261" s="99"/>
      <c r="F261" s="75" t="str">
        <f t="array" ref="F261">IFERROR(INDEX(Kintoneデータ抽出!A:A, _xlfn.AGGREGATE(15, 6, ROW(Kintoneデータ抽出!$K$2:$K$5000) / ((Kintoneデータ抽出!$K$2:$K$5000="院内")), ROW(A224))), "")</f>
        <v/>
      </c>
      <c r="G261" s="77" t="str">
        <f t="array" ref="G261">IFERROR(INDEX(Kintoneデータ抽出!D:D, _xlfn.AGGREGATE(15, 6, ROW(Kintoneデータ抽出!$K$2:$K$5000) / ((Kintoneデータ抽出!$K$2:$K$5000="院内")), ROW(A224))), "")</f>
        <v/>
      </c>
      <c r="H261" s="77" t="str">
        <f t="array" ref="H261">IFERROR(INDEX(Kintoneデータ抽出!C:C, _xlfn.AGGREGATE(15, 6, ROW(Kintoneデータ抽出!$K$2:$K$5000) / ((Kintoneデータ抽出!$K$2:$K$5000="院内")), ROW(A224))), "")</f>
        <v/>
      </c>
      <c r="I261" s="75" t="str">
        <f t="array" ref="I261">IFERROR(IF(INDEX(Kintoneデータ抽出!G:G, _xlfn.AGGREGATE(15, 6, ROW(Kintoneデータ抽出!$K$2:$K$5000) / ((Kintoneデータ抽出!$K$2:$K$5000="院内")), ROW(A224)))&lt;&gt;"",INDEX(Kintoneデータ抽出!G:G, _xlfn.AGGREGATE(15, 6, ROW(Kintoneデータ抽出!$K$2:$K$5000) / ((Kintoneデータ抽出!$K$2:$K$5000="院内")), ROW(A224)))&amp;"名",""), "")</f>
        <v/>
      </c>
      <c r="J261" s="76" t="str">
        <f t="array" ref="J261">IFERROR(IF(INDEX(Kintoneデータ抽出!E:E, _xlfn.AGGREGATE(15, 6, ROW(Kintoneデータ抽出!$K$2:$K$5000) / ((Kintoneデータ抽出!$K$2:$K$5000="院内")), ROW(A224)))&lt;&gt;"",
YEAR(INDEX(Kintoneデータ抽出!E:E, _xlfn.AGGREGATE(15, 6, ROW(Kintoneデータ抽出!$K$2:$K$5000) / ((Kintoneデータ抽出!$K$2:$K$5000="院内")), ROW(A224))))&amp;"年"
&amp;MONTH(INDEX(Kintoneデータ抽出!E:E, _xlfn.AGGREGATE(15, 6, ROW(Kintoneデータ抽出!$K$2:$K$5000) / ((Kintoneデータ抽出!$K$2:$K$5000="院内")), ROW(A224))))&amp;"月"
&amp;DAY(INDEX(Kintoneデータ抽出!E:E, _xlfn.AGGREGATE(15, 6, ROW(Kintoneデータ抽出!$K$2:$K$5000) /((Kintoneデータ抽出!$K$2:$K$5000="院内")), ROW(A224))))&amp;"日",""), "")</f>
        <v/>
      </c>
      <c r="K261" s="77" t="str" cm="1">
        <f t="array" ref="K261">IFERROR(IF(INDEX(Kintoneデータ抽出!F:F, _xlfn.AGGREGATE(15, 6, ROW(Kintoneデータ抽出!$K$2:$K$5000) / ((Kintoneデータ抽出!$K$2:$K$5000="院内")), ROW(A224)))&lt;&gt;"",
VLOOKUP(INDEX(Kintoneデータ抽出!F:F, _xlfn.AGGREGATE(15, 6, ROW(Kintoneデータ抽出!$K$2:$K$5000) / ((Kintoneデータ抽出!$K$2:$K$5000="院内")), ROW(A224))),基本開園日の表記!$A$2:$B$13,2,FALSE),""), "")</f>
        <v/>
      </c>
      <c r="L261" s="75" t="str">
        <f t="array" ref="L261">IFERROR(IF(INDEX(Kintoneデータ抽出!F:F, _xlfn.AGGREGATE(15, 6, ROW(Kintoneデータ抽出!$K$2:$K$5000) / ((Kintoneデータ抽出!$K$2:$K$5000="院内")), ROW(A224)))&lt;&gt;"",
IF(COUNTIF(INDEX(Kintoneデータ抽出!F:F, _xlfn.AGGREGATE(15, 6, ROW(Kintoneデータ抽出!$K$2:$K$5000) / ((Kintoneデータ抽出!$K$2:$K$5000="院内")), ROW(A224))),"*あり*"),"夜間",""),""), "")</f>
        <v/>
      </c>
      <c r="M261" s="75" t="str">
        <f t="array" ref="M261">IFERROR(IF(INDEX(Kintoneデータ抽出!I:I, _xlfn.AGGREGATE(15, 6, ROW(Kintoneデータ抽出!$K$2:$K$5000) / ((Kintoneデータ抽出!$K$2:$K$5000="院内")), ROW(A224)))&lt;&gt;"",
IF(COUNTIF(INDEX(Kintoneデータ抽出!I:I, _xlfn.AGGREGATE(15, 6, ROW(Kintoneデータ抽出!$K$2:$K$5000) / ((Kintoneデータ抽出!$K$2:$K$5000="院内")), ROW(A224))),"*あり*"),"学童",""),""), "")</f>
        <v/>
      </c>
      <c r="N261" s="75" t="str">
        <f t="array" ref="N261">IFERROR(IF(INDEX(Kintoneデータ抽出!H:H, _xlfn.AGGREGATE(15, 6, ROW(Kintoneデータ抽出!$K$2:$K$5000) / ((Kintoneデータ抽出!$K$2:$K$5000="院内")), ROW(A224)))&lt;&gt;"",
IF(COUNTIF(INDEX(Kintoneデータ抽出!H:H, _xlfn.AGGREGATE(15, 6, ROW(Kintoneデータ抽出!$K$2:$K$5000) / ((Kintoneデータ抽出!$K$2:$K$5000="院内")), ROW(A224))),"*あり*"),"病児",""),""), "")</f>
        <v/>
      </c>
      <c r="O261" s="94" t="str" cm="1">
        <f t="array" ref="O261">IFERROR(
IF(INDEX(Kintoneデータ抽出!M:M, _xlfn.AGGREGATE(15, 6, ROW(Kintoneデータ抽出!$K$2:$K$5000) / ((Kintoneデータ抽出!$K$2:$K$5000="院内")), ROW(A224)))&lt;&gt;0,INDEX(Kintoneデータ抽出!M:M, _xlfn.AGGREGATE(15, 6, ROW(Kintoneデータ抽出!$K$2:$K$5000) / ((Kintoneデータ抽出!$K$2:$K$5000="院内")), ROW(A224))),""), "")</f>
        <v/>
      </c>
      <c r="P261" s="78" t="str">
        <f t="array" ref="P261">IFERROR(IF(INDEX(Kintoneデータ抽出!L:L, _xlfn.AGGREGATE(15, 6, ROW(Kintoneデータ抽出!$K$2:$K$5000) / ((Kintoneデータ抽出!$K$2:$K$5000="院内")), ROW(A224)))&lt;&gt;"",
IF(COUNTIF(INDEX(Kintoneデータ抽出!L:L, _xlfn.AGGREGATE(15, 6, ROW(Kintoneデータ抽出!$K$2:$K$5000) / ((Kintoneデータ抽出!$K$2:$K$5000="院内")), ROW(A224))),"*企業主導型以外*"),"",
IF(COUNTIF(INDEX(Kintoneデータ抽出!L:L, _xlfn.AGGREGATE(15, 6, ROW(Kintoneデータ抽出!$K$2:$K$5000) / ((Kintoneデータ抽出!$K$2:$K$5000="院内")), ROW(A224))),"*その他*"),"",
IF(COUNTIF(INDEX(Kintoneデータ抽出!L:L, _xlfn.AGGREGATE(15, 6, ROW(Kintoneデータ抽出!$K$2:$K$5000) / ((Kintoneデータ抽出!$K$2:$K$5000="院内")), ROW(A224))),"*新制度*"),"新制度","企業主導型"))),""), "")</f>
        <v/>
      </c>
    </row>
    <row r="262" spans="2:16" ht="34.799999999999997" customHeight="1" x14ac:dyDescent="0.45">
      <c r="B262" s="45"/>
      <c r="C262" s="46"/>
      <c r="D262" s="98" t="str">
        <f t="shared" si="4"/>
        <v/>
      </c>
      <c r="E262" s="99"/>
      <c r="F262" s="75" t="str">
        <f t="array" ref="F262">IFERROR(INDEX(Kintoneデータ抽出!A:A, _xlfn.AGGREGATE(15, 6, ROW(Kintoneデータ抽出!$K$2:$K$5000) / ((Kintoneデータ抽出!$K$2:$K$5000="院内")), ROW(A225))), "")</f>
        <v/>
      </c>
      <c r="G262" s="77" t="str">
        <f t="array" ref="G262">IFERROR(INDEX(Kintoneデータ抽出!D:D, _xlfn.AGGREGATE(15, 6, ROW(Kintoneデータ抽出!$K$2:$K$5000) / ((Kintoneデータ抽出!$K$2:$K$5000="院内")), ROW(A225))), "")</f>
        <v/>
      </c>
      <c r="H262" s="77" t="str">
        <f t="array" ref="H262">IFERROR(INDEX(Kintoneデータ抽出!C:C, _xlfn.AGGREGATE(15, 6, ROW(Kintoneデータ抽出!$K$2:$K$5000) / ((Kintoneデータ抽出!$K$2:$K$5000="院内")), ROW(A225))), "")</f>
        <v/>
      </c>
      <c r="I262" s="75" t="str">
        <f t="array" ref="I262">IFERROR(IF(INDEX(Kintoneデータ抽出!G:G, _xlfn.AGGREGATE(15, 6, ROW(Kintoneデータ抽出!$K$2:$K$5000) / ((Kintoneデータ抽出!$K$2:$K$5000="院内")), ROW(A225)))&lt;&gt;"",INDEX(Kintoneデータ抽出!G:G, _xlfn.AGGREGATE(15, 6, ROW(Kintoneデータ抽出!$K$2:$K$5000) / ((Kintoneデータ抽出!$K$2:$K$5000="院内")), ROW(A225)))&amp;"名",""), "")</f>
        <v/>
      </c>
      <c r="J262" s="76" t="str">
        <f t="array" ref="J262">IFERROR(IF(INDEX(Kintoneデータ抽出!E:E, _xlfn.AGGREGATE(15, 6, ROW(Kintoneデータ抽出!$K$2:$K$5000) / ((Kintoneデータ抽出!$K$2:$K$5000="院内")), ROW(A225)))&lt;&gt;"",
YEAR(INDEX(Kintoneデータ抽出!E:E, _xlfn.AGGREGATE(15, 6, ROW(Kintoneデータ抽出!$K$2:$K$5000) / ((Kintoneデータ抽出!$K$2:$K$5000="院内")), ROW(A225))))&amp;"年"
&amp;MONTH(INDEX(Kintoneデータ抽出!E:E, _xlfn.AGGREGATE(15, 6, ROW(Kintoneデータ抽出!$K$2:$K$5000) / ((Kintoneデータ抽出!$K$2:$K$5000="院内")), ROW(A225))))&amp;"月"
&amp;DAY(INDEX(Kintoneデータ抽出!E:E, _xlfn.AGGREGATE(15, 6, ROW(Kintoneデータ抽出!$K$2:$K$5000) /((Kintoneデータ抽出!$K$2:$K$5000="院内")), ROW(A225))))&amp;"日",""), "")</f>
        <v/>
      </c>
      <c r="K262" s="77" t="str" cm="1">
        <f t="array" ref="K262">IFERROR(IF(INDEX(Kintoneデータ抽出!F:F, _xlfn.AGGREGATE(15, 6, ROW(Kintoneデータ抽出!$K$2:$K$5000) / ((Kintoneデータ抽出!$K$2:$K$5000="院内")), ROW(A225)))&lt;&gt;"",
VLOOKUP(INDEX(Kintoneデータ抽出!F:F, _xlfn.AGGREGATE(15, 6, ROW(Kintoneデータ抽出!$K$2:$K$5000) / ((Kintoneデータ抽出!$K$2:$K$5000="院内")), ROW(A225))),基本開園日の表記!$A$2:$B$13,2,FALSE),""), "")</f>
        <v/>
      </c>
      <c r="L262" s="75" t="str">
        <f t="array" ref="L262">IFERROR(IF(INDEX(Kintoneデータ抽出!F:F, _xlfn.AGGREGATE(15, 6, ROW(Kintoneデータ抽出!$K$2:$K$5000) / ((Kintoneデータ抽出!$K$2:$K$5000="院内")), ROW(A225)))&lt;&gt;"",
IF(COUNTIF(INDEX(Kintoneデータ抽出!F:F, _xlfn.AGGREGATE(15, 6, ROW(Kintoneデータ抽出!$K$2:$K$5000) / ((Kintoneデータ抽出!$K$2:$K$5000="院内")), ROW(A225))),"*あり*"),"夜間",""),""), "")</f>
        <v/>
      </c>
      <c r="M262" s="75" t="str">
        <f t="array" ref="M262">IFERROR(IF(INDEX(Kintoneデータ抽出!I:I, _xlfn.AGGREGATE(15, 6, ROW(Kintoneデータ抽出!$K$2:$K$5000) / ((Kintoneデータ抽出!$K$2:$K$5000="院内")), ROW(A225)))&lt;&gt;"",
IF(COUNTIF(INDEX(Kintoneデータ抽出!I:I, _xlfn.AGGREGATE(15, 6, ROW(Kintoneデータ抽出!$K$2:$K$5000) / ((Kintoneデータ抽出!$K$2:$K$5000="院内")), ROW(A225))),"*あり*"),"学童",""),""), "")</f>
        <v/>
      </c>
      <c r="N262" s="75" t="str">
        <f t="array" ref="N262">IFERROR(IF(INDEX(Kintoneデータ抽出!H:H, _xlfn.AGGREGATE(15, 6, ROW(Kintoneデータ抽出!$K$2:$K$5000) / ((Kintoneデータ抽出!$K$2:$K$5000="院内")), ROW(A225)))&lt;&gt;"",
IF(COUNTIF(INDEX(Kintoneデータ抽出!H:H, _xlfn.AGGREGATE(15, 6, ROW(Kintoneデータ抽出!$K$2:$K$5000) / ((Kintoneデータ抽出!$K$2:$K$5000="院内")), ROW(A225))),"*あり*"),"病児",""),""), "")</f>
        <v/>
      </c>
      <c r="O262" s="94" t="str" cm="1">
        <f t="array" ref="O262">IFERROR(
IF(INDEX(Kintoneデータ抽出!M:M, _xlfn.AGGREGATE(15, 6, ROW(Kintoneデータ抽出!$K$2:$K$5000) / ((Kintoneデータ抽出!$K$2:$K$5000="院内")), ROW(A225)))&lt;&gt;0,INDEX(Kintoneデータ抽出!M:M, _xlfn.AGGREGATE(15, 6, ROW(Kintoneデータ抽出!$K$2:$K$5000) / ((Kintoneデータ抽出!$K$2:$K$5000="院内")), ROW(A225))),""), "")</f>
        <v/>
      </c>
      <c r="P262" s="78" t="str">
        <f t="array" ref="P262">IFERROR(IF(INDEX(Kintoneデータ抽出!L:L, _xlfn.AGGREGATE(15, 6, ROW(Kintoneデータ抽出!$K$2:$K$5000) / ((Kintoneデータ抽出!$K$2:$K$5000="院内")), ROW(A225)))&lt;&gt;"",
IF(COUNTIF(INDEX(Kintoneデータ抽出!L:L, _xlfn.AGGREGATE(15, 6, ROW(Kintoneデータ抽出!$K$2:$K$5000) / ((Kintoneデータ抽出!$K$2:$K$5000="院内")), ROW(A225))),"*企業主導型以外*"),"",
IF(COUNTIF(INDEX(Kintoneデータ抽出!L:L, _xlfn.AGGREGATE(15, 6, ROW(Kintoneデータ抽出!$K$2:$K$5000) / ((Kintoneデータ抽出!$K$2:$K$5000="院内")), ROW(A225))),"*その他*"),"",
IF(COUNTIF(INDEX(Kintoneデータ抽出!L:L, _xlfn.AGGREGATE(15, 6, ROW(Kintoneデータ抽出!$K$2:$K$5000) / ((Kintoneデータ抽出!$K$2:$K$5000="院内")), ROW(A225))),"*新制度*"),"新制度","企業主導型"))),""), "")</f>
        <v/>
      </c>
    </row>
    <row r="263" spans="2:16" ht="34.799999999999997" customHeight="1" x14ac:dyDescent="0.45">
      <c r="B263" s="45"/>
      <c r="C263" s="46"/>
      <c r="D263" s="98" t="str">
        <f t="shared" si="4"/>
        <v/>
      </c>
      <c r="E263" s="99"/>
      <c r="F263" s="75" t="str">
        <f t="array" ref="F263">IFERROR(INDEX(Kintoneデータ抽出!A:A, _xlfn.AGGREGATE(15, 6, ROW(Kintoneデータ抽出!$K$2:$K$5000) / ((Kintoneデータ抽出!$K$2:$K$5000="院内")), ROW(A226))), "")</f>
        <v/>
      </c>
      <c r="G263" s="77" t="str">
        <f t="array" ref="G263">IFERROR(INDEX(Kintoneデータ抽出!D:D, _xlfn.AGGREGATE(15, 6, ROW(Kintoneデータ抽出!$K$2:$K$5000) / ((Kintoneデータ抽出!$K$2:$K$5000="院内")), ROW(A226))), "")</f>
        <v/>
      </c>
      <c r="H263" s="77" t="str">
        <f t="array" ref="H263">IFERROR(INDEX(Kintoneデータ抽出!C:C, _xlfn.AGGREGATE(15, 6, ROW(Kintoneデータ抽出!$K$2:$K$5000) / ((Kintoneデータ抽出!$K$2:$K$5000="院内")), ROW(A226))), "")</f>
        <v/>
      </c>
      <c r="I263" s="75" t="str">
        <f t="array" ref="I263">IFERROR(IF(INDEX(Kintoneデータ抽出!G:G, _xlfn.AGGREGATE(15, 6, ROW(Kintoneデータ抽出!$K$2:$K$5000) / ((Kintoneデータ抽出!$K$2:$K$5000="院内")), ROW(A226)))&lt;&gt;"",INDEX(Kintoneデータ抽出!G:G, _xlfn.AGGREGATE(15, 6, ROW(Kintoneデータ抽出!$K$2:$K$5000) / ((Kintoneデータ抽出!$K$2:$K$5000="院内")), ROW(A226)))&amp;"名",""), "")</f>
        <v/>
      </c>
      <c r="J263" s="76" t="str">
        <f t="array" ref="J263">IFERROR(IF(INDEX(Kintoneデータ抽出!E:E, _xlfn.AGGREGATE(15, 6, ROW(Kintoneデータ抽出!$K$2:$K$5000) / ((Kintoneデータ抽出!$K$2:$K$5000="院内")), ROW(A226)))&lt;&gt;"",
YEAR(INDEX(Kintoneデータ抽出!E:E, _xlfn.AGGREGATE(15, 6, ROW(Kintoneデータ抽出!$K$2:$K$5000) / ((Kintoneデータ抽出!$K$2:$K$5000="院内")), ROW(A226))))&amp;"年"
&amp;MONTH(INDEX(Kintoneデータ抽出!E:E, _xlfn.AGGREGATE(15, 6, ROW(Kintoneデータ抽出!$K$2:$K$5000) / ((Kintoneデータ抽出!$K$2:$K$5000="院内")), ROW(A226))))&amp;"月"
&amp;DAY(INDEX(Kintoneデータ抽出!E:E, _xlfn.AGGREGATE(15, 6, ROW(Kintoneデータ抽出!$K$2:$K$5000) /((Kintoneデータ抽出!$K$2:$K$5000="院内")), ROW(A226))))&amp;"日",""), "")</f>
        <v/>
      </c>
      <c r="K263" s="77" t="str" cm="1">
        <f t="array" ref="K263">IFERROR(IF(INDEX(Kintoneデータ抽出!F:F, _xlfn.AGGREGATE(15, 6, ROW(Kintoneデータ抽出!$K$2:$K$5000) / ((Kintoneデータ抽出!$K$2:$K$5000="院内")), ROW(A226)))&lt;&gt;"",
VLOOKUP(INDEX(Kintoneデータ抽出!F:F, _xlfn.AGGREGATE(15, 6, ROW(Kintoneデータ抽出!$K$2:$K$5000) / ((Kintoneデータ抽出!$K$2:$K$5000="院内")), ROW(A226))),基本開園日の表記!$A$2:$B$13,2,FALSE),""), "")</f>
        <v/>
      </c>
      <c r="L263" s="75" t="str">
        <f t="array" ref="L263">IFERROR(IF(INDEX(Kintoneデータ抽出!F:F, _xlfn.AGGREGATE(15, 6, ROW(Kintoneデータ抽出!$K$2:$K$5000) / ((Kintoneデータ抽出!$K$2:$K$5000="院内")), ROW(A226)))&lt;&gt;"",
IF(COUNTIF(INDEX(Kintoneデータ抽出!F:F, _xlfn.AGGREGATE(15, 6, ROW(Kintoneデータ抽出!$K$2:$K$5000) / ((Kintoneデータ抽出!$K$2:$K$5000="院内")), ROW(A226))),"*あり*"),"夜間",""),""), "")</f>
        <v/>
      </c>
      <c r="M263" s="75" t="str">
        <f t="array" ref="M263">IFERROR(IF(INDEX(Kintoneデータ抽出!I:I, _xlfn.AGGREGATE(15, 6, ROW(Kintoneデータ抽出!$K$2:$K$5000) / ((Kintoneデータ抽出!$K$2:$K$5000="院内")), ROW(A226)))&lt;&gt;"",
IF(COUNTIF(INDEX(Kintoneデータ抽出!I:I, _xlfn.AGGREGATE(15, 6, ROW(Kintoneデータ抽出!$K$2:$K$5000) / ((Kintoneデータ抽出!$K$2:$K$5000="院内")), ROW(A226))),"*あり*"),"学童",""),""), "")</f>
        <v/>
      </c>
      <c r="N263" s="75" t="str">
        <f t="array" ref="N263">IFERROR(IF(INDEX(Kintoneデータ抽出!H:H, _xlfn.AGGREGATE(15, 6, ROW(Kintoneデータ抽出!$K$2:$K$5000) / ((Kintoneデータ抽出!$K$2:$K$5000="院内")), ROW(A226)))&lt;&gt;"",
IF(COUNTIF(INDEX(Kintoneデータ抽出!H:H, _xlfn.AGGREGATE(15, 6, ROW(Kintoneデータ抽出!$K$2:$K$5000) / ((Kintoneデータ抽出!$K$2:$K$5000="院内")), ROW(A226))),"*あり*"),"病児",""),""), "")</f>
        <v/>
      </c>
      <c r="O263" s="94" t="str" cm="1">
        <f t="array" ref="O263">IFERROR(
IF(INDEX(Kintoneデータ抽出!M:M, _xlfn.AGGREGATE(15, 6, ROW(Kintoneデータ抽出!$K$2:$K$5000) / ((Kintoneデータ抽出!$K$2:$K$5000="院内")), ROW(A226)))&lt;&gt;0,INDEX(Kintoneデータ抽出!M:M, _xlfn.AGGREGATE(15, 6, ROW(Kintoneデータ抽出!$K$2:$K$5000) / ((Kintoneデータ抽出!$K$2:$K$5000="院内")), ROW(A226))),""), "")</f>
        <v/>
      </c>
      <c r="P263" s="78" t="str">
        <f t="array" ref="P263">IFERROR(IF(INDEX(Kintoneデータ抽出!L:L, _xlfn.AGGREGATE(15, 6, ROW(Kintoneデータ抽出!$K$2:$K$5000) / ((Kintoneデータ抽出!$K$2:$K$5000="院内")), ROW(A226)))&lt;&gt;"",
IF(COUNTIF(INDEX(Kintoneデータ抽出!L:L, _xlfn.AGGREGATE(15, 6, ROW(Kintoneデータ抽出!$K$2:$K$5000) / ((Kintoneデータ抽出!$K$2:$K$5000="院内")), ROW(A226))),"*企業主導型以外*"),"",
IF(COUNTIF(INDEX(Kintoneデータ抽出!L:L, _xlfn.AGGREGATE(15, 6, ROW(Kintoneデータ抽出!$K$2:$K$5000) / ((Kintoneデータ抽出!$K$2:$K$5000="院内")), ROW(A226))),"*その他*"),"",
IF(COUNTIF(INDEX(Kintoneデータ抽出!L:L, _xlfn.AGGREGATE(15, 6, ROW(Kintoneデータ抽出!$K$2:$K$5000) / ((Kintoneデータ抽出!$K$2:$K$5000="院内")), ROW(A226))),"*新制度*"),"新制度","企業主導型"))),""), "")</f>
        <v/>
      </c>
    </row>
    <row r="264" spans="2:16" ht="34.799999999999997" customHeight="1" x14ac:dyDescent="0.45">
      <c r="B264" s="47"/>
      <c r="C264" s="48"/>
      <c r="D264" s="98" t="str">
        <f t="shared" si="4"/>
        <v/>
      </c>
      <c r="E264" s="99"/>
      <c r="F264" s="75" t="str">
        <f t="array" ref="F264">IFERROR(INDEX(Kintoneデータ抽出!A:A, _xlfn.AGGREGATE(15, 6, ROW(Kintoneデータ抽出!$K$2:$K$5000) / ((Kintoneデータ抽出!$K$2:$K$5000="院内")), ROW(A227))), "")</f>
        <v/>
      </c>
      <c r="G264" s="77" t="str">
        <f t="array" ref="G264">IFERROR(INDEX(Kintoneデータ抽出!D:D, _xlfn.AGGREGATE(15, 6, ROW(Kintoneデータ抽出!$K$2:$K$5000) / ((Kintoneデータ抽出!$K$2:$K$5000="院内")), ROW(A227))), "")</f>
        <v/>
      </c>
      <c r="H264" s="77" t="str">
        <f t="array" ref="H264">IFERROR(INDEX(Kintoneデータ抽出!C:C, _xlfn.AGGREGATE(15, 6, ROW(Kintoneデータ抽出!$K$2:$K$5000) / ((Kintoneデータ抽出!$K$2:$K$5000="院内")), ROW(A227))), "")</f>
        <v/>
      </c>
      <c r="I264" s="75" t="str">
        <f t="array" ref="I264">IFERROR(IF(INDEX(Kintoneデータ抽出!G:G, _xlfn.AGGREGATE(15, 6, ROW(Kintoneデータ抽出!$K$2:$K$5000) / ((Kintoneデータ抽出!$K$2:$K$5000="院内")), ROW(A227)))&lt;&gt;"",INDEX(Kintoneデータ抽出!G:G, _xlfn.AGGREGATE(15, 6, ROW(Kintoneデータ抽出!$K$2:$K$5000) / ((Kintoneデータ抽出!$K$2:$K$5000="院内")), ROW(A227)))&amp;"名",""), "")</f>
        <v/>
      </c>
      <c r="J264" s="76" t="str">
        <f t="array" ref="J264">IFERROR(IF(INDEX(Kintoneデータ抽出!E:E, _xlfn.AGGREGATE(15, 6, ROW(Kintoneデータ抽出!$K$2:$K$5000) / ((Kintoneデータ抽出!$K$2:$K$5000="院内")), ROW(A227)))&lt;&gt;"",
YEAR(INDEX(Kintoneデータ抽出!E:E, _xlfn.AGGREGATE(15, 6, ROW(Kintoneデータ抽出!$K$2:$K$5000) / ((Kintoneデータ抽出!$K$2:$K$5000="院内")), ROW(A227))))&amp;"年"
&amp;MONTH(INDEX(Kintoneデータ抽出!E:E, _xlfn.AGGREGATE(15, 6, ROW(Kintoneデータ抽出!$K$2:$K$5000) / ((Kintoneデータ抽出!$K$2:$K$5000="院内")), ROW(A227))))&amp;"月"
&amp;DAY(INDEX(Kintoneデータ抽出!E:E, _xlfn.AGGREGATE(15, 6, ROW(Kintoneデータ抽出!$K$2:$K$5000) /((Kintoneデータ抽出!$K$2:$K$5000="院内")), ROW(A227))))&amp;"日",""), "")</f>
        <v/>
      </c>
      <c r="K264" s="77" t="str" cm="1">
        <f t="array" ref="K264">IFERROR(IF(INDEX(Kintoneデータ抽出!F:F, _xlfn.AGGREGATE(15, 6, ROW(Kintoneデータ抽出!$K$2:$K$5000) / ((Kintoneデータ抽出!$K$2:$K$5000="院内")), ROW(A227)))&lt;&gt;"",
VLOOKUP(INDEX(Kintoneデータ抽出!F:F, _xlfn.AGGREGATE(15, 6, ROW(Kintoneデータ抽出!$K$2:$K$5000) / ((Kintoneデータ抽出!$K$2:$K$5000="院内")), ROW(A227))),基本開園日の表記!$A$2:$B$13,2,FALSE),""), "")</f>
        <v/>
      </c>
      <c r="L264" s="75" t="str">
        <f t="array" ref="L264">IFERROR(IF(INDEX(Kintoneデータ抽出!F:F, _xlfn.AGGREGATE(15, 6, ROW(Kintoneデータ抽出!$K$2:$K$5000) / ((Kintoneデータ抽出!$K$2:$K$5000="院内")), ROW(A227)))&lt;&gt;"",
IF(COUNTIF(INDEX(Kintoneデータ抽出!F:F, _xlfn.AGGREGATE(15, 6, ROW(Kintoneデータ抽出!$K$2:$K$5000) / ((Kintoneデータ抽出!$K$2:$K$5000="院内")), ROW(A227))),"*あり*"),"夜間",""),""), "")</f>
        <v/>
      </c>
      <c r="M264" s="75" t="str">
        <f t="array" ref="M264">IFERROR(IF(INDEX(Kintoneデータ抽出!I:I, _xlfn.AGGREGATE(15, 6, ROW(Kintoneデータ抽出!$K$2:$K$5000) / ((Kintoneデータ抽出!$K$2:$K$5000="院内")), ROW(A227)))&lt;&gt;"",
IF(COUNTIF(INDEX(Kintoneデータ抽出!I:I, _xlfn.AGGREGATE(15, 6, ROW(Kintoneデータ抽出!$K$2:$K$5000) / ((Kintoneデータ抽出!$K$2:$K$5000="院内")), ROW(A227))),"*あり*"),"学童",""),""), "")</f>
        <v/>
      </c>
      <c r="N264" s="75" t="str">
        <f t="array" ref="N264">IFERROR(IF(INDEX(Kintoneデータ抽出!H:H, _xlfn.AGGREGATE(15, 6, ROW(Kintoneデータ抽出!$K$2:$K$5000) / ((Kintoneデータ抽出!$K$2:$K$5000="院内")), ROW(A227)))&lt;&gt;"",
IF(COUNTIF(INDEX(Kintoneデータ抽出!H:H, _xlfn.AGGREGATE(15, 6, ROW(Kintoneデータ抽出!$K$2:$K$5000) / ((Kintoneデータ抽出!$K$2:$K$5000="院内")), ROW(A227))),"*あり*"),"病児",""),""), "")</f>
        <v/>
      </c>
      <c r="O264" s="94" t="str" cm="1">
        <f t="array" ref="O264">IFERROR(
IF(INDEX(Kintoneデータ抽出!M:M, _xlfn.AGGREGATE(15, 6, ROW(Kintoneデータ抽出!$K$2:$K$5000) / ((Kintoneデータ抽出!$K$2:$K$5000="院内")), ROW(A227)))&lt;&gt;0,INDEX(Kintoneデータ抽出!M:M, _xlfn.AGGREGATE(15, 6, ROW(Kintoneデータ抽出!$K$2:$K$5000) / ((Kintoneデータ抽出!$K$2:$K$5000="院内")), ROW(A227))),""), "")</f>
        <v/>
      </c>
      <c r="P264" s="78" t="str">
        <f t="array" ref="P264">IFERROR(IF(INDEX(Kintoneデータ抽出!L:L, _xlfn.AGGREGATE(15, 6, ROW(Kintoneデータ抽出!$K$2:$K$5000) / ((Kintoneデータ抽出!$K$2:$K$5000="院内")), ROW(A227)))&lt;&gt;"",
IF(COUNTIF(INDEX(Kintoneデータ抽出!L:L, _xlfn.AGGREGATE(15, 6, ROW(Kintoneデータ抽出!$K$2:$K$5000) / ((Kintoneデータ抽出!$K$2:$K$5000="院内")), ROW(A227))),"*企業主導型以外*"),"",
IF(COUNTIF(INDEX(Kintoneデータ抽出!L:L, _xlfn.AGGREGATE(15, 6, ROW(Kintoneデータ抽出!$K$2:$K$5000) / ((Kintoneデータ抽出!$K$2:$K$5000="院内")), ROW(A227))),"*その他*"),"",
IF(COUNTIF(INDEX(Kintoneデータ抽出!L:L, _xlfn.AGGREGATE(15, 6, ROW(Kintoneデータ抽出!$K$2:$K$5000) / ((Kintoneデータ抽出!$K$2:$K$5000="院内")), ROW(A227))),"*新制度*"),"新制度","企業主導型"))),""), "")</f>
        <v/>
      </c>
    </row>
    <row r="265" spans="2:16" ht="34.799999999999997" customHeight="1" x14ac:dyDescent="0.45">
      <c r="B265" s="58" t="s">
        <v>43</v>
      </c>
      <c r="C265" s="50"/>
      <c r="D265" s="98" t="str">
        <f t="shared" si="4"/>
        <v/>
      </c>
      <c r="E265" s="99"/>
      <c r="F265" s="75" t="str">
        <f t="array" ref="F265">IFERROR(INDEX(Kintoneデータ抽出!A:A, _xlfn.AGGREGATE(15, 6, ROW(Kintoneデータ抽出!$K$2:$K$5000) / ((Kintoneデータ抽出!$K$2:$K$5000="院内")), ROW(A228))), "")</f>
        <v/>
      </c>
      <c r="G265" s="77" t="str">
        <f t="array" ref="G265">IFERROR(INDEX(Kintoneデータ抽出!D:D, _xlfn.AGGREGATE(15, 6, ROW(Kintoneデータ抽出!$K$2:$K$5000) / ((Kintoneデータ抽出!$K$2:$K$5000="院内")), ROW(A228))), "")</f>
        <v/>
      </c>
      <c r="H265" s="77" t="str">
        <f t="array" ref="H265">IFERROR(INDEX(Kintoneデータ抽出!C:C, _xlfn.AGGREGATE(15, 6, ROW(Kintoneデータ抽出!$K$2:$K$5000) / ((Kintoneデータ抽出!$K$2:$K$5000="院内")), ROW(A228))), "")</f>
        <v/>
      </c>
      <c r="I265" s="75" t="str">
        <f t="array" ref="I265">IFERROR(IF(INDEX(Kintoneデータ抽出!G:G, _xlfn.AGGREGATE(15, 6, ROW(Kintoneデータ抽出!$K$2:$K$5000) / ((Kintoneデータ抽出!$K$2:$K$5000="院内")), ROW(A228)))&lt;&gt;"",INDEX(Kintoneデータ抽出!G:G, _xlfn.AGGREGATE(15, 6, ROW(Kintoneデータ抽出!$K$2:$K$5000) / ((Kintoneデータ抽出!$K$2:$K$5000="院内")), ROW(A228)))&amp;"名",""), "")</f>
        <v/>
      </c>
      <c r="J265" s="76" t="str">
        <f t="array" ref="J265">IFERROR(IF(INDEX(Kintoneデータ抽出!E:E, _xlfn.AGGREGATE(15, 6, ROW(Kintoneデータ抽出!$K$2:$K$5000) / ((Kintoneデータ抽出!$K$2:$K$5000="院内")), ROW(A228)))&lt;&gt;"",
YEAR(INDEX(Kintoneデータ抽出!E:E, _xlfn.AGGREGATE(15, 6, ROW(Kintoneデータ抽出!$K$2:$K$5000) / ((Kintoneデータ抽出!$K$2:$K$5000="院内")), ROW(A228))))&amp;"年"
&amp;MONTH(INDEX(Kintoneデータ抽出!E:E, _xlfn.AGGREGATE(15, 6, ROW(Kintoneデータ抽出!$K$2:$K$5000) / ((Kintoneデータ抽出!$K$2:$K$5000="院内")), ROW(A228))))&amp;"月"
&amp;DAY(INDEX(Kintoneデータ抽出!E:E, _xlfn.AGGREGATE(15, 6, ROW(Kintoneデータ抽出!$K$2:$K$5000) /((Kintoneデータ抽出!$K$2:$K$5000="院内")), ROW(A228))))&amp;"日",""), "")</f>
        <v/>
      </c>
      <c r="K265" s="77" t="str" cm="1">
        <f t="array" ref="K265">IFERROR(IF(INDEX(Kintoneデータ抽出!F:F, _xlfn.AGGREGATE(15, 6, ROW(Kintoneデータ抽出!$K$2:$K$5000) / ((Kintoneデータ抽出!$K$2:$K$5000="院内")), ROW(A228)))&lt;&gt;"",
VLOOKUP(INDEX(Kintoneデータ抽出!F:F, _xlfn.AGGREGATE(15, 6, ROW(Kintoneデータ抽出!$K$2:$K$5000) / ((Kintoneデータ抽出!$K$2:$K$5000="院内")), ROW(A228))),基本開園日の表記!$A$2:$B$13,2,FALSE),""), "")</f>
        <v/>
      </c>
      <c r="L265" s="75" t="str">
        <f t="array" ref="L265">IFERROR(IF(INDEX(Kintoneデータ抽出!F:F, _xlfn.AGGREGATE(15, 6, ROW(Kintoneデータ抽出!$K$2:$K$5000) / ((Kintoneデータ抽出!$K$2:$K$5000="院内")), ROW(A228)))&lt;&gt;"",
IF(COUNTIF(INDEX(Kintoneデータ抽出!F:F, _xlfn.AGGREGATE(15, 6, ROW(Kintoneデータ抽出!$K$2:$K$5000) / ((Kintoneデータ抽出!$K$2:$K$5000="院内")), ROW(A228))),"*あり*"),"夜間",""),""), "")</f>
        <v/>
      </c>
      <c r="M265" s="75" t="str">
        <f t="array" ref="M265">IFERROR(IF(INDEX(Kintoneデータ抽出!I:I, _xlfn.AGGREGATE(15, 6, ROW(Kintoneデータ抽出!$K$2:$K$5000) / ((Kintoneデータ抽出!$K$2:$K$5000="院内")), ROW(A228)))&lt;&gt;"",
IF(COUNTIF(INDEX(Kintoneデータ抽出!I:I, _xlfn.AGGREGATE(15, 6, ROW(Kintoneデータ抽出!$K$2:$K$5000) / ((Kintoneデータ抽出!$K$2:$K$5000="院内")), ROW(A228))),"*あり*"),"学童",""),""), "")</f>
        <v/>
      </c>
      <c r="N265" s="75" t="str">
        <f t="array" ref="N265">IFERROR(IF(INDEX(Kintoneデータ抽出!H:H, _xlfn.AGGREGATE(15, 6, ROW(Kintoneデータ抽出!$K$2:$K$5000) / ((Kintoneデータ抽出!$K$2:$K$5000="院内")), ROW(A228)))&lt;&gt;"",
IF(COUNTIF(INDEX(Kintoneデータ抽出!H:H, _xlfn.AGGREGATE(15, 6, ROW(Kintoneデータ抽出!$K$2:$K$5000) / ((Kintoneデータ抽出!$K$2:$K$5000="院内")), ROW(A228))),"*あり*"),"病児",""),""), "")</f>
        <v/>
      </c>
      <c r="O265" s="94" t="str" cm="1">
        <f t="array" ref="O265">IFERROR(
IF(INDEX(Kintoneデータ抽出!M:M, _xlfn.AGGREGATE(15, 6, ROW(Kintoneデータ抽出!$K$2:$K$5000) / ((Kintoneデータ抽出!$K$2:$K$5000="院内")), ROW(A228)))&lt;&gt;0,INDEX(Kintoneデータ抽出!M:M, _xlfn.AGGREGATE(15, 6, ROW(Kintoneデータ抽出!$K$2:$K$5000) / ((Kintoneデータ抽出!$K$2:$K$5000="院内")), ROW(A228))),""), "")</f>
        <v/>
      </c>
      <c r="P265" s="78" t="str">
        <f t="array" ref="P265">IFERROR(IF(INDEX(Kintoneデータ抽出!L:L, _xlfn.AGGREGATE(15, 6, ROW(Kintoneデータ抽出!$K$2:$K$5000) / ((Kintoneデータ抽出!$K$2:$K$5000="院内")), ROW(A228)))&lt;&gt;"",
IF(COUNTIF(INDEX(Kintoneデータ抽出!L:L, _xlfn.AGGREGATE(15, 6, ROW(Kintoneデータ抽出!$K$2:$K$5000) / ((Kintoneデータ抽出!$K$2:$K$5000="院内")), ROW(A228))),"*企業主導型以外*"),"",
IF(COUNTIF(INDEX(Kintoneデータ抽出!L:L, _xlfn.AGGREGATE(15, 6, ROW(Kintoneデータ抽出!$K$2:$K$5000) / ((Kintoneデータ抽出!$K$2:$K$5000="院内")), ROW(A228))),"*その他*"),"",
IF(COUNTIF(INDEX(Kintoneデータ抽出!L:L, _xlfn.AGGREGATE(15, 6, ROW(Kintoneデータ抽出!$K$2:$K$5000) / ((Kintoneデータ抽出!$K$2:$K$5000="院内")), ROW(A228))),"*新制度*"),"新制度","企業主導型"))),""), "")</f>
        <v/>
      </c>
    </row>
    <row r="266" spans="2:16" ht="34.799999999999997" customHeight="1" x14ac:dyDescent="0.45">
      <c r="B266" s="45"/>
      <c r="C266" s="46"/>
      <c r="D266" s="98" t="str">
        <f t="shared" si="4"/>
        <v/>
      </c>
      <c r="E266" s="99"/>
      <c r="F266" s="75" t="str">
        <f t="array" ref="F266">IFERROR(INDEX(Kintoneデータ抽出!A:A, _xlfn.AGGREGATE(15, 6, ROW(Kintoneデータ抽出!$K$2:$K$5000) / ((Kintoneデータ抽出!$K$2:$K$5000="院内")), ROW(A229))), "")</f>
        <v/>
      </c>
      <c r="G266" s="77" t="str">
        <f t="array" ref="G266">IFERROR(INDEX(Kintoneデータ抽出!D:D, _xlfn.AGGREGATE(15, 6, ROW(Kintoneデータ抽出!$K$2:$K$5000) / ((Kintoneデータ抽出!$K$2:$K$5000="院内")), ROW(A229))), "")</f>
        <v/>
      </c>
      <c r="H266" s="77" t="str">
        <f t="array" ref="H266">IFERROR(INDEX(Kintoneデータ抽出!C:C, _xlfn.AGGREGATE(15, 6, ROW(Kintoneデータ抽出!$K$2:$K$5000) / ((Kintoneデータ抽出!$K$2:$K$5000="院内")), ROW(A229))), "")</f>
        <v/>
      </c>
      <c r="I266" s="75" t="str">
        <f t="array" ref="I266">IFERROR(IF(INDEX(Kintoneデータ抽出!G:G, _xlfn.AGGREGATE(15, 6, ROW(Kintoneデータ抽出!$K$2:$K$5000) / ((Kintoneデータ抽出!$K$2:$K$5000="院内")), ROW(A229)))&lt;&gt;"",INDEX(Kintoneデータ抽出!G:G, _xlfn.AGGREGATE(15, 6, ROW(Kintoneデータ抽出!$K$2:$K$5000) / ((Kintoneデータ抽出!$K$2:$K$5000="院内")), ROW(A229)))&amp;"名",""), "")</f>
        <v/>
      </c>
      <c r="J266" s="76" t="str">
        <f t="array" ref="J266">IFERROR(IF(INDEX(Kintoneデータ抽出!E:E, _xlfn.AGGREGATE(15, 6, ROW(Kintoneデータ抽出!$K$2:$K$5000) / ((Kintoneデータ抽出!$K$2:$K$5000="院内")), ROW(A229)))&lt;&gt;"",
YEAR(INDEX(Kintoneデータ抽出!E:E, _xlfn.AGGREGATE(15, 6, ROW(Kintoneデータ抽出!$K$2:$K$5000) / ((Kintoneデータ抽出!$K$2:$K$5000="院内")), ROW(A229))))&amp;"年"
&amp;MONTH(INDEX(Kintoneデータ抽出!E:E, _xlfn.AGGREGATE(15, 6, ROW(Kintoneデータ抽出!$K$2:$K$5000) / ((Kintoneデータ抽出!$K$2:$K$5000="院内")), ROW(A229))))&amp;"月"
&amp;DAY(INDEX(Kintoneデータ抽出!E:E, _xlfn.AGGREGATE(15, 6, ROW(Kintoneデータ抽出!$K$2:$K$5000) /((Kintoneデータ抽出!$K$2:$K$5000="院内")), ROW(A229))))&amp;"日",""), "")</f>
        <v/>
      </c>
      <c r="K266" s="77" t="str" cm="1">
        <f t="array" ref="K266">IFERROR(IF(INDEX(Kintoneデータ抽出!F:F, _xlfn.AGGREGATE(15, 6, ROW(Kintoneデータ抽出!$K$2:$K$5000) / ((Kintoneデータ抽出!$K$2:$K$5000="院内")), ROW(A229)))&lt;&gt;"",
VLOOKUP(INDEX(Kintoneデータ抽出!F:F, _xlfn.AGGREGATE(15, 6, ROW(Kintoneデータ抽出!$K$2:$K$5000) / ((Kintoneデータ抽出!$K$2:$K$5000="院内")), ROW(A229))),基本開園日の表記!$A$2:$B$13,2,FALSE),""), "")</f>
        <v/>
      </c>
      <c r="L266" s="75" t="str">
        <f t="array" ref="L266">IFERROR(IF(INDEX(Kintoneデータ抽出!F:F, _xlfn.AGGREGATE(15, 6, ROW(Kintoneデータ抽出!$K$2:$K$5000) / ((Kintoneデータ抽出!$K$2:$K$5000="院内")), ROW(A229)))&lt;&gt;"",
IF(COUNTIF(INDEX(Kintoneデータ抽出!F:F, _xlfn.AGGREGATE(15, 6, ROW(Kintoneデータ抽出!$K$2:$K$5000) / ((Kintoneデータ抽出!$K$2:$K$5000="院内")), ROW(A229))),"*あり*"),"夜間",""),""), "")</f>
        <v/>
      </c>
      <c r="M266" s="75" t="str">
        <f t="array" ref="M266">IFERROR(IF(INDEX(Kintoneデータ抽出!I:I, _xlfn.AGGREGATE(15, 6, ROW(Kintoneデータ抽出!$K$2:$K$5000) / ((Kintoneデータ抽出!$K$2:$K$5000="院内")), ROW(A229)))&lt;&gt;"",
IF(COUNTIF(INDEX(Kintoneデータ抽出!I:I, _xlfn.AGGREGATE(15, 6, ROW(Kintoneデータ抽出!$K$2:$K$5000) / ((Kintoneデータ抽出!$K$2:$K$5000="院内")), ROW(A229))),"*あり*"),"学童",""),""), "")</f>
        <v/>
      </c>
      <c r="N266" s="75" t="str">
        <f t="array" ref="N266">IFERROR(IF(INDEX(Kintoneデータ抽出!H:H, _xlfn.AGGREGATE(15, 6, ROW(Kintoneデータ抽出!$K$2:$K$5000) / ((Kintoneデータ抽出!$K$2:$K$5000="院内")), ROW(A229)))&lt;&gt;"",
IF(COUNTIF(INDEX(Kintoneデータ抽出!H:H, _xlfn.AGGREGATE(15, 6, ROW(Kintoneデータ抽出!$K$2:$K$5000) / ((Kintoneデータ抽出!$K$2:$K$5000="院内")), ROW(A229))),"*あり*"),"病児",""),""), "")</f>
        <v/>
      </c>
      <c r="O266" s="94" t="str" cm="1">
        <f t="array" ref="O266">IFERROR(
IF(INDEX(Kintoneデータ抽出!M:M, _xlfn.AGGREGATE(15, 6, ROW(Kintoneデータ抽出!$K$2:$K$5000) / ((Kintoneデータ抽出!$K$2:$K$5000="院内")), ROW(A229)))&lt;&gt;0,INDEX(Kintoneデータ抽出!M:M, _xlfn.AGGREGATE(15, 6, ROW(Kintoneデータ抽出!$K$2:$K$5000) / ((Kintoneデータ抽出!$K$2:$K$5000="院内")), ROW(A229))),""), "")</f>
        <v/>
      </c>
      <c r="P266" s="78" t="str">
        <f t="array" ref="P266">IFERROR(IF(INDEX(Kintoneデータ抽出!L:L, _xlfn.AGGREGATE(15, 6, ROW(Kintoneデータ抽出!$K$2:$K$5000) / ((Kintoneデータ抽出!$K$2:$K$5000="院内")), ROW(A229)))&lt;&gt;"",
IF(COUNTIF(INDEX(Kintoneデータ抽出!L:L, _xlfn.AGGREGATE(15, 6, ROW(Kintoneデータ抽出!$K$2:$K$5000) / ((Kintoneデータ抽出!$K$2:$K$5000="院内")), ROW(A229))),"*企業主導型以外*"),"",
IF(COUNTIF(INDEX(Kintoneデータ抽出!L:L, _xlfn.AGGREGATE(15, 6, ROW(Kintoneデータ抽出!$K$2:$K$5000) / ((Kintoneデータ抽出!$K$2:$K$5000="院内")), ROW(A229))),"*その他*"),"",
IF(COUNTIF(INDEX(Kintoneデータ抽出!L:L, _xlfn.AGGREGATE(15, 6, ROW(Kintoneデータ抽出!$K$2:$K$5000) / ((Kintoneデータ抽出!$K$2:$K$5000="院内")), ROW(A229))),"*新制度*"),"新制度","企業主導型"))),""), "")</f>
        <v/>
      </c>
    </row>
    <row r="267" spans="2:16" ht="34.799999999999997" customHeight="1" x14ac:dyDescent="0.45">
      <c r="B267" s="45"/>
      <c r="C267" s="46"/>
      <c r="D267" s="98" t="str">
        <f t="shared" si="4"/>
        <v/>
      </c>
      <c r="E267" s="99"/>
      <c r="F267" s="75" t="str">
        <f t="array" ref="F267">IFERROR(INDEX(Kintoneデータ抽出!A:A, _xlfn.AGGREGATE(15, 6, ROW(Kintoneデータ抽出!$K$2:$K$5000) / ((Kintoneデータ抽出!$K$2:$K$5000="院内")), ROW(A230))), "")</f>
        <v/>
      </c>
      <c r="G267" s="77" t="str">
        <f t="array" ref="G267">IFERROR(INDEX(Kintoneデータ抽出!D:D, _xlfn.AGGREGATE(15, 6, ROW(Kintoneデータ抽出!$K$2:$K$5000) / ((Kintoneデータ抽出!$K$2:$K$5000="院内")), ROW(A230))), "")</f>
        <v/>
      </c>
      <c r="H267" s="77" t="str">
        <f t="array" ref="H267">IFERROR(INDEX(Kintoneデータ抽出!C:C, _xlfn.AGGREGATE(15, 6, ROW(Kintoneデータ抽出!$K$2:$K$5000) / ((Kintoneデータ抽出!$K$2:$K$5000="院内")), ROW(A230))), "")</f>
        <v/>
      </c>
      <c r="I267" s="75" t="str">
        <f t="array" ref="I267">IFERROR(IF(INDEX(Kintoneデータ抽出!G:G, _xlfn.AGGREGATE(15, 6, ROW(Kintoneデータ抽出!$K$2:$K$5000) / ((Kintoneデータ抽出!$K$2:$K$5000="院内")), ROW(A230)))&lt;&gt;"",INDEX(Kintoneデータ抽出!G:G, _xlfn.AGGREGATE(15, 6, ROW(Kintoneデータ抽出!$K$2:$K$5000) / ((Kintoneデータ抽出!$K$2:$K$5000="院内")), ROW(A230)))&amp;"名",""), "")</f>
        <v/>
      </c>
      <c r="J267" s="76" t="str">
        <f t="array" ref="J267">IFERROR(IF(INDEX(Kintoneデータ抽出!E:E, _xlfn.AGGREGATE(15, 6, ROW(Kintoneデータ抽出!$K$2:$K$5000) / ((Kintoneデータ抽出!$K$2:$K$5000="院内")), ROW(A230)))&lt;&gt;"",
YEAR(INDEX(Kintoneデータ抽出!E:E, _xlfn.AGGREGATE(15, 6, ROW(Kintoneデータ抽出!$K$2:$K$5000) / ((Kintoneデータ抽出!$K$2:$K$5000="院内")), ROW(A230))))&amp;"年"
&amp;MONTH(INDEX(Kintoneデータ抽出!E:E, _xlfn.AGGREGATE(15, 6, ROW(Kintoneデータ抽出!$K$2:$K$5000) / ((Kintoneデータ抽出!$K$2:$K$5000="院内")), ROW(A230))))&amp;"月"
&amp;DAY(INDEX(Kintoneデータ抽出!E:E, _xlfn.AGGREGATE(15, 6, ROW(Kintoneデータ抽出!$K$2:$K$5000) /((Kintoneデータ抽出!$K$2:$K$5000="院内")), ROW(A230))))&amp;"日",""), "")</f>
        <v/>
      </c>
      <c r="K267" s="77" t="str" cm="1">
        <f t="array" ref="K267">IFERROR(IF(INDEX(Kintoneデータ抽出!F:F, _xlfn.AGGREGATE(15, 6, ROW(Kintoneデータ抽出!$K$2:$K$5000) / ((Kintoneデータ抽出!$K$2:$K$5000="院内")), ROW(A230)))&lt;&gt;"",
VLOOKUP(INDEX(Kintoneデータ抽出!F:F, _xlfn.AGGREGATE(15, 6, ROW(Kintoneデータ抽出!$K$2:$K$5000) / ((Kintoneデータ抽出!$K$2:$K$5000="院内")), ROW(A230))),基本開園日の表記!$A$2:$B$13,2,FALSE),""), "")</f>
        <v/>
      </c>
      <c r="L267" s="75" t="str">
        <f t="array" ref="L267">IFERROR(IF(INDEX(Kintoneデータ抽出!F:F, _xlfn.AGGREGATE(15, 6, ROW(Kintoneデータ抽出!$K$2:$K$5000) / ((Kintoneデータ抽出!$K$2:$K$5000="院内")), ROW(A230)))&lt;&gt;"",
IF(COUNTIF(INDEX(Kintoneデータ抽出!F:F, _xlfn.AGGREGATE(15, 6, ROW(Kintoneデータ抽出!$K$2:$K$5000) / ((Kintoneデータ抽出!$K$2:$K$5000="院内")), ROW(A230))),"*あり*"),"夜間",""),""), "")</f>
        <v/>
      </c>
      <c r="M267" s="75" t="str">
        <f t="array" ref="M267">IFERROR(IF(INDEX(Kintoneデータ抽出!I:I, _xlfn.AGGREGATE(15, 6, ROW(Kintoneデータ抽出!$K$2:$K$5000) / ((Kintoneデータ抽出!$K$2:$K$5000="院内")), ROW(A230)))&lt;&gt;"",
IF(COUNTIF(INDEX(Kintoneデータ抽出!I:I, _xlfn.AGGREGATE(15, 6, ROW(Kintoneデータ抽出!$K$2:$K$5000) / ((Kintoneデータ抽出!$K$2:$K$5000="院内")), ROW(A230))),"*あり*"),"学童",""),""), "")</f>
        <v/>
      </c>
      <c r="N267" s="75" t="str">
        <f t="array" ref="N267">IFERROR(IF(INDEX(Kintoneデータ抽出!H:H, _xlfn.AGGREGATE(15, 6, ROW(Kintoneデータ抽出!$K$2:$K$5000) / ((Kintoneデータ抽出!$K$2:$K$5000="院内")), ROW(A230)))&lt;&gt;"",
IF(COUNTIF(INDEX(Kintoneデータ抽出!H:H, _xlfn.AGGREGATE(15, 6, ROW(Kintoneデータ抽出!$K$2:$K$5000) / ((Kintoneデータ抽出!$K$2:$K$5000="院内")), ROW(A230))),"*あり*"),"病児",""),""), "")</f>
        <v/>
      </c>
      <c r="O267" s="94" t="str" cm="1">
        <f t="array" ref="O267">IFERROR(
IF(INDEX(Kintoneデータ抽出!M:M, _xlfn.AGGREGATE(15, 6, ROW(Kintoneデータ抽出!$K$2:$K$5000) / ((Kintoneデータ抽出!$K$2:$K$5000="院内")), ROW(A230)))&lt;&gt;0,INDEX(Kintoneデータ抽出!M:M, _xlfn.AGGREGATE(15, 6, ROW(Kintoneデータ抽出!$K$2:$K$5000) / ((Kintoneデータ抽出!$K$2:$K$5000="院内")), ROW(A230))),""), "")</f>
        <v/>
      </c>
      <c r="P267" s="78" t="str">
        <f t="array" ref="P267">IFERROR(IF(INDEX(Kintoneデータ抽出!L:L, _xlfn.AGGREGATE(15, 6, ROW(Kintoneデータ抽出!$K$2:$K$5000) / ((Kintoneデータ抽出!$K$2:$K$5000="院内")), ROW(A230)))&lt;&gt;"",
IF(COUNTIF(INDEX(Kintoneデータ抽出!L:L, _xlfn.AGGREGATE(15, 6, ROW(Kintoneデータ抽出!$K$2:$K$5000) / ((Kintoneデータ抽出!$K$2:$K$5000="院内")), ROW(A230))),"*企業主導型以外*"),"",
IF(COUNTIF(INDEX(Kintoneデータ抽出!L:L, _xlfn.AGGREGATE(15, 6, ROW(Kintoneデータ抽出!$K$2:$K$5000) / ((Kintoneデータ抽出!$K$2:$K$5000="院内")), ROW(A230))),"*その他*"),"",
IF(COUNTIF(INDEX(Kintoneデータ抽出!L:L, _xlfn.AGGREGATE(15, 6, ROW(Kintoneデータ抽出!$K$2:$K$5000) / ((Kintoneデータ抽出!$K$2:$K$5000="院内")), ROW(A230))),"*新制度*"),"新制度","企業主導型"))),""), "")</f>
        <v/>
      </c>
    </row>
    <row r="268" spans="2:16" ht="34.799999999999997" customHeight="1" x14ac:dyDescent="0.45">
      <c r="B268" s="45"/>
      <c r="C268" s="46"/>
      <c r="D268" s="98" t="str">
        <f t="shared" si="4"/>
        <v/>
      </c>
      <c r="E268" s="99"/>
      <c r="F268" s="75" t="str">
        <f t="array" ref="F268">IFERROR(INDEX(Kintoneデータ抽出!A:A, _xlfn.AGGREGATE(15, 6, ROW(Kintoneデータ抽出!$K$2:$K$5000) / ((Kintoneデータ抽出!$K$2:$K$5000="院内")), ROW(A231))), "")</f>
        <v/>
      </c>
      <c r="G268" s="77" t="str">
        <f t="array" ref="G268">IFERROR(INDEX(Kintoneデータ抽出!D:D, _xlfn.AGGREGATE(15, 6, ROW(Kintoneデータ抽出!$K$2:$K$5000) / ((Kintoneデータ抽出!$K$2:$K$5000="院内")), ROW(A231))), "")</f>
        <v/>
      </c>
      <c r="H268" s="77" t="str">
        <f t="array" ref="H268">IFERROR(INDEX(Kintoneデータ抽出!C:C, _xlfn.AGGREGATE(15, 6, ROW(Kintoneデータ抽出!$K$2:$K$5000) / ((Kintoneデータ抽出!$K$2:$K$5000="院内")), ROW(A231))), "")</f>
        <v/>
      </c>
      <c r="I268" s="75" t="str">
        <f t="array" ref="I268">IFERROR(IF(INDEX(Kintoneデータ抽出!G:G, _xlfn.AGGREGATE(15, 6, ROW(Kintoneデータ抽出!$K$2:$K$5000) / ((Kintoneデータ抽出!$K$2:$K$5000="院内")), ROW(A231)))&lt;&gt;"",INDEX(Kintoneデータ抽出!G:G, _xlfn.AGGREGATE(15, 6, ROW(Kintoneデータ抽出!$K$2:$K$5000) / ((Kintoneデータ抽出!$K$2:$K$5000="院内")), ROW(A231)))&amp;"名",""), "")</f>
        <v/>
      </c>
      <c r="J268" s="76" t="str">
        <f t="array" ref="J268">IFERROR(IF(INDEX(Kintoneデータ抽出!E:E, _xlfn.AGGREGATE(15, 6, ROW(Kintoneデータ抽出!$K$2:$K$5000) / ((Kintoneデータ抽出!$K$2:$K$5000="院内")), ROW(A231)))&lt;&gt;"",
YEAR(INDEX(Kintoneデータ抽出!E:E, _xlfn.AGGREGATE(15, 6, ROW(Kintoneデータ抽出!$K$2:$K$5000) / ((Kintoneデータ抽出!$K$2:$K$5000="院内")), ROW(A231))))&amp;"年"
&amp;MONTH(INDEX(Kintoneデータ抽出!E:E, _xlfn.AGGREGATE(15, 6, ROW(Kintoneデータ抽出!$K$2:$K$5000) / ((Kintoneデータ抽出!$K$2:$K$5000="院内")), ROW(A231))))&amp;"月"
&amp;DAY(INDEX(Kintoneデータ抽出!E:E, _xlfn.AGGREGATE(15, 6, ROW(Kintoneデータ抽出!$K$2:$K$5000) /((Kintoneデータ抽出!$K$2:$K$5000="院内")), ROW(A231))))&amp;"日",""), "")</f>
        <v/>
      </c>
      <c r="K268" s="77" t="str" cm="1">
        <f t="array" ref="K268">IFERROR(IF(INDEX(Kintoneデータ抽出!F:F, _xlfn.AGGREGATE(15, 6, ROW(Kintoneデータ抽出!$K$2:$K$5000) / ((Kintoneデータ抽出!$K$2:$K$5000="院内")), ROW(A231)))&lt;&gt;"",
VLOOKUP(INDEX(Kintoneデータ抽出!F:F, _xlfn.AGGREGATE(15, 6, ROW(Kintoneデータ抽出!$K$2:$K$5000) / ((Kintoneデータ抽出!$K$2:$K$5000="院内")), ROW(A231))),基本開園日の表記!$A$2:$B$13,2,FALSE),""), "")</f>
        <v/>
      </c>
      <c r="L268" s="75" t="str">
        <f t="array" ref="L268">IFERROR(IF(INDEX(Kintoneデータ抽出!F:F, _xlfn.AGGREGATE(15, 6, ROW(Kintoneデータ抽出!$K$2:$K$5000) / ((Kintoneデータ抽出!$K$2:$K$5000="院内")), ROW(A231)))&lt;&gt;"",
IF(COUNTIF(INDEX(Kintoneデータ抽出!F:F, _xlfn.AGGREGATE(15, 6, ROW(Kintoneデータ抽出!$K$2:$K$5000) / ((Kintoneデータ抽出!$K$2:$K$5000="院内")), ROW(A231))),"*あり*"),"夜間",""),""), "")</f>
        <v/>
      </c>
      <c r="M268" s="75" t="str">
        <f t="array" ref="M268">IFERROR(IF(INDEX(Kintoneデータ抽出!I:I, _xlfn.AGGREGATE(15, 6, ROW(Kintoneデータ抽出!$K$2:$K$5000) / ((Kintoneデータ抽出!$K$2:$K$5000="院内")), ROW(A231)))&lt;&gt;"",
IF(COUNTIF(INDEX(Kintoneデータ抽出!I:I, _xlfn.AGGREGATE(15, 6, ROW(Kintoneデータ抽出!$K$2:$K$5000) / ((Kintoneデータ抽出!$K$2:$K$5000="院内")), ROW(A231))),"*あり*"),"学童",""),""), "")</f>
        <v/>
      </c>
      <c r="N268" s="75" t="str">
        <f t="array" ref="N268">IFERROR(IF(INDEX(Kintoneデータ抽出!H:H, _xlfn.AGGREGATE(15, 6, ROW(Kintoneデータ抽出!$K$2:$K$5000) / ((Kintoneデータ抽出!$K$2:$K$5000="院内")), ROW(A231)))&lt;&gt;"",
IF(COUNTIF(INDEX(Kintoneデータ抽出!H:H, _xlfn.AGGREGATE(15, 6, ROW(Kintoneデータ抽出!$K$2:$K$5000) / ((Kintoneデータ抽出!$K$2:$K$5000="院内")), ROW(A231))),"*あり*"),"病児",""),""), "")</f>
        <v/>
      </c>
      <c r="O268" s="94" t="str" cm="1">
        <f t="array" ref="O268">IFERROR(
IF(INDEX(Kintoneデータ抽出!M:M, _xlfn.AGGREGATE(15, 6, ROW(Kintoneデータ抽出!$K$2:$K$5000) / ((Kintoneデータ抽出!$K$2:$K$5000="院内")), ROW(A231)))&lt;&gt;0,INDEX(Kintoneデータ抽出!M:M, _xlfn.AGGREGATE(15, 6, ROW(Kintoneデータ抽出!$K$2:$K$5000) / ((Kintoneデータ抽出!$K$2:$K$5000="院内")), ROW(A231))),""), "")</f>
        <v/>
      </c>
      <c r="P268" s="78" t="str">
        <f t="array" ref="P268">IFERROR(IF(INDEX(Kintoneデータ抽出!L:L, _xlfn.AGGREGATE(15, 6, ROW(Kintoneデータ抽出!$K$2:$K$5000) / ((Kintoneデータ抽出!$K$2:$K$5000="院内")), ROW(A231)))&lt;&gt;"",
IF(COUNTIF(INDEX(Kintoneデータ抽出!L:L, _xlfn.AGGREGATE(15, 6, ROW(Kintoneデータ抽出!$K$2:$K$5000) / ((Kintoneデータ抽出!$K$2:$K$5000="院内")), ROW(A231))),"*企業主導型以外*"),"",
IF(COUNTIF(INDEX(Kintoneデータ抽出!L:L, _xlfn.AGGREGATE(15, 6, ROW(Kintoneデータ抽出!$K$2:$K$5000) / ((Kintoneデータ抽出!$K$2:$K$5000="院内")), ROW(A231))),"*その他*"),"",
IF(COUNTIF(INDEX(Kintoneデータ抽出!L:L, _xlfn.AGGREGATE(15, 6, ROW(Kintoneデータ抽出!$K$2:$K$5000) / ((Kintoneデータ抽出!$K$2:$K$5000="院内")), ROW(A231))),"*新制度*"),"新制度","企業主導型"))),""), "")</f>
        <v/>
      </c>
    </row>
    <row r="269" spans="2:16" ht="34.799999999999997" customHeight="1" x14ac:dyDescent="0.45">
      <c r="B269" s="45"/>
      <c r="C269" s="46"/>
      <c r="D269" s="98" t="str">
        <f t="shared" si="4"/>
        <v/>
      </c>
      <c r="E269" s="99"/>
      <c r="F269" s="75" t="str">
        <f t="array" ref="F269">IFERROR(INDEX(Kintoneデータ抽出!A:A, _xlfn.AGGREGATE(15, 6, ROW(Kintoneデータ抽出!$K$2:$K$5000) / ((Kintoneデータ抽出!$K$2:$K$5000="院内")), ROW(A232))), "")</f>
        <v/>
      </c>
      <c r="G269" s="77" t="str">
        <f t="array" ref="G269">IFERROR(INDEX(Kintoneデータ抽出!D:D, _xlfn.AGGREGATE(15, 6, ROW(Kintoneデータ抽出!$K$2:$K$5000) / ((Kintoneデータ抽出!$K$2:$K$5000="院内")), ROW(A232))), "")</f>
        <v/>
      </c>
      <c r="H269" s="77" t="str">
        <f t="array" ref="H269">IFERROR(INDEX(Kintoneデータ抽出!C:C, _xlfn.AGGREGATE(15, 6, ROW(Kintoneデータ抽出!$K$2:$K$5000) / ((Kintoneデータ抽出!$K$2:$K$5000="院内")), ROW(A232))), "")</f>
        <v/>
      </c>
      <c r="I269" s="75" t="str">
        <f t="array" ref="I269">IFERROR(IF(INDEX(Kintoneデータ抽出!G:G, _xlfn.AGGREGATE(15, 6, ROW(Kintoneデータ抽出!$K$2:$K$5000) / ((Kintoneデータ抽出!$K$2:$K$5000="院内")), ROW(A232)))&lt;&gt;"",INDEX(Kintoneデータ抽出!G:G, _xlfn.AGGREGATE(15, 6, ROW(Kintoneデータ抽出!$K$2:$K$5000) / ((Kintoneデータ抽出!$K$2:$K$5000="院内")), ROW(A232)))&amp;"名",""), "")</f>
        <v/>
      </c>
      <c r="J269" s="76" t="str">
        <f t="array" ref="J269">IFERROR(IF(INDEX(Kintoneデータ抽出!E:E, _xlfn.AGGREGATE(15, 6, ROW(Kintoneデータ抽出!$K$2:$K$5000) / ((Kintoneデータ抽出!$K$2:$K$5000="院内")), ROW(A232)))&lt;&gt;"",
YEAR(INDEX(Kintoneデータ抽出!E:E, _xlfn.AGGREGATE(15, 6, ROW(Kintoneデータ抽出!$K$2:$K$5000) / ((Kintoneデータ抽出!$K$2:$K$5000="院内")), ROW(A232))))&amp;"年"
&amp;MONTH(INDEX(Kintoneデータ抽出!E:E, _xlfn.AGGREGATE(15, 6, ROW(Kintoneデータ抽出!$K$2:$K$5000) / ((Kintoneデータ抽出!$K$2:$K$5000="院内")), ROW(A232))))&amp;"月"
&amp;DAY(INDEX(Kintoneデータ抽出!E:E, _xlfn.AGGREGATE(15, 6, ROW(Kintoneデータ抽出!$K$2:$K$5000) /((Kintoneデータ抽出!$K$2:$K$5000="院内")), ROW(A232))))&amp;"日",""), "")</f>
        <v/>
      </c>
      <c r="K269" s="77" t="str" cm="1">
        <f t="array" ref="K269">IFERROR(IF(INDEX(Kintoneデータ抽出!F:F, _xlfn.AGGREGATE(15, 6, ROW(Kintoneデータ抽出!$K$2:$K$5000) / ((Kintoneデータ抽出!$K$2:$K$5000="院内")), ROW(A232)))&lt;&gt;"",
VLOOKUP(INDEX(Kintoneデータ抽出!F:F, _xlfn.AGGREGATE(15, 6, ROW(Kintoneデータ抽出!$K$2:$K$5000) / ((Kintoneデータ抽出!$K$2:$K$5000="院内")), ROW(A232))),基本開園日の表記!$A$2:$B$13,2,FALSE),""), "")</f>
        <v/>
      </c>
      <c r="L269" s="75" t="str">
        <f t="array" ref="L269">IFERROR(IF(INDEX(Kintoneデータ抽出!F:F, _xlfn.AGGREGATE(15, 6, ROW(Kintoneデータ抽出!$K$2:$K$5000) / ((Kintoneデータ抽出!$K$2:$K$5000="院内")), ROW(A232)))&lt;&gt;"",
IF(COUNTIF(INDEX(Kintoneデータ抽出!F:F, _xlfn.AGGREGATE(15, 6, ROW(Kintoneデータ抽出!$K$2:$K$5000) / ((Kintoneデータ抽出!$K$2:$K$5000="院内")), ROW(A232))),"*あり*"),"夜間",""),""), "")</f>
        <v/>
      </c>
      <c r="M269" s="75" t="str">
        <f t="array" ref="M269">IFERROR(IF(INDEX(Kintoneデータ抽出!I:I, _xlfn.AGGREGATE(15, 6, ROW(Kintoneデータ抽出!$K$2:$K$5000) / ((Kintoneデータ抽出!$K$2:$K$5000="院内")), ROW(A232)))&lt;&gt;"",
IF(COUNTIF(INDEX(Kintoneデータ抽出!I:I, _xlfn.AGGREGATE(15, 6, ROW(Kintoneデータ抽出!$K$2:$K$5000) / ((Kintoneデータ抽出!$K$2:$K$5000="院内")), ROW(A232))),"*あり*"),"学童",""),""), "")</f>
        <v/>
      </c>
      <c r="N269" s="75" t="str">
        <f t="array" ref="N269">IFERROR(IF(INDEX(Kintoneデータ抽出!H:H, _xlfn.AGGREGATE(15, 6, ROW(Kintoneデータ抽出!$K$2:$K$5000) / ((Kintoneデータ抽出!$K$2:$K$5000="院内")), ROW(A232)))&lt;&gt;"",
IF(COUNTIF(INDEX(Kintoneデータ抽出!H:H, _xlfn.AGGREGATE(15, 6, ROW(Kintoneデータ抽出!$K$2:$K$5000) / ((Kintoneデータ抽出!$K$2:$K$5000="院内")), ROW(A232))),"*あり*"),"病児",""),""), "")</f>
        <v/>
      </c>
      <c r="O269" s="94" t="str" cm="1">
        <f t="array" ref="O269">IFERROR(
IF(INDEX(Kintoneデータ抽出!M:M, _xlfn.AGGREGATE(15, 6, ROW(Kintoneデータ抽出!$K$2:$K$5000) / ((Kintoneデータ抽出!$K$2:$K$5000="院内")), ROW(A232)))&lt;&gt;0,INDEX(Kintoneデータ抽出!M:M, _xlfn.AGGREGATE(15, 6, ROW(Kintoneデータ抽出!$K$2:$K$5000) / ((Kintoneデータ抽出!$K$2:$K$5000="院内")), ROW(A232))),""), "")</f>
        <v/>
      </c>
      <c r="P269" s="78" t="str">
        <f t="array" ref="P269">IFERROR(IF(INDEX(Kintoneデータ抽出!L:L, _xlfn.AGGREGATE(15, 6, ROW(Kintoneデータ抽出!$K$2:$K$5000) / ((Kintoneデータ抽出!$K$2:$K$5000="院内")), ROW(A232)))&lt;&gt;"",
IF(COUNTIF(INDEX(Kintoneデータ抽出!L:L, _xlfn.AGGREGATE(15, 6, ROW(Kintoneデータ抽出!$K$2:$K$5000) / ((Kintoneデータ抽出!$K$2:$K$5000="院内")), ROW(A232))),"*企業主導型以外*"),"",
IF(COUNTIF(INDEX(Kintoneデータ抽出!L:L, _xlfn.AGGREGATE(15, 6, ROW(Kintoneデータ抽出!$K$2:$K$5000) / ((Kintoneデータ抽出!$K$2:$K$5000="院内")), ROW(A232))),"*その他*"),"",
IF(COUNTIF(INDEX(Kintoneデータ抽出!L:L, _xlfn.AGGREGATE(15, 6, ROW(Kintoneデータ抽出!$K$2:$K$5000) / ((Kintoneデータ抽出!$K$2:$K$5000="院内")), ROW(A232))),"*新制度*"),"新制度","企業主導型"))),""), "")</f>
        <v/>
      </c>
    </row>
    <row r="270" spans="2:16" ht="34.799999999999997" customHeight="1" x14ac:dyDescent="0.45">
      <c r="B270" s="45"/>
      <c r="C270" s="46"/>
      <c r="D270" s="98" t="str">
        <f t="shared" si="4"/>
        <v/>
      </c>
      <c r="E270" s="99"/>
      <c r="F270" s="75" t="str">
        <f t="array" ref="F270">IFERROR(INDEX(Kintoneデータ抽出!A:A, _xlfn.AGGREGATE(15, 6, ROW(Kintoneデータ抽出!$K$2:$K$5000) / ((Kintoneデータ抽出!$K$2:$K$5000="院内")), ROW(A233))), "")</f>
        <v/>
      </c>
      <c r="G270" s="77" t="str">
        <f t="array" ref="G270">IFERROR(INDEX(Kintoneデータ抽出!D:D, _xlfn.AGGREGATE(15, 6, ROW(Kintoneデータ抽出!$K$2:$K$5000) / ((Kintoneデータ抽出!$K$2:$K$5000="院内")), ROW(A233))), "")</f>
        <v/>
      </c>
      <c r="H270" s="77" t="str">
        <f t="array" ref="H270">IFERROR(INDEX(Kintoneデータ抽出!C:C, _xlfn.AGGREGATE(15, 6, ROW(Kintoneデータ抽出!$K$2:$K$5000) / ((Kintoneデータ抽出!$K$2:$K$5000="院内")), ROW(A233))), "")</f>
        <v/>
      </c>
      <c r="I270" s="75" t="str">
        <f t="array" ref="I270">IFERROR(IF(INDEX(Kintoneデータ抽出!G:G, _xlfn.AGGREGATE(15, 6, ROW(Kintoneデータ抽出!$K$2:$K$5000) / ((Kintoneデータ抽出!$K$2:$K$5000="院内")), ROW(A233)))&lt;&gt;"",INDEX(Kintoneデータ抽出!G:G, _xlfn.AGGREGATE(15, 6, ROW(Kintoneデータ抽出!$K$2:$K$5000) / ((Kintoneデータ抽出!$K$2:$K$5000="院内")), ROW(A233)))&amp;"名",""), "")</f>
        <v/>
      </c>
      <c r="J270" s="76" t="str">
        <f t="array" ref="J270">IFERROR(IF(INDEX(Kintoneデータ抽出!E:E, _xlfn.AGGREGATE(15, 6, ROW(Kintoneデータ抽出!$K$2:$K$5000) / ((Kintoneデータ抽出!$K$2:$K$5000="院内")), ROW(A233)))&lt;&gt;"",
YEAR(INDEX(Kintoneデータ抽出!E:E, _xlfn.AGGREGATE(15, 6, ROW(Kintoneデータ抽出!$K$2:$K$5000) / ((Kintoneデータ抽出!$K$2:$K$5000="院内")), ROW(A233))))&amp;"年"
&amp;MONTH(INDEX(Kintoneデータ抽出!E:E, _xlfn.AGGREGATE(15, 6, ROW(Kintoneデータ抽出!$K$2:$K$5000) / ((Kintoneデータ抽出!$K$2:$K$5000="院内")), ROW(A233))))&amp;"月"
&amp;DAY(INDEX(Kintoneデータ抽出!E:E, _xlfn.AGGREGATE(15, 6, ROW(Kintoneデータ抽出!$K$2:$K$5000) /((Kintoneデータ抽出!$K$2:$K$5000="院内")), ROW(A233))))&amp;"日",""), "")</f>
        <v/>
      </c>
      <c r="K270" s="77" t="str" cm="1">
        <f t="array" ref="K270">IFERROR(IF(INDEX(Kintoneデータ抽出!F:F, _xlfn.AGGREGATE(15, 6, ROW(Kintoneデータ抽出!$K$2:$K$5000) / ((Kintoneデータ抽出!$K$2:$K$5000="院内")), ROW(A233)))&lt;&gt;"",
VLOOKUP(INDEX(Kintoneデータ抽出!F:F, _xlfn.AGGREGATE(15, 6, ROW(Kintoneデータ抽出!$K$2:$K$5000) / ((Kintoneデータ抽出!$K$2:$K$5000="院内")), ROW(A233))),基本開園日の表記!$A$2:$B$13,2,FALSE),""), "")</f>
        <v/>
      </c>
      <c r="L270" s="75" t="str">
        <f t="array" ref="L270">IFERROR(IF(INDEX(Kintoneデータ抽出!F:F, _xlfn.AGGREGATE(15, 6, ROW(Kintoneデータ抽出!$K$2:$K$5000) / ((Kintoneデータ抽出!$K$2:$K$5000="院内")), ROW(A233)))&lt;&gt;"",
IF(COUNTIF(INDEX(Kintoneデータ抽出!F:F, _xlfn.AGGREGATE(15, 6, ROW(Kintoneデータ抽出!$K$2:$K$5000) / ((Kintoneデータ抽出!$K$2:$K$5000="院内")), ROW(A233))),"*あり*"),"夜間",""),""), "")</f>
        <v/>
      </c>
      <c r="M270" s="75" t="str">
        <f t="array" ref="M270">IFERROR(IF(INDEX(Kintoneデータ抽出!I:I, _xlfn.AGGREGATE(15, 6, ROW(Kintoneデータ抽出!$K$2:$K$5000) / ((Kintoneデータ抽出!$K$2:$K$5000="院内")), ROW(A233)))&lt;&gt;"",
IF(COUNTIF(INDEX(Kintoneデータ抽出!I:I, _xlfn.AGGREGATE(15, 6, ROW(Kintoneデータ抽出!$K$2:$K$5000) / ((Kintoneデータ抽出!$K$2:$K$5000="院内")), ROW(A233))),"*あり*"),"学童",""),""), "")</f>
        <v/>
      </c>
      <c r="N270" s="75" t="str">
        <f t="array" ref="N270">IFERROR(IF(INDEX(Kintoneデータ抽出!H:H, _xlfn.AGGREGATE(15, 6, ROW(Kintoneデータ抽出!$K$2:$K$5000) / ((Kintoneデータ抽出!$K$2:$K$5000="院内")), ROW(A233)))&lt;&gt;"",
IF(COUNTIF(INDEX(Kintoneデータ抽出!H:H, _xlfn.AGGREGATE(15, 6, ROW(Kintoneデータ抽出!$K$2:$K$5000) / ((Kintoneデータ抽出!$K$2:$K$5000="院内")), ROW(A233))),"*あり*"),"病児",""),""), "")</f>
        <v/>
      </c>
      <c r="O270" s="94" t="str" cm="1">
        <f t="array" ref="O270">IFERROR(
IF(INDEX(Kintoneデータ抽出!M:M, _xlfn.AGGREGATE(15, 6, ROW(Kintoneデータ抽出!$K$2:$K$5000) / ((Kintoneデータ抽出!$K$2:$K$5000="院内")), ROW(A233)))&lt;&gt;0,INDEX(Kintoneデータ抽出!M:M, _xlfn.AGGREGATE(15, 6, ROW(Kintoneデータ抽出!$K$2:$K$5000) / ((Kintoneデータ抽出!$K$2:$K$5000="院内")), ROW(A233))),""), "")</f>
        <v/>
      </c>
      <c r="P270" s="78" t="str">
        <f t="array" ref="P270">IFERROR(IF(INDEX(Kintoneデータ抽出!L:L, _xlfn.AGGREGATE(15, 6, ROW(Kintoneデータ抽出!$K$2:$K$5000) / ((Kintoneデータ抽出!$K$2:$K$5000="院内")), ROW(A233)))&lt;&gt;"",
IF(COUNTIF(INDEX(Kintoneデータ抽出!L:L, _xlfn.AGGREGATE(15, 6, ROW(Kintoneデータ抽出!$K$2:$K$5000) / ((Kintoneデータ抽出!$K$2:$K$5000="院内")), ROW(A233))),"*企業主導型以外*"),"",
IF(COUNTIF(INDEX(Kintoneデータ抽出!L:L, _xlfn.AGGREGATE(15, 6, ROW(Kintoneデータ抽出!$K$2:$K$5000) / ((Kintoneデータ抽出!$K$2:$K$5000="院内")), ROW(A233))),"*その他*"),"",
IF(COUNTIF(INDEX(Kintoneデータ抽出!L:L, _xlfn.AGGREGATE(15, 6, ROW(Kintoneデータ抽出!$K$2:$K$5000) / ((Kintoneデータ抽出!$K$2:$K$5000="院内")), ROW(A233))),"*新制度*"),"新制度","企業主導型"))),""), "")</f>
        <v/>
      </c>
    </row>
    <row r="271" spans="2:16" ht="34.799999999999997" customHeight="1" x14ac:dyDescent="0.45">
      <c r="B271" s="45"/>
      <c r="C271" s="46"/>
      <c r="D271" s="98" t="str">
        <f t="shared" si="4"/>
        <v/>
      </c>
      <c r="E271" s="99"/>
      <c r="F271" s="75" t="str">
        <f t="array" ref="F271">IFERROR(INDEX(Kintoneデータ抽出!A:A, _xlfn.AGGREGATE(15, 6, ROW(Kintoneデータ抽出!$K$2:$K$5000) / ((Kintoneデータ抽出!$K$2:$K$5000="院内")), ROW(A234))), "")</f>
        <v/>
      </c>
      <c r="G271" s="77" t="str">
        <f t="array" ref="G271">IFERROR(INDEX(Kintoneデータ抽出!D:D, _xlfn.AGGREGATE(15, 6, ROW(Kintoneデータ抽出!$K$2:$K$5000) / ((Kintoneデータ抽出!$K$2:$K$5000="院内")), ROW(A234))), "")</f>
        <v/>
      </c>
      <c r="H271" s="77" t="str">
        <f t="array" ref="H271">IFERROR(INDEX(Kintoneデータ抽出!C:C, _xlfn.AGGREGATE(15, 6, ROW(Kintoneデータ抽出!$K$2:$K$5000) / ((Kintoneデータ抽出!$K$2:$K$5000="院内")), ROW(A234))), "")</f>
        <v/>
      </c>
      <c r="I271" s="75" t="str">
        <f t="array" ref="I271">IFERROR(IF(INDEX(Kintoneデータ抽出!G:G, _xlfn.AGGREGATE(15, 6, ROW(Kintoneデータ抽出!$K$2:$K$5000) / ((Kintoneデータ抽出!$K$2:$K$5000="院内")), ROW(A234)))&lt;&gt;"",INDEX(Kintoneデータ抽出!G:G, _xlfn.AGGREGATE(15, 6, ROW(Kintoneデータ抽出!$K$2:$K$5000) / ((Kintoneデータ抽出!$K$2:$K$5000="院内")), ROW(A234)))&amp;"名",""), "")</f>
        <v/>
      </c>
      <c r="J271" s="76" t="str">
        <f t="array" ref="J271">IFERROR(IF(INDEX(Kintoneデータ抽出!E:E, _xlfn.AGGREGATE(15, 6, ROW(Kintoneデータ抽出!$K$2:$K$5000) / ((Kintoneデータ抽出!$K$2:$K$5000="院内")), ROW(A234)))&lt;&gt;"",
YEAR(INDEX(Kintoneデータ抽出!E:E, _xlfn.AGGREGATE(15, 6, ROW(Kintoneデータ抽出!$K$2:$K$5000) / ((Kintoneデータ抽出!$K$2:$K$5000="院内")), ROW(A234))))&amp;"年"
&amp;MONTH(INDEX(Kintoneデータ抽出!E:E, _xlfn.AGGREGATE(15, 6, ROW(Kintoneデータ抽出!$K$2:$K$5000) / ((Kintoneデータ抽出!$K$2:$K$5000="院内")), ROW(A234))))&amp;"月"
&amp;DAY(INDEX(Kintoneデータ抽出!E:E, _xlfn.AGGREGATE(15, 6, ROW(Kintoneデータ抽出!$K$2:$K$5000) /((Kintoneデータ抽出!$K$2:$K$5000="院内")), ROW(A234))))&amp;"日",""), "")</f>
        <v/>
      </c>
      <c r="K271" s="77" t="str" cm="1">
        <f t="array" ref="K271">IFERROR(IF(INDEX(Kintoneデータ抽出!F:F, _xlfn.AGGREGATE(15, 6, ROW(Kintoneデータ抽出!$K$2:$K$5000) / ((Kintoneデータ抽出!$K$2:$K$5000="院内")), ROW(A234)))&lt;&gt;"",
VLOOKUP(INDEX(Kintoneデータ抽出!F:F, _xlfn.AGGREGATE(15, 6, ROW(Kintoneデータ抽出!$K$2:$K$5000) / ((Kintoneデータ抽出!$K$2:$K$5000="院内")), ROW(A234))),基本開園日の表記!$A$2:$B$13,2,FALSE),""), "")</f>
        <v/>
      </c>
      <c r="L271" s="75" t="str">
        <f t="array" ref="L271">IFERROR(IF(INDEX(Kintoneデータ抽出!F:F, _xlfn.AGGREGATE(15, 6, ROW(Kintoneデータ抽出!$K$2:$K$5000) / ((Kintoneデータ抽出!$K$2:$K$5000="院内")), ROW(A234)))&lt;&gt;"",
IF(COUNTIF(INDEX(Kintoneデータ抽出!F:F, _xlfn.AGGREGATE(15, 6, ROW(Kintoneデータ抽出!$K$2:$K$5000) / ((Kintoneデータ抽出!$K$2:$K$5000="院内")), ROW(A234))),"*あり*"),"夜間",""),""), "")</f>
        <v/>
      </c>
      <c r="M271" s="75" t="str">
        <f t="array" ref="M271">IFERROR(IF(INDEX(Kintoneデータ抽出!I:I, _xlfn.AGGREGATE(15, 6, ROW(Kintoneデータ抽出!$K$2:$K$5000) / ((Kintoneデータ抽出!$K$2:$K$5000="院内")), ROW(A234)))&lt;&gt;"",
IF(COUNTIF(INDEX(Kintoneデータ抽出!I:I, _xlfn.AGGREGATE(15, 6, ROW(Kintoneデータ抽出!$K$2:$K$5000) / ((Kintoneデータ抽出!$K$2:$K$5000="院内")), ROW(A234))),"*あり*"),"学童",""),""), "")</f>
        <v/>
      </c>
      <c r="N271" s="75" t="str">
        <f t="array" ref="N271">IFERROR(IF(INDEX(Kintoneデータ抽出!H:H, _xlfn.AGGREGATE(15, 6, ROW(Kintoneデータ抽出!$K$2:$K$5000) / ((Kintoneデータ抽出!$K$2:$K$5000="院内")), ROW(A234)))&lt;&gt;"",
IF(COUNTIF(INDEX(Kintoneデータ抽出!H:H, _xlfn.AGGREGATE(15, 6, ROW(Kintoneデータ抽出!$K$2:$K$5000) / ((Kintoneデータ抽出!$K$2:$K$5000="院内")), ROW(A234))),"*あり*"),"病児",""),""), "")</f>
        <v/>
      </c>
      <c r="O271" s="94" t="str" cm="1">
        <f t="array" ref="O271">IFERROR(
IF(INDEX(Kintoneデータ抽出!M:M, _xlfn.AGGREGATE(15, 6, ROW(Kintoneデータ抽出!$K$2:$K$5000) / ((Kintoneデータ抽出!$K$2:$K$5000="院内")), ROW(A234)))&lt;&gt;0,INDEX(Kintoneデータ抽出!M:M, _xlfn.AGGREGATE(15, 6, ROW(Kintoneデータ抽出!$K$2:$K$5000) / ((Kintoneデータ抽出!$K$2:$K$5000="院内")), ROW(A234))),""), "")</f>
        <v/>
      </c>
      <c r="P271" s="78" t="str">
        <f t="array" ref="P271">IFERROR(IF(INDEX(Kintoneデータ抽出!L:L, _xlfn.AGGREGATE(15, 6, ROW(Kintoneデータ抽出!$K$2:$K$5000) / ((Kintoneデータ抽出!$K$2:$K$5000="院内")), ROW(A234)))&lt;&gt;"",
IF(COUNTIF(INDEX(Kintoneデータ抽出!L:L, _xlfn.AGGREGATE(15, 6, ROW(Kintoneデータ抽出!$K$2:$K$5000) / ((Kintoneデータ抽出!$K$2:$K$5000="院内")), ROW(A234))),"*企業主導型以外*"),"",
IF(COUNTIF(INDEX(Kintoneデータ抽出!L:L, _xlfn.AGGREGATE(15, 6, ROW(Kintoneデータ抽出!$K$2:$K$5000) / ((Kintoneデータ抽出!$K$2:$K$5000="院内")), ROW(A234))),"*その他*"),"",
IF(COUNTIF(INDEX(Kintoneデータ抽出!L:L, _xlfn.AGGREGATE(15, 6, ROW(Kintoneデータ抽出!$K$2:$K$5000) / ((Kintoneデータ抽出!$K$2:$K$5000="院内")), ROW(A234))),"*新制度*"),"新制度","企業主導型"))),""), "")</f>
        <v/>
      </c>
    </row>
    <row r="272" spans="2:16" ht="34.799999999999997" customHeight="1" x14ac:dyDescent="0.45">
      <c r="B272" s="45"/>
      <c r="C272" s="46"/>
      <c r="D272" s="98" t="str">
        <f t="shared" si="4"/>
        <v/>
      </c>
      <c r="E272" s="99"/>
      <c r="F272" s="75" t="str">
        <f t="array" ref="F272">IFERROR(INDEX(Kintoneデータ抽出!A:A, _xlfn.AGGREGATE(15, 6, ROW(Kintoneデータ抽出!$K$2:$K$5000) / ((Kintoneデータ抽出!$K$2:$K$5000="院内")), ROW(A235))), "")</f>
        <v/>
      </c>
      <c r="G272" s="77" t="str">
        <f t="array" ref="G272">IFERROR(INDEX(Kintoneデータ抽出!D:D, _xlfn.AGGREGATE(15, 6, ROW(Kintoneデータ抽出!$K$2:$K$5000) / ((Kintoneデータ抽出!$K$2:$K$5000="院内")), ROW(A235))), "")</f>
        <v/>
      </c>
      <c r="H272" s="77" t="str">
        <f t="array" ref="H272">IFERROR(INDEX(Kintoneデータ抽出!C:C, _xlfn.AGGREGATE(15, 6, ROW(Kintoneデータ抽出!$K$2:$K$5000) / ((Kintoneデータ抽出!$K$2:$K$5000="院内")), ROW(A235))), "")</f>
        <v/>
      </c>
      <c r="I272" s="75" t="str">
        <f t="array" ref="I272">IFERROR(IF(INDEX(Kintoneデータ抽出!G:G, _xlfn.AGGREGATE(15, 6, ROW(Kintoneデータ抽出!$K$2:$K$5000) / ((Kintoneデータ抽出!$K$2:$K$5000="院内")), ROW(A235)))&lt;&gt;"",INDEX(Kintoneデータ抽出!G:G, _xlfn.AGGREGATE(15, 6, ROW(Kintoneデータ抽出!$K$2:$K$5000) / ((Kintoneデータ抽出!$K$2:$K$5000="院内")), ROW(A235)))&amp;"名",""), "")</f>
        <v/>
      </c>
      <c r="J272" s="76" t="str">
        <f t="array" ref="J272">IFERROR(IF(INDEX(Kintoneデータ抽出!E:E, _xlfn.AGGREGATE(15, 6, ROW(Kintoneデータ抽出!$K$2:$K$5000) / ((Kintoneデータ抽出!$K$2:$K$5000="院内")), ROW(A235)))&lt;&gt;"",
YEAR(INDEX(Kintoneデータ抽出!E:E, _xlfn.AGGREGATE(15, 6, ROW(Kintoneデータ抽出!$K$2:$K$5000) / ((Kintoneデータ抽出!$K$2:$K$5000="院内")), ROW(A235))))&amp;"年"
&amp;MONTH(INDEX(Kintoneデータ抽出!E:E, _xlfn.AGGREGATE(15, 6, ROW(Kintoneデータ抽出!$K$2:$K$5000) / ((Kintoneデータ抽出!$K$2:$K$5000="院内")), ROW(A235))))&amp;"月"
&amp;DAY(INDEX(Kintoneデータ抽出!E:E, _xlfn.AGGREGATE(15, 6, ROW(Kintoneデータ抽出!$K$2:$K$5000) /((Kintoneデータ抽出!$K$2:$K$5000="院内")), ROW(A235))))&amp;"日",""), "")</f>
        <v/>
      </c>
      <c r="K272" s="77" t="str" cm="1">
        <f t="array" ref="K272">IFERROR(IF(INDEX(Kintoneデータ抽出!F:F, _xlfn.AGGREGATE(15, 6, ROW(Kintoneデータ抽出!$K$2:$K$5000) / ((Kintoneデータ抽出!$K$2:$K$5000="院内")), ROW(A235)))&lt;&gt;"",
VLOOKUP(INDEX(Kintoneデータ抽出!F:F, _xlfn.AGGREGATE(15, 6, ROW(Kintoneデータ抽出!$K$2:$K$5000) / ((Kintoneデータ抽出!$K$2:$K$5000="院内")), ROW(A235))),基本開園日の表記!$A$2:$B$13,2,FALSE),""), "")</f>
        <v/>
      </c>
      <c r="L272" s="75" t="str">
        <f t="array" ref="L272">IFERROR(IF(INDEX(Kintoneデータ抽出!F:F, _xlfn.AGGREGATE(15, 6, ROW(Kintoneデータ抽出!$K$2:$K$5000) / ((Kintoneデータ抽出!$K$2:$K$5000="院内")), ROW(A235)))&lt;&gt;"",
IF(COUNTIF(INDEX(Kintoneデータ抽出!F:F, _xlfn.AGGREGATE(15, 6, ROW(Kintoneデータ抽出!$K$2:$K$5000) / ((Kintoneデータ抽出!$K$2:$K$5000="院内")), ROW(A235))),"*あり*"),"夜間",""),""), "")</f>
        <v/>
      </c>
      <c r="M272" s="75" t="str">
        <f t="array" ref="M272">IFERROR(IF(INDEX(Kintoneデータ抽出!I:I, _xlfn.AGGREGATE(15, 6, ROW(Kintoneデータ抽出!$K$2:$K$5000) / ((Kintoneデータ抽出!$K$2:$K$5000="院内")), ROW(A235)))&lt;&gt;"",
IF(COUNTIF(INDEX(Kintoneデータ抽出!I:I, _xlfn.AGGREGATE(15, 6, ROW(Kintoneデータ抽出!$K$2:$K$5000) / ((Kintoneデータ抽出!$K$2:$K$5000="院内")), ROW(A235))),"*あり*"),"学童",""),""), "")</f>
        <v/>
      </c>
      <c r="N272" s="75" t="str">
        <f t="array" ref="N272">IFERROR(IF(INDEX(Kintoneデータ抽出!H:H, _xlfn.AGGREGATE(15, 6, ROW(Kintoneデータ抽出!$K$2:$K$5000) / ((Kintoneデータ抽出!$K$2:$K$5000="院内")), ROW(A235)))&lt;&gt;"",
IF(COUNTIF(INDEX(Kintoneデータ抽出!H:H, _xlfn.AGGREGATE(15, 6, ROW(Kintoneデータ抽出!$K$2:$K$5000) / ((Kintoneデータ抽出!$K$2:$K$5000="院内")), ROW(A235))),"*あり*"),"病児",""),""), "")</f>
        <v/>
      </c>
      <c r="O272" s="94" t="str" cm="1">
        <f t="array" ref="O272">IFERROR(
IF(INDEX(Kintoneデータ抽出!M:M, _xlfn.AGGREGATE(15, 6, ROW(Kintoneデータ抽出!$K$2:$K$5000) / ((Kintoneデータ抽出!$K$2:$K$5000="院内")), ROW(A235)))&lt;&gt;0,INDEX(Kintoneデータ抽出!M:M, _xlfn.AGGREGATE(15, 6, ROW(Kintoneデータ抽出!$K$2:$K$5000) / ((Kintoneデータ抽出!$K$2:$K$5000="院内")), ROW(A235))),""), "")</f>
        <v/>
      </c>
      <c r="P272" s="78" t="str">
        <f t="array" ref="P272">IFERROR(IF(INDEX(Kintoneデータ抽出!L:L, _xlfn.AGGREGATE(15, 6, ROW(Kintoneデータ抽出!$K$2:$K$5000) / ((Kintoneデータ抽出!$K$2:$K$5000="院内")), ROW(A235)))&lt;&gt;"",
IF(COUNTIF(INDEX(Kintoneデータ抽出!L:L, _xlfn.AGGREGATE(15, 6, ROW(Kintoneデータ抽出!$K$2:$K$5000) / ((Kintoneデータ抽出!$K$2:$K$5000="院内")), ROW(A235))),"*企業主導型以外*"),"",
IF(COUNTIF(INDEX(Kintoneデータ抽出!L:L, _xlfn.AGGREGATE(15, 6, ROW(Kintoneデータ抽出!$K$2:$K$5000) / ((Kintoneデータ抽出!$K$2:$K$5000="院内")), ROW(A235))),"*その他*"),"",
IF(COUNTIF(INDEX(Kintoneデータ抽出!L:L, _xlfn.AGGREGATE(15, 6, ROW(Kintoneデータ抽出!$K$2:$K$5000) / ((Kintoneデータ抽出!$K$2:$K$5000="院内")), ROW(A235))),"*新制度*"),"新制度","企業主導型"))),""), "")</f>
        <v/>
      </c>
    </row>
    <row r="273" spans="2:16" ht="34.799999999999997" customHeight="1" x14ac:dyDescent="0.45">
      <c r="B273" s="45"/>
      <c r="C273" s="46"/>
      <c r="D273" s="98" t="str">
        <f t="shared" si="4"/>
        <v/>
      </c>
      <c r="E273" s="99"/>
      <c r="F273" s="75" t="str">
        <f t="array" ref="F273">IFERROR(INDEX(Kintoneデータ抽出!A:A, _xlfn.AGGREGATE(15, 6, ROW(Kintoneデータ抽出!$K$2:$K$5000) / ((Kintoneデータ抽出!$K$2:$K$5000="院内")), ROW(A236))), "")</f>
        <v/>
      </c>
      <c r="G273" s="77" t="str">
        <f t="array" ref="G273">IFERROR(INDEX(Kintoneデータ抽出!D:D, _xlfn.AGGREGATE(15, 6, ROW(Kintoneデータ抽出!$K$2:$K$5000) / ((Kintoneデータ抽出!$K$2:$K$5000="院内")), ROW(A236))), "")</f>
        <v/>
      </c>
      <c r="H273" s="77" t="str">
        <f t="array" ref="H273">IFERROR(INDEX(Kintoneデータ抽出!C:C, _xlfn.AGGREGATE(15, 6, ROW(Kintoneデータ抽出!$K$2:$K$5000) / ((Kintoneデータ抽出!$K$2:$K$5000="院内")), ROW(A236))), "")</f>
        <v/>
      </c>
      <c r="I273" s="75" t="str">
        <f t="array" ref="I273">IFERROR(IF(INDEX(Kintoneデータ抽出!G:G, _xlfn.AGGREGATE(15, 6, ROW(Kintoneデータ抽出!$K$2:$K$5000) / ((Kintoneデータ抽出!$K$2:$K$5000="院内")), ROW(A236)))&lt;&gt;"",INDEX(Kintoneデータ抽出!G:G, _xlfn.AGGREGATE(15, 6, ROW(Kintoneデータ抽出!$K$2:$K$5000) / ((Kintoneデータ抽出!$K$2:$K$5000="院内")), ROW(A236)))&amp;"名",""), "")</f>
        <v/>
      </c>
      <c r="J273" s="76" t="str">
        <f t="array" ref="J273">IFERROR(IF(INDEX(Kintoneデータ抽出!E:E, _xlfn.AGGREGATE(15, 6, ROW(Kintoneデータ抽出!$K$2:$K$5000) / ((Kintoneデータ抽出!$K$2:$K$5000="院内")), ROW(A236)))&lt;&gt;"",
YEAR(INDEX(Kintoneデータ抽出!E:E, _xlfn.AGGREGATE(15, 6, ROW(Kintoneデータ抽出!$K$2:$K$5000) / ((Kintoneデータ抽出!$K$2:$K$5000="院内")), ROW(A236))))&amp;"年"
&amp;MONTH(INDEX(Kintoneデータ抽出!E:E, _xlfn.AGGREGATE(15, 6, ROW(Kintoneデータ抽出!$K$2:$K$5000) / ((Kintoneデータ抽出!$K$2:$K$5000="院内")), ROW(A236))))&amp;"月"
&amp;DAY(INDEX(Kintoneデータ抽出!E:E, _xlfn.AGGREGATE(15, 6, ROW(Kintoneデータ抽出!$K$2:$K$5000) /((Kintoneデータ抽出!$K$2:$K$5000="院内")), ROW(A236))))&amp;"日",""), "")</f>
        <v/>
      </c>
      <c r="K273" s="77" t="str" cm="1">
        <f t="array" ref="K273">IFERROR(IF(INDEX(Kintoneデータ抽出!F:F, _xlfn.AGGREGATE(15, 6, ROW(Kintoneデータ抽出!$K$2:$K$5000) / ((Kintoneデータ抽出!$K$2:$K$5000="院内")), ROW(A236)))&lt;&gt;"",
VLOOKUP(INDEX(Kintoneデータ抽出!F:F, _xlfn.AGGREGATE(15, 6, ROW(Kintoneデータ抽出!$K$2:$K$5000) / ((Kintoneデータ抽出!$K$2:$K$5000="院内")), ROW(A236))),基本開園日の表記!$A$2:$B$13,2,FALSE),""), "")</f>
        <v/>
      </c>
      <c r="L273" s="75" t="str">
        <f t="array" ref="L273">IFERROR(IF(INDEX(Kintoneデータ抽出!F:F, _xlfn.AGGREGATE(15, 6, ROW(Kintoneデータ抽出!$K$2:$K$5000) / ((Kintoneデータ抽出!$K$2:$K$5000="院内")), ROW(A236)))&lt;&gt;"",
IF(COUNTIF(INDEX(Kintoneデータ抽出!F:F, _xlfn.AGGREGATE(15, 6, ROW(Kintoneデータ抽出!$K$2:$K$5000) / ((Kintoneデータ抽出!$K$2:$K$5000="院内")), ROW(A236))),"*あり*"),"夜間",""),""), "")</f>
        <v/>
      </c>
      <c r="M273" s="75" t="str">
        <f t="array" ref="M273">IFERROR(IF(INDEX(Kintoneデータ抽出!I:I, _xlfn.AGGREGATE(15, 6, ROW(Kintoneデータ抽出!$K$2:$K$5000) / ((Kintoneデータ抽出!$K$2:$K$5000="院内")), ROW(A236)))&lt;&gt;"",
IF(COUNTIF(INDEX(Kintoneデータ抽出!I:I, _xlfn.AGGREGATE(15, 6, ROW(Kintoneデータ抽出!$K$2:$K$5000) / ((Kintoneデータ抽出!$K$2:$K$5000="院内")), ROW(A236))),"*あり*"),"学童",""),""), "")</f>
        <v/>
      </c>
      <c r="N273" s="75" t="str">
        <f t="array" ref="N273">IFERROR(IF(INDEX(Kintoneデータ抽出!H:H, _xlfn.AGGREGATE(15, 6, ROW(Kintoneデータ抽出!$K$2:$K$5000) / ((Kintoneデータ抽出!$K$2:$K$5000="院内")), ROW(A236)))&lt;&gt;"",
IF(COUNTIF(INDEX(Kintoneデータ抽出!H:H, _xlfn.AGGREGATE(15, 6, ROW(Kintoneデータ抽出!$K$2:$K$5000) / ((Kintoneデータ抽出!$K$2:$K$5000="院内")), ROW(A236))),"*あり*"),"病児",""),""), "")</f>
        <v/>
      </c>
      <c r="O273" s="94" t="str" cm="1">
        <f t="array" ref="O273">IFERROR(
IF(INDEX(Kintoneデータ抽出!M:M, _xlfn.AGGREGATE(15, 6, ROW(Kintoneデータ抽出!$K$2:$K$5000) / ((Kintoneデータ抽出!$K$2:$K$5000="院内")), ROW(A236)))&lt;&gt;0,INDEX(Kintoneデータ抽出!M:M, _xlfn.AGGREGATE(15, 6, ROW(Kintoneデータ抽出!$K$2:$K$5000) / ((Kintoneデータ抽出!$K$2:$K$5000="院内")), ROW(A236))),""), "")</f>
        <v/>
      </c>
      <c r="P273" s="78" t="str">
        <f t="array" ref="P273">IFERROR(IF(INDEX(Kintoneデータ抽出!L:L, _xlfn.AGGREGATE(15, 6, ROW(Kintoneデータ抽出!$K$2:$K$5000) / ((Kintoneデータ抽出!$K$2:$K$5000="院内")), ROW(A236)))&lt;&gt;"",
IF(COUNTIF(INDEX(Kintoneデータ抽出!L:L, _xlfn.AGGREGATE(15, 6, ROW(Kintoneデータ抽出!$K$2:$K$5000) / ((Kintoneデータ抽出!$K$2:$K$5000="院内")), ROW(A236))),"*企業主導型以外*"),"",
IF(COUNTIF(INDEX(Kintoneデータ抽出!L:L, _xlfn.AGGREGATE(15, 6, ROW(Kintoneデータ抽出!$K$2:$K$5000) / ((Kintoneデータ抽出!$K$2:$K$5000="院内")), ROW(A236))),"*その他*"),"",
IF(COUNTIF(INDEX(Kintoneデータ抽出!L:L, _xlfn.AGGREGATE(15, 6, ROW(Kintoneデータ抽出!$K$2:$K$5000) / ((Kintoneデータ抽出!$K$2:$K$5000="院内")), ROW(A236))),"*新制度*"),"新制度","企業主導型"))),""), "")</f>
        <v/>
      </c>
    </row>
    <row r="274" spans="2:16" ht="34.799999999999997" customHeight="1" x14ac:dyDescent="0.45">
      <c r="B274" s="45"/>
      <c r="C274" s="46"/>
      <c r="D274" s="98" t="str">
        <f t="shared" si="4"/>
        <v/>
      </c>
      <c r="E274" s="99"/>
      <c r="F274" s="75" t="str">
        <f t="array" ref="F274">IFERROR(INDEX(Kintoneデータ抽出!A:A, _xlfn.AGGREGATE(15, 6, ROW(Kintoneデータ抽出!$K$2:$K$5000) / ((Kintoneデータ抽出!$K$2:$K$5000="院内")), ROW(A237))), "")</f>
        <v/>
      </c>
      <c r="G274" s="77" t="str">
        <f t="array" ref="G274">IFERROR(INDEX(Kintoneデータ抽出!D:D, _xlfn.AGGREGATE(15, 6, ROW(Kintoneデータ抽出!$K$2:$K$5000) / ((Kintoneデータ抽出!$K$2:$K$5000="院内")), ROW(A237))), "")</f>
        <v/>
      </c>
      <c r="H274" s="77" t="str">
        <f t="array" ref="H274">IFERROR(INDEX(Kintoneデータ抽出!C:C, _xlfn.AGGREGATE(15, 6, ROW(Kintoneデータ抽出!$K$2:$K$5000) / ((Kintoneデータ抽出!$K$2:$K$5000="院内")), ROW(A237))), "")</f>
        <v/>
      </c>
      <c r="I274" s="75" t="str">
        <f t="array" ref="I274">IFERROR(IF(INDEX(Kintoneデータ抽出!G:G, _xlfn.AGGREGATE(15, 6, ROW(Kintoneデータ抽出!$K$2:$K$5000) / ((Kintoneデータ抽出!$K$2:$K$5000="院内")), ROW(A237)))&lt;&gt;"",INDEX(Kintoneデータ抽出!G:G, _xlfn.AGGREGATE(15, 6, ROW(Kintoneデータ抽出!$K$2:$K$5000) / ((Kintoneデータ抽出!$K$2:$K$5000="院内")), ROW(A237)))&amp;"名",""), "")</f>
        <v/>
      </c>
      <c r="J274" s="76" t="str">
        <f t="array" ref="J274">IFERROR(IF(INDEX(Kintoneデータ抽出!E:E, _xlfn.AGGREGATE(15, 6, ROW(Kintoneデータ抽出!$K$2:$K$5000) / ((Kintoneデータ抽出!$K$2:$K$5000="院内")), ROW(A237)))&lt;&gt;"",
YEAR(INDEX(Kintoneデータ抽出!E:E, _xlfn.AGGREGATE(15, 6, ROW(Kintoneデータ抽出!$K$2:$K$5000) / ((Kintoneデータ抽出!$K$2:$K$5000="院内")), ROW(A237))))&amp;"年"
&amp;MONTH(INDEX(Kintoneデータ抽出!E:E, _xlfn.AGGREGATE(15, 6, ROW(Kintoneデータ抽出!$K$2:$K$5000) / ((Kintoneデータ抽出!$K$2:$K$5000="院内")), ROW(A237))))&amp;"月"
&amp;DAY(INDEX(Kintoneデータ抽出!E:E, _xlfn.AGGREGATE(15, 6, ROW(Kintoneデータ抽出!$K$2:$K$5000) /((Kintoneデータ抽出!$K$2:$K$5000="院内")), ROW(A237))))&amp;"日",""), "")</f>
        <v/>
      </c>
      <c r="K274" s="77" t="str" cm="1">
        <f t="array" ref="K274">IFERROR(IF(INDEX(Kintoneデータ抽出!F:F, _xlfn.AGGREGATE(15, 6, ROW(Kintoneデータ抽出!$K$2:$K$5000) / ((Kintoneデータ抽出!$K$2:$K$5000="院内")), ROW(A237)))&lt;&gt;"",
VLOOKUP(INDEX(Kintoneデータ抽出!F:F, _xlfn.AGGREGATE(15, 6, ROW(Kintoneデータ抽出!$K$2:$K$5000) / ((Kintoneデータ抽出!$K$2:$K$5000="院内")), ROW(A237))),基本開園日の表記!$A$2:$B$13,2,FALSE),""), "")</f>
        <v/>
      </c>
      <c r="L274" s="75" t="str">
        <f t="array" ref="L274">IFERROR(IF(INDEX(Kintoneデータ抽出!F:F, _xlfn.AGGREGATE(15, 6, ROW(Kintoneデータ抽出!$K$2:$K$5000) / ((Kintoneデータ抽出!$K$2:$K$5000="院内")), ROW(A237)))&lt;&gt;"",
IF(COUNTIF(INDEX(Kintoneデータ抽出!F:F, _xlfn.AGGREGATE(15, 6, ROW(Kintoneデータ抽出!$K$2:$K$5000) / ((Kintoneデータ抽出!$K$2:$K$5000="院内")), ROW(A237))),"*あり*"),"夜間",""),""), "")</f>
        <v/>
      </c>
      <c r="M274" s="75" t="str">
        <f t="array" ref="M274">IFERROR(IF(INDEX(Kintoneデータ抽出!I:I, _xlfn.AGGREGATE(15, 6, ROW(Kintoneデータ抽出!$K$2:$K$5000) / ((Kintoneデータ抽出!$K$2:$K$5000="院内")), ROW(A237)))&lt;&gt;"",
IF(COUNTIF(INDEX(Kintoneデータ抽出!I:I, _xlfn.AGGREGATE(15, 6, ROW(Kintoneデータ抽出!$K$2:$K$5000) / ((Kintoneデータ抽出!$K$2:$K$5000="院内")), ROW(A237))),"*あり*"),"学童",""),""), "")</f>
        <v/>
      </c>
      <c r="N274" s="75" t="str">
        <f t="array" ref="N274">IFERROR(IF(INDEX(Kintoneデータ抽出!H:H, _xlfn.AGGREGATE(15, 6, ROW(Kintoneデータ抽出!$K$2:$K$5000) / ((Kintoneデータ抽出!$K$2:$K$5000="院内")), ROW(A237)))&lt;&gt;"",
IF(COUNTIF(INDEX(Kintoneデータ抽出!H:H, _xlfn.AGGREGATE(15, 6, ROW(Kintoneデータ抽出!$K$2:$K$5000) / ((Kintoneデータ抽出!$K$2:$K$5000="院内")), ROW(A237))),"*あり*"),"病児",""),""), "")</f>
        <v/>
      </c>
      <c r="O274" s="94" t="str" cm="1">
        <f t="array" ref="O274">IFERROR(
IF(INDEX(Kintoneデータ抽出!M:M, _xlfn.AGGREGATE(15, 6, ROW(Kintoneデータ抽出!$K$2:$K$5000) / ((Kintoneデータ抽出!$K$2:$K$5000="院内")), ROW(A237)))&lt;&gt;0,INDEX(Kintoneデータ抽出!M:M, _xlfn.AGGREGATE(15, 6, ROW(Kintoneデータ抽出!$K$2:$K$5000) / ((Kintoneデータ抽出!$K$2:$K$5000="院内")), ROW(A237))),""), "")</f>
        <v/>
      </c>
      <c r="P274" s="78" t="str">
        <f t="array" ref="P274">IFERROR(IF(INDEX(Kintoneデータ抽出!L:L, _xlfn.AGGREGATE(15, 6, ROW(Kintoneデータ抽出!$K$2:$K$5000) / ((Kintoneデータ抽出!$K$2:$K$5000="院内")), ROW(A237)))&lt;&gt;"",
IF(COUNTIF(INDEX(Kintoneデータ抽出!L:L, _xlfn.AGGREGATE(15, 6, ROW(Kintoneデータ抽出!$K$2:$K$5000) / ((Kintoneデータ抽出!$K$2:$K$5000="院内")), ROW(A237))),"*企業主導型以外*"),"",
IF(COUNTIF(INDEX(Kintoneデータ抽出!L:L, _xlfn.AGGREGATE(15, 6, ROW(Kintoneデータ抽出!$K$2:$K$5000) / ((Kintoneデータ抽出!$K$2:$K$5000="院内")), ROW(A237))),"*その他*"),"",
IF(COUNTIF(INDEX(Kintoneデータ抽出!L:L, _xlfn.AGGREGATE(15, 6, ROW(Kintoneデータ抽出!$K$2:$K$5000) / ((Kintoneデータ抽出!$K$2:$K$5000="院内")), ROW(A237))),"*新制度*"),"新制度","企業主導型"))),""), "")</f>
        <v/>
      </c>
    </row>
    <row r="275" spans="2:16" ht="34.799999999999997" customHeight="1" x14ac:dyDescent="0.45">
      <c r="B275" s="45"/>
      <c r="C275" s="46"/>
      <c r="D275" s="98" t="str">
        <f t="shared" si="4"/>
        <v/>
      </c>
      <c r="E275" s="99"/>
      <c r="F275" s="75" t="str">
        <f t="array" ref="F275">IFERROR(INDEX(Kintoneデータ抽出!A:A, _xlfn.AGGREGATE(15, 6, ROW(Kintoneデータ抽出!$K$2:$K$5000) / ((Kintoneデータ抽出!$K$2:$K$5000="院内")), ROW(A238))), "")</f>
        <v/>
      </c>
      <c r="G275" s="77" t="str">
        <f t="array" ref="G275">IFERROR(INDEX(Kintoneデータ抽出!D:D, _xlfn.AGGREGATE(15, 6, ROW(Kintoneデータ抽出!$K$2:$K$5000) / ((Kintoneデータ抽出!$K$2:$K$5000="院内")), ROW(A238))), "")</f>
        <v/>
      </c>
      <c r="H275" s="77" t="str">
        <f t="array" ref="H275">IFERROR(INDEX(Kintoneデータ抽出!C:C, _xlfn.AGGREGATE(15, 6, ROW(Kintoneデータ抽出!$K$2:$K$5000) / ((Kintoneデータ抽出!$K$2:$K$5000="院内")), ROW(A238))), "")</f>
        <v/>
      </c>
      <c r="I275" s="75" t="str">
        <f t="array" ref="I275">IFERROR(IF(INDEX(Kintoneデータ抽出!G:G, _xlfn.AGGREGATE(15, 6, ROW(Kintoneデータ抽出!$K$2:$K$5000) / ((Kintoneデータ抽出!$K$2:$K$5000="院内")), ROW(A238)))&lt;&gt;"",INDEX(Kintoneデータ抽出!G:G, _xlfn.AGGREGATE(15, 6, ROW(Kintoneデータ抽出!$K$2:$K$5000) / ((Kintoneデータ抽出!$K$2:$K$5000="院内")), ROW(A238)))&amp;"名",""), "")</f>
        <v/>
      </c>
      <c r="J275" s="76" t="str">
        <f t="array" ref="J275">IFERROR(IF(INDEX(Kintoneデータ抽出!E:E, _xlfn.AGGREGATE(15, 6, ROW(Kintoneデータ抽出!$K$2:$K$5000) / ((Kintoneデータ抽出!$K$2:$K$5000="院内")), ROW(A238)))&lt;&gt;"",
YEAR(INDEX(Kintoneデータ抽出!E:E, _xlfn.AGGREGATE(15, 6, ROW(Kintoneデータ抽出!$K$2:$K$5000) / ((Kintoneデータ抽出!$K$2:$K$5000="院内")), ROW(A238))))&amp;"年"
&amp;MONTH(INDEX(Kintoneデータ抽出!E:E, _xlfn.AGGREGATE(15, 6, ROW(Kintoneデータ抽出!$K$2:$K$5000) / ((Kintoneデータ抽出!$K$2:$K$5000="院内")), ROW(A238))))&amp;"月"
&amp;DAY(INDEX(Kintoneデータ抽出!E:E, _xlfn.AGGREGATE(15, 6, ROW(Kintoneデータ抽出!$K$2:$K$5000) /((Kintoneデータ抽出!$K$2:$K$5000="院内")), ROW(A238))))&amp;"日",""), "")</f>
        <v/>
      </c>
      <c r="K275" s="77" t="str" cm="1">
        <f t="array" ref="K275">IFERROR(IF(INDEX(Kintoneデータ抽出!F:F, _xlfn.AGGREGATE(15, 6, ROW(Kintoneデータ抽出!$K$2:$K$5000) / ((Kintoneデータ抽出!$K$2:$K$5000="院内")), ROW(A238)))&lt;&gt;"",
VLOOKUP(INDEX(Kintoneデータ抽出!F:F, _xlfn.AGGREGATE(15, 6, ROW(Kintoneデータ抽出!$K$2:$K$5000) / ((Kintoneデータ抽出!$K$2:$K$5000="院内")), ROW(A238))),基本開園日の表記!$A$2:$B$13,2,FALSE),""), "")</f>
        <v/>
      </c>
      <c r="L275" s="75" t="str">
        <f t="array" ref="L275">IFERROR(IF(INDEX(Kintoneデータ抽出!F:F, _xlfn.AGGREGATE(15, 6, ROW(Kintoneデータ抽出!$K$2:$K$5000) / ((Kintoneデータ抽出!$K$2:$K$5000="院内")), ROW(A238)))&lt;&gt;"",
IF(COUNTIF(INDEX(Kintoneデータ抽出!F:F, _xlfn.AGGREGATE(15, 6, ROW(Kintoneデータ抽出!$K$2:$K$5000) / ((Kintoneデータ抽出!$K$2:$K$5000="院内")), ROW(A238))),"*あり*"),"夜間",""),""), "")</f>
        <v/>
      </c>
      <c r="M275" s="75" t="str">
        <f t="array" ref="M275">IFERROR(IF(INDEX(Kintoneデータ抽出!I:I, _xlfn.AGGREGATE(15, 6, ROW(Kintoneデータ抽出!$K$2:$K$5000) / ((Kintoneデータ抽出!$K$2:$K$5000="院内")), ROW(A238)))&lt;&gt;"",
IF(COUNTIF(INDEX(Kintoneデータ抽出!I:I, _xlfn.AGGREGATE(15, 6, ROW(Kintoneデータ抽出!$K$2:$K$5000) / ((Kintoneデータ抽出!$K$2:$K$5000="院内")), ROW(A238))),"*あり*"),"学童",""),""), "")</f>
        <v/>
      </c>
      <c r="N275" s="75" t="str">
        <f t="array" ref="N275">IFERROR(IF(INDEX(Kintoneデータ抽出!H:H, _xlfn.AGGREGATE(15, 6, ROW(Kintoneデータ抽出!$K$2:$K$5000) / ((Kintoneデータ抽出!$K$2:$K$5000="院内")), ROW(A238)))&lt;&gt;"",
IF(COUNTIF(INDEX(Kintoneデータ抽出!H:H, _xlfn.AGGREGATE(15, 6, ROW(Kintoneデータ抽出!$K$2:$K$5000) / ((Kintoneデータ抽出!$K$2:$K$5000="院内")), ROW(A238))),"*あり*"),"病児",""),""), "")</f>
        <v/>
      </c>
      <c r="O275" s="94" t="str" cm="1">
        <f t="array" ref="O275">IFERROR(
IF(INDEX(Kintoneデータ抽出!M:M, _xlfn.AGGREGATE(15, 6, ROW(Kintoneデータ抽出!$K$2:$K$5000) / ((Kintoneデータ抽出!$K$2:$K$5000="院内")), ROW(A238)))&lt;&gt;0,INDEX(Kintoneデータ抽出!M:M, _xlfn.AGGREGATE(15, 6, ROW(Kintoneデータ抽出!$K$2:$K$5000) / ((Kintoneデータ抽出!$K$2:$K$5000="院内")), ROW(A238))),""), "")</f>
        <v/>
      </c>
      <c r="P275" s="78" t="str">
        <f t="array" ref="P275">IFERROR(IF(INDEX(Kintoneデータ抽出!L:L, _xlfn.AGGREGATE(15, 6, ROW(Kintoneデータ抽出!$K$2:$K$5000) / ((Kintoneデータ抽出!$K$2:$K$5000="院内")), ROW(A238)))&lt;&gt;"",
IF(COUNTIF(INDEX(Kintoneデータ抽出!L:L, _xlfn.AGGREGATE(15, 6, ROW(Kintoneデータ抽出!$K$2:$K$5000) / ((Kintoneデータ抽出!$K$2:$K$5000="院内")), ROW(A238))),"*企業主導型以外*"),"",
IF(COUNTIF(INDEX(Kintoneデータ抽出!L:L, _xlfn.AGGREGATE(15, 6, ROW(Kintoneデータ抽出!$K$2:$K$5000) / ((Kintoneデータ抽出!$K$2:$K$5000="院内")), ROW(A238))),"*その他*"),"",
IF(COUNTIF(INDEX(Kintoneデータ抽出!L:L, _xlfn.AGGREGATE(15, 6, ROW(Kintoneデータ抽出!$K$2:$K$5000) / ((Kintoneデータ抽出!$K$2:$K$5000="院内")), ROW(A238))),"*新制度*"),"新制度","企業主導型"))),""), "")</f>
        <v/>
      </c>
    </row>
    <row r="276" spans="2:16" ht="34.799999999999997" customHeight="1" x14ac:dyDescent="0.45">
      <c r="B276" s="45"/>
      <c r="C276" s="46"/>
      <c r="D276" s="98" t="str">
        <f t="shared" si="4"/>
        <v/>
      </c>
      <c r="E276" s="99"/>
      <c r="F276" s="75" t="str">
        <f t="array" ref="F276">IFERROR(INDEX(Kintoneデータ抽出!A:A, _xlfn.AGGREGATE(15, 6, ROW(Kintoneデータ抽出!$K$2:$K$5000) / ((Kintoneデータ抽出!$K$2:$K$5000="院内")), ROW(A239))), "")</f>
        <v/>
      </c>
      <c r="G276" s="77" t="str">
        <f t="array" ref="G276">IFERROR(INDEX(Kintoneデータ抽出!D:D, _xlfn.AGGREGATE(15, 6, ROW(Kintoneデータ抽出!$K$2:$K$5000) / ((Kintoneデータ抽出!$K$2:$K$5000="院内")), ROW(A239))), "")</f>
        <v/>
      </c>
      <c r="H276" s="77" t="str">
        <f t="array" ref="H276">IFERROR(INDEX(Kintoneデータ抽出!C:C, _xlfn.AGGREGATE(15, 6, ROW(Kintoneデータ抽出!$K$2:$K$5000) / ((Kintoneデータ抽出!$K$2:$K$5000="院内")), ROW(A239))), "")</f>
        <v/>
      </c>
      <c r="I276" s="75" t="str">
        <f t="array" ref="I276">IFERROR(IF(INDEX(Kintoneデータ抽出!G:G, _xlfn.AGGREGATE(15, 6, ROW(Kintoneデータ抽出!$K$2:$K$5000) / ((Kintoneデータ抽出!$K$2:$K$5000="院内")), ROW(A239)))&lt;&gt;"",INDEX(Kintoneデータ抽出!G:G, _xlfn.AGGREGATE(15, 6, ROW(Kintoneデータ抽出!$K$2:$K$5000) / ((Kintoneデータ抽出!$K$2:$K$5000="院内")), ROW(A239)))&amp;"名",""), "")</f>
        <v/>
      </c>
      <c r="J276" s="76" t="str">
        <f t="array" ref="J276">IFERROR(IF(INDEX(Kintoneデータ抽出!E:E, _xlfn.AGGREGATE(15, 6, ROW(Kintoneデータ抽出!$K$2:$K$5000) / ((Kintoneデータ抽出!$K$2:$K$5000="院内")), ROW(A239)))&lt;&gt;"",
YEAR(INDEX(Kintoneデータ抽出!E:E, _xlfn.AGGREGATE(15, 6, ROW(Kintoneデータ抽出!$K$2:$K$5000) / ((Kintoneデータ抽出!$K$2:$K$5000="院内")), ROW(A239))))&amp;"年"
&amp;MONTH(INDEX(Kintoneデータ抽出!E:E, _xlfn.AGGREGATE(15, 6, ROW(Kintoneデータ抽出!$K$2:$K$5000) / ((Kintoneデータ抽出!$K$2:$K$5000="院内")), ROW(A239))))&amp;"月"
&amp;DAY(INDEX(Kintoneデータ抽出!E:E, _xlfn.AGGREGATE(15, 6, ROW(Kintoneデータ抽出!$K$2:$K$5000) /((Kintoneデータ抽出!$K$2:$K$5000="院内")), ROW(A239))))&amp;"日",""), "")</f>
        <v/>
      </c>
      <c r="K276" s="77" t="str" cm="1">
        <f t="array" ref="K276">IFERROR(IF(INDEX(Kintoneデータ抽出!F:F, _xlfn.AGGREGATE(15, 6, ROW(Kintoneデータ抽出!$K$2:$K$5000) / ((Kintoneデータ抽出!$K$2:$K$5000="院内")), ROW(A239)))&lt;&gt;"",
VLOOKUP(INDEX(Kintoneデータ抽出!F:F, _xlfn.AGGREGATE(15, 6, ROW(Kintoneデータ抽出!$K$2:$K$5000) / ((Kintoneデータ抽出!$K$2:$K$5000="院内")), ROW(A239))),基本開園日の表記!$A$2:$B$13,2,FALSE),""), "")</f>
        <v/>
      </c>
      <c r="L276" s="75" t="str">
        <f t="array" ref="L276">IFERROR(IF(INDEX(Kintoneデータ抽出!F:F, _xlfn.AGGREGATE(15, 6, ROW(Kintoneデータ抽出!$K$2:$K$5000) / ((Kintoneデータ抽出!$K$2:$K$5000="院内")), ROW(A239)))&lt;&gt;"",
IF(COUNTIF(INDEX(Kintoneデータ抽出!F:F, _xlfn.AGGREGATE(15, 6, ROW(Kintoneデータ抽出!$K$2:$K$5000) / ((Kintoneデータ抽出!$K$2:$K$5000="院内")), ROW(A239))),"*あり*"),"夜間",""),""), "")</f>
        <v/>
      </c>
      <c r="M276" s="75" t="str">
        <f t="array" ref="M276">IFERROR(IF(INDEX(Kintoneデータ抽出!I:I, _xlfn.AGGREGATE(15, 6, ROW(Kintoneデータ抽出!$K$2:$K$5000) / ((Kintoneデータ抽出!$K$2:$K$5000="院内")), ROW(A239)))&lt;&gt;"",
IF(COUNTIF(INDEX(Kintoneデータ抽出!I:I, _xlfn.AGGREGATE(15, 6, ROW(Kintoneデータ抽出!$K$2:$K$5000) / ((Kintoneデータ抽出!$K$2:$K$5000="院内")), ROW(A239))),"*あり*"),"学童",""),""), "")</f>
        <v/>
      </c>
      <c r="N276" s="75" t="str">
        <f t="array" ref="N276">IFERROR(IF(INDEX(Kintoneデータ抽出!H:H, _xlfn.AGGREGATE(15, 6, ROW(Kintoneデータ抽出!$K$2:$K$5000) / ((Kintoneデータ抽出!$K$2:$K$5000="院内")), ROW(A239)))&lt;&gt;"",
IF(COUNTIF(INDEX(Kintoneデータ抽出!H:H, _xlfn.AGGREGATE(15, 6, ROW(Kintoneデータ抽出!$K$2:$K$5000) / ((Kintoneデータ抽出!$K$2:$K$5000="院内")), ROW(A239))),"*あり*"),"病児",""),""), "")</f>
        <v/>
      </c>
      <c r="O276" s="94" t="str" cm="1">
        <f t="array" ref="O276">IFERROR(
IF(INDEX(Kintoneデータ抽出!M:M, _xlfn.AGGREGATE(15, 6, ROW(Kintoneデータ抽出!$K$2:$K$5000) / ((Kintoneデータ抽出!$K$2:$K$5000="院内")), ROW(A239)))&lt;&gt;0,INDEX(Kintoneデータ抽出!M:M, _xlfn.AGGREGATE(15, 6, ROW(Kintoneデータ抽出!$K$2:$K$5000) / ((Kintoneデータ抽出!$K$2:$K$5000="院内")), ROW(A239))),""), "")</f>
        <v/>
      </c>
      <c r="P276" s="78" t="str">
        <f t="array" ref="P276">IFERROR(IF(INDEX(Kintoneデータ抽出!L:L, _xlfn.AGGREGATE(15, 6, ROW(Kintoneデータ抽出!$K$2:$K$5000) / ((Kintoneデータ抽出!$K$2:$K$5000="院内")), ROW(A239)))&lt;&gt;"",
IF(COUNTIF(INDEX(Kintoneデータ抽出!L:L, _xlfn.AGGREGATE(15, 6, ROW(Kintoneデータ抽出!$K$2:$K$5000) / ((Kintoneデータ抽出!$K$2:$K$5000="院内")), ROW(A239))),"*企業主導型以外*"),"",
IF(COUNTIF(INDEX(Kintoneデータ抽出!L:L, _xlfn.AGGREGATE(15, 6, ROW(Kintoneデータ抽出!$K$2:$K$5000) / ((Kintoneデータ抽出!$K$2:$K$5000="院内")), ROW(A239))),"*その他*"),"",
IF(COUNTIF(INDEX(Kintoneデータ抽出!L:L, _xlfn.AGGREGATE(15, 6, ROW(Kintoneデータ抽出!$K$2:$K$5000) / ((Kintoneデータ抽出!$K$2:$K$5000="院内")), ROW(A239))),"*新制度*"),"新制度","企業主導型"))),""), "")</f>
        <v/>
      </c>
    </row>
    <row r="277" spans="2:16" ht="34.799999999999997" customHeight="1" x14ac:dyDescent="0.45">
      <c r="B277" s="45"/>
      <c r="C277" s="46"/>
      <c r="D277" s="98" t="str">
        <f t="shared" si="4"/>
        <v/>
      </c>
      <c r="E277" s="99"/>
      <c r="F277" s="75" t="str">
        <f t="array" ref="F277">IFERROR(INDEX(Kintoneデータ抽出!A:A, _xlfn.AGGREGATE(15, 6, ROW(Kintoneデータ抽出!$K$2:$K$5000) / ((Kintoneデータ抽出!$K$2:$K$5000="院内")), ROW(A240))), "")</f>
        <v/>
      </c>
      <c r="G277" s="77" t="str">
        <f t="array" ref="G277">IFERROR(INDEX(Kintoneデータ抽出!D:D, _xlfn.AGGREGATE(15, 6, ROW(Kintoneデータ抽出!$K$2:$K$5000) / ((Kintoneデータ抽出!$K$2:$K$5000="院内")), ROW(A240))), "")</f>
        <v/>
      </c>
      <c r="H277" s="77" t="str">
        <f t="array" ref="H277">IFERROR(INDEX(Kintoneデータ抽出!C:C, _xlfn.AGGREGATE(15, 6, ROW(Kintoneデータ抽出!$K$2:$K$5000) / ((Kintoneデータ抽出!$K$2:$K$5000="院内")), ROW(A240))), "")</f>
        <v/>
      </c>
      <c r="I277" s="75" t="str">
        <f t="array" ref="I277">IFERROR(IF(INDEX(Kintoneデータ抽出!G:G, _xlfn.AGGREGATE(15, 6, ROW(Kintoneデータ抽出!$K$2:$K$5000) / ((Kintoneデータ抽出!$K$2:$K$5000="院内")), ROW(A240)))&lt;&gt;"",INDEX(Kintoneデータ抽出!G:G, _xlfn.AGGREGATE(15, 6, ROW(Kintoneデータ抽出!$K$2:$K$5000) / ((Kintoneデータ抽出!$K$2:$K$5000="院内")), ROW(A240)))&amp;"名",""), "")</f>
        <v/>
      </c>
      <c r="J277" s="76" t="str">
        <f t="array" ref="J277">IFERROR(IF(INDEX(Kintoneデータ抽出!E:E, _xlfn.AGGREGATE(15, 6, ROW(Kintoneデータ抽出!$K$2:$K$5000) / ((Kintoneデータ抽出!$K$2:$K$5000="院内")), ROW(A240)))&lt;&gt;"",
YEAR(INDEX(Kintoneデータ抽出!E:E, _xlfn.AGGREGATE(15, 6, ROW(Kintoneデータ抽出!$K$2:$K$5000) / ((Kintoneデータ抽出!$K$2:$K$5000="院内")), ROW(A240))))&amp;"年"
&amp;MONTH(INDEX(Kintoneデータ抽出!E:E, _xlfn.AGGREGATE(15, 6, ROW(Kintoneデータ抽出!$K$2:$K$5000) / ((Kintoneデータ抽出!$K$2:$K$5000="院内")), ROW(A240))))&amp;"月"
&amp;DAY(INDEX(Kintoneデータ抽出!E:E, _xlfn.AGGREGATE(15, 6, ROW(Kintoneデータ抽出!$K$2:$K$5000) /((Kintoneデータ抽出!$K$2:$K$5000="院内")), ROW(A240))))&amp;"日",""), "")</f>
        <v/>
      </c>
      <c r="K277" s="77" t="str" cm="1">
        <f t="array" ref="K277">IFERROR(IF(INDEX(Kintoneデータ抽出!F:F, _xlfn.AGGREGATE(15, 6, ROW(Kintoneデータ抽出!$K$2:$K$5000) / ((Kintoneデータ抽出!$K$2:$K$5000="院内")), ROW(A240)))&lt;&gt;"",
VLOOKUP(INDEX(Kintoneデータ抽出!F:F, _xlfn.AGGREGATE(15, 6, ROW(Kintoneデータ抽出!$K$2:$K$5000) / ((Kintoneデータ抽出!$K$2:$K$5000="院内")), ROW(A240))),基本開園日の表記!$A$2:$B$13,2,FALSE),""), "")</f>
        <v/>
      </c>
      <c r="L277" s="75" t="str">
        <f t="array" ref="L277">IFERROR(IF(INDEX(Kintoneデータ抽出!F:F, _xlfn.AGGREGATE(15, 6, ROW(Kintoneデータ抽出!$K$2:$K$5000) / ((Kintoneデータ抽出!$K$2:$K$5000="院内")), ROW(A240)))&lt;&gt;"",
IF(COUNTIF(INDEX(Kintoneデータ抽出!F:F, _xlfn.AGGREGATE(15, 6, ROW(Kintoneデータ抽出!$K$2:$K$5000) / ((Kintoneデータ抽出!$K$2:$K$5000="院内")), ROW(A240))),"*あり*"),"夜間",""),""), "")</f>
        <v/>
      </c>
      <c r="M277" s="75" t="str">
        <f t="array" ref="M277">IFERROR(IF(INDEX(Kintoneデータ抽出!I:I, _xlfn.AGGREGATE(15, 6, ROW(Kintoneデータ抽出!$K$2:$K$5000) / ((Kintoneデータ抽出!$K$2:$K$5000="院内")), ROW(A240)))&lt;&gt;"",
IF(COUNTIF(INDEX(Kintoneデータ抽出!I:I, _xlfn.AGGREGATE(15, 6, ROW(Kintoneデータ抽出!$K$2:$K$5000) / ((Kintoneデータ抽出!$K$2:$K$5000="院内")), ROW(A240))),"*あり*"),"学童",""),""), "")</f>
        <v/>
      </c>
      <c r="N277" s="75" t="str">
        <f t="array" ref="N277">IFERROR(IF(INDEX(Kintoneデータ抽出!H:H, _xlfn.AGGREGATE(15, 6, ROW(Kintoneデータ抽出!$K$2:$K$5000) / ((Kintoneデータ抽出!$K$2:$K$5000="院内")), ROW(A240)))&lt;&gt;"",
IF(COUNTIF(INDEX(Kintoneデータ抽出!H:H, _xlfn.AGGREGATE(15, 6, ROW(Kintoneデータ抽出!$K$2:$K$5000) / ((Kintoneデータ抽出!$K$2:$K$5000="院内")), ROW(A240))),"*あり*"),"病児",""),""), "")</f>
        <v/>
      </c>
      <c r="O277" s="94" t="str" cm="1">
        <f t="array" ref="O277">IFERROR(
IF(INDEX(Kintoneデータ抽出!M:M, _xlfn.AGGREGATE(15, 6, ROW(Kintoneデータ抽出!$K$2:$K$5000) / ((Kintoneデータ抽出!$K$2:$K$5000="院内")), ROW(A240)))&lt;&gt;0,INDEX(Kintoneデータ抽出!M:M, _xlfn.AGGREGATE(15, 6, ROW(Kintoneデータ抽出!$K$2:$K$5000) / ((Kintoneデータ抽出!$K$2:$K$5000="院内")), ROW(A240))),""), "")</f>
        <v/>
      </c>
      <c r="P277" s="78" t="str">
        <f t="array" ref="P277">IFERROR(IF(INDEX(Kintoneデータ抽出!L:L, _xlfn.AGGREGATE(15, 6, ROW(Kintoneデータ抽出!$K$2:$K$5000) / ((Kintoneデータ抽出!$K$2:$K$5000="院内")), ROW(A240)))&lt;&gt;"",
IF(COUNTIF(INDEX(Kintoneデータ抽出!L:L, _xlfn.AGGREGATE(15, 6, ROW(Kintoneデータ抽出!$K$2:$K$5000) / ((Kintoneデータ抽出!$K$2:$K$5000="院内")), ROW(A240))),"*企業主導型以外*"),"",
IF(COUNTIF(INDEX(Kintoneデータ抽出!L:L, _xlfn.AGGREGATE(15, 6, ROW(Kintoneデータ抽出!$K$2:$K$5000) / ((Kintoneデータ抽出!$K$2:$K$5000="院内")), ROW(A240))),"*その他*"),"",
IF(COUNTIF(INDEX(Kintoneデータ抽出!L:L, _xlfn.AGGREGATE(15, 6, ROW(Kintoneデータ抽出!$K$2:$K$5000) / ((Kintoneデータ抽出!$K$2:$K$5000="院内")), ROW(A240))),"*新制度*"),"新制度","企業主導型"))),""), "")</f>
        <v/>
      </c>
    </row>
    <row r="278" spans="2:16" ht="34.799999999999997" customHeight="1" x14ac:dyDescent="0.45">
      <c r="B278" s="45"/>
      <c r="C278" s="46"/>
      <c r="D278" s="98" t="str">
        <f t="shared" si="4"/>
        <v/>
      </c>
      <c r="E278" s="99"/>
      <c r="F278" s="75" t="str">
        <f t="array" ref="F278">IFERROR(INDEX(Kintoneデータ抽出!A:A, _xlfn.AGGREGATE(15, 6, ROW(Kintoneデータ抽出!$K$2:$K$5000) / ((Kintoneデータ抽出!$K$2:$K$5000="院内")), ROW(A241))), "")</f>
        <v/>
      </c>
      <c r="G278" s="77" t="str">
        <f t="array" ref="G278">IFERROR(INDEX(Kintoneデータ抽出!D:D, _xlfn.AGGREGATE(15, 6, ROW(Kintoneデータ抽出!$K$2:$K$5000) / ((Kintoneデータ抽出!$K$2:$K$5000="院内")), ROW(A241))), "")</f>
        <v/>
      </c>
      <c r="H278" s="77" t="str">
        <f t="array" ref="H278">IFERROR(INDEX(Kintoneデータ抽出!C:C, _xlfn.AGGREGATE(15, 6, ROW(Kintoneデータ抽出!$K$2:$K$5000) / ((Kintoneデータ抽出!$K$2:$K$5000="院内")), ROW(A241))), "")</f>
        <v/>
      </c>
      <c r="I278" s="75" t="str">
        <f t="array" ref="I278">IFERROR(IF(INDEX(Kintoneデータ抽出!G:G, _xlfn.AGGREGATE(15, 6, ROW(Kintoneデータ抽出!$K$2:$K$5000) / ((Kintoneデータ抽出!$K$2:$K$5000="院内")), ROW(A241)))&lt;&gt;"",INDEX(Kintoneデータ抽出!G:G, _xlfn.AGGREGATE(15, 6, ROW(Kintoneデータ抽出!$K$2:$K$5000) / ((Kintoneデータ抽出!$K$2:$K$5000="院内")), ROW(A241)))&amp;"名",""), "")</f>
        <v/>
      </c>
      <c r="J278" s="76" t="str">
        <f t="array" ref="J278">IFERROR(IF(INDEX(Kintoneデータ抽出!E:E, _xlfn.AGGREGATE(15, 6, ROW(Kintoneデータ抽出!$K$2:$K$5000) / ((Kintoneデータ抽出!$K$2:$K$5000="院内")), ROW(A241)))&lt;&gt;"",
YEAR(INDEX(Kintoneデータ抽出!E:E, _xlfn.AGGREGATE(15, 6, ROW(Kintoneデータ抽出!$K$2:$K$5000) / ((Kintoneデータ抽出!$K$2:$K$5000="院内")), ROW(A241))))&amp;"年"
&amp;MONTH(INDEX(Kintoneデータ抽出!E:E, _xlfn.AGGREGATE(15, 6, ROW(Kintoneデータ抽出!$K$2:$K$5000) / ((Kintoneデータ抽出!$K$2:$K$5000="院内")), ROW(A241))))&amp;"月"
&amp;DAY(INDEX(Kintoneデータ抽出!E:E, _xlfn.AGGREGATE(15, 6, ROW(Kintoneデータ抽出!$K$2:$K$5000) /((Kintoneデータ抽出!$K$2:$K$5000="院内")), ROW(A241))))&amp;"日",""), "")</f>
        <v/>
      </c>
      <c r="K278" s="77" t="str" cm="1">
        <f t="array" ref="K278">IFERROR(IF(INDEX(Kintoneデータ抽出!F:F, _xlfn.AGGREGATE(15, 6, ROW(Kintoneデータ抽出!$K$2:$K$5000) / ((Kintoneデータ抽出!$K$2:$K$5000="院内")), ROW(A241)))&lt;&gt;"",
VLOOKUP(INDEX(Kintoneデータ抽出!F:F, _xlfn.AGGREGATE(15, 6, ROW(Kintoneデータ抽出!$K$2:$K$5000) / ((Kintoneデータ抽出!$K$2:$K$5000="院内")), ROW(A241))),基本開園日の表記!$A$2:$B$13,2,FALSE),""), "")</f>
        <v/>
      </c>
      <c r="L278" s="75" t="str">
        <f t="array" ref="L278">IFERROR(IF(INDEX(Kintoneデータ抽出!F:F, _xlfn.AGGREGATE(15, 6, ROW(Kintoneデータ抽出!$K$2:$K$5000) / ((Kintoneデータ抽出!$K$2:$K$5000="院内")), ROW(A241)))&lt;&gt;"",
IF(COUNTIF(INDEX(Kintoneデータ抽出!F:F, _xlfn.AGGREGATE(15, 6, ROW(Kintoneデータ抽出!$K$2:$K$5000) / ((Kintoneデータ抽出!$K$2:$K$5000="院内")), ROW(A241))),"*あり*"),"夜間",""),""), "")</f>
        <v/>
      </c>
      <c r="M278" s="75" t="str">
        <f t="array" ref="M278">IFERROR(IF(INDEX(Kintoneデータ抽出!I:I, _xlfn.AGGREGATE(15, 6, ROW(Kintoneデータ抽出!$K$2:$K$5000) / ((Kintoneデータ抽出!$K$2:$K$5000="院内")), ROW(A241)))&lt;&gt;"",
IF(COUNTIF(INDEX(Kintoneデータ抽出!I:I, _xlfn.AGGREGATE(15, 6, ROW(Kintoneデータ抽出!$K$2:$K$5000) / ((Kintoneデータ抽出!$K$2:$K$5000="院内")), ROW(A241))),"*あり*"),"学童",""),""), "")</f>
        <v/>
      </c>
      <c r="N278" s="75" t="str">
        <f t="array" ref="N278">IFERROR(IF(INDEX(Kintoneデータ抽出!H:H, _xlfn.AGGREGATE(15, 6, ROW(Kintoneデータ抽出!$K$2:$K$5000) / ((Kintoneデータ抽出!$K$2:$K$5000="院内")), ROW(A241)))&lt;&gt;"",
IF(COUNTIF(INDEX(Kintoneデータ抽出!H:H, _xlfn.AGGREGATE(15, 6, ROW(Kintoneデータ抽出!$K$2:$K$5000) / ((Kintoneデータ抽出!$K$2:$K$5000="院内")), ROW(A241))),"*あり*"),"病児",""),""), "")</f>
        <v/>
      </c>
      <c r="O278" s="94" t="str" cm="1">
        <f t="array" ref="O278">IFERROR(
IF(INDEX(Kintoneデータ抽出!M:M, _xlfn.AGGREGATE(15, 6, ROW(Kintoneデータ抽出!$K$2:$K$5000) / ((Kintoneデータ抽出!$K$2:$K$5000="院内")), ROW(A241)))&lt;&gt;0,INDEX(Kintoneデータ抽出!M:M, _xlfn.AGGREGATE(15, 6, ROW(Kintoneデータ抽出!$K$2:$K$5000) / ((Kintoneデータ抽出!$K$2:$K$5000="院内")), ROW(A241))),""), "")</f>
        <v/>
      </c>
      <c r="P278" s="78" t="str">
        <f t="array" ref="P278">IFERROR(IF(INDEX(Kintoneデータ抽出!L:L, _xlfn.AGGREGATE(15, 6, ROW(Kintoneデータ抽出!$K$2:$K$5000) / ((Kintoneデータ抽出!$K$2:$K$5000="院内")), ROW(A241)))&lt;&gt;"",
IF(COUNTIF(INDEX(Kintoneデータ抽出!L:L, _xlfn.AGGREGATE(15, 6, ROW(Kintoneデータ抽出!$K$2:$K$5000) / ((Kintoneデータ抽出!$K$2:$K$5000="院内")), ROW(A241))),"*企業主導型以外*"),"",
IF(COUNTIF(INDEX(Kintoneデータ抽出!L:L, _xlfn.AGGREGATE(15, 6, ROW(Kintoneデータ抽出!$K$2:$K$5000) / ((Kintoneデータ抽出!$K$2:$K$5000="院内")), ROW(A241))),"*その他*"),"",
IF(COUNTIF(INDEX(Kintoneデータ抽出!L:L, _xlfn.AGGREGATE(15, 6, ROW(Kintoneデータ抽出!$K$2:$K$5000) / ((Kintoneデータ抽出!$K$2:$K$5000="院内")), ROW(A241))),"*新制度*"),"新制度","企業主導型"))),""), "")</f>
        <v/>
      </c>
    </row>
    <row r="279" spans="2:16" ht="34.799999999999997" customHeight="1" x14ac:dyDescent="0.45">
      <c r="B279" s="45"/>
      <c r="C279" s="46"/>
      <c r="D279" s="98" t="str">
        <f t="shared" si="4"/>
        <v/>
      </c>
      <c r="E279" s="99"/>
      <c r="F279" s="75" t="str">
        <f t="array" ref="F279">IFERROR(INDEX(Kintoneデータ抽出!A:A, _xlfn.AGGREGATE(15, 6, ROW(Kintoneデータ抽出!$K$2:$K$5000) / ((Kintoneデータ抽出!$K$2:$K$5000="院内")), ROW(A242))), "")</f>
        <v/>
      </c>
      <c r="G279" s="77" t="str">
        <f t="array" ref="G279">IFERROR(INDEX(Kintoneデータ抽出!D:D, _xlfn.AGGREGATE(15, 6, ROW(Kintoneデータ抽出!$K$2:$K$5000) / ((Kintoneデータ抽出!$K$2:$K$5000="院内")), ROW(A242))), "")</f>
        <v/>
      </c>
      <c r="H279" s="77" t="str">
        <f t="array" ref="H279">IFERROR(INDEX(Kintoneデータ抽出!C:C, _xlfn.AGGREGATE(15, 6, ROW(Kintoneデータ抽出!$K$2:$K$5000) / ((Kintoneデータ抽出!$K$2:$K$5000="院内")), ROW(A242))), "")</f>
        <v/>
      </c>
      <c r="I279" s="75" t="str">
        <f t="array" ref="I279">IFERROR(IF(INDEX(Kintoneデータ抽出!G:G, _xlfn.AGGREGATE(15, 6, ROW(Kintoneデータ抽出!$K$2:$K$5000) / ((Kintoneデータ抽出!$K$2:$K$5000="院内")), ROW(A242)))&lt;&gt;"",INDEX(Kintoneデータ抽出!G:G, _xlfn.AGGREGATE(15, 6, ROW(Kintoneデータ抽出!$K$2:$K$5000) / ((Kintoneデータ抽出!$K$2:$K$5000="院内")), ROW(A242)))&amp;"名",""), "")</f>
        <v/>
      </c>
      <c r="J279" s="76" t="str">
        <f t="array" ref="J279">IFERROR(IF(INDEX(Kintoneデータ抽出!E:E, _xlfn.AGGREGATE(15, 6, ROW(Kintoneデータ抽出!$K$2:$K$5000) / ((Kintoneデータ抽出!$K$2:$K$5000="院内")), ROW(A242)))&lt;&gt;"",
YEAR(INDEX(Kintoneデータ抽出!E:E, _xlfn.AGGREGATE(15, 6, ROW(Kintoneデータ抽出!$K$2:$K$5000) / ((Kintoneデータ抽出!$K$2:$K$5000="院内")), ROW(A242))))&amp;"年"
&amp;MONTH(INDEX(Kintoneデータ抽出!E:E, _xlfn.AGGREGATE(15, 6, ROW(Kintoneデータ抽出!$K$2:$K$5000) / ((Kintoneデータ抽出!$K$2:$K$5000="院内")), ROW(A242))))&amp;"月"
&amp;DAY(INDEX(Kintoneデータ抽出!E:E, _xlfn.AGGREGATE(15, 6, ROW(Kintoneデータ抽出!$K$2:$K$5000) /((Kintoneデータ抽出!$K$2:$K$5000="院内")), ROW(A242))))&amp;"日",""), "")</f>
        <v/>
      </c>
      <c r="K279" s="77" t="str" cm="1">
        <f t="array" ref="K279">IFERROR(IF(INDEX(Kintoneデータ抽出!F:F, _xlfn.AGGREGATE(15, 6, ROW(Kintoneデータ抽出!$K$2:$K$5000) / ((Kintoneデータ抽出!$K$2:$K$5000="院内")), ROW(A242)))&lt;&gt;"",
VLOOKUP(INDEX(Kintoneデータ抽出!F:F, _xlfn.AGGREGATE(15, 6, ROW(Kintoneデータ抽出!$K$2:$K$5000) / ((Kintoneデータ抽出!$K$2:$K$5000="院内")), ROW(A242))),基本開園日の表記!$A$2:$B$13,2,FALSE),""), "")</f>
        <v/>
      </c>
      <c r="L279" s="75" t="str">
        <f t="array" ref="L279">IFERROR(IF(INDEX(Kintoneデータ抽出!F:F, _xlfn.AGGREGATE(15, 6, ROW(Kintoneデータ抽出!$K$2:$K$5000) / ((Kintoneデータ抽出!$K$2:$K$5000="院内")), ROW(A242)))&lt;&gt;"",
IF(COUNTIF(INDEX(Kintoneデータ抽出!F:F, _xlfn.AGGREGATE(15, 6, ROW(Kintoneデータ抽出!$K$2:$K$5000) / ((Kintoneデータ抽出!$K$2:$K$5000="院内")), ROW(A242))),"*あり*"),"夜間",""),""), "")</f>
        <v/>
      </c>
      <c r="M279" s="75" t="str">
        <f t="array" ref="M279">IFERROR(IF(INDEX(Kintoneデータ抽出!I:I, _xlfn.AGGREGATE(15, 6, ROW(Kintoneデータ抽出!$K$2:$K$5000) / ((Kintoneデータ抽出!$K$2:$K$5000="院内")), ROW(A242)))&lt;&gt;"",
IF(COUNTIF(INDEX(Kintoneデータ抽出!I:I, _xlfn.AGGREGATE(15, 6, ROW(Kintoneデータ抽出!$K$2:$K$5000) / ((Kintoneデータ抽出!$K$2:$K$5000="院内")), ROW(A242))),"*あり*"),"学童",""),""), "")</f>
        <v/>
      </c>
      <c r="N279" s="75" t="str">
        <f t="array" ref="N279">IFERROR(IF(INDEX(Kintoneデータ抽出!H:H, _xlfn.AGGREGATE(15, 6, ROW(Kintoneデータ抽出!$K$2:$K$5000) / ((Kintoneデータ抽出!$K$2:$K$5000="院内")), ROW(A242)))&lt;&gt;"",
IF(COUNTIF(INDEX(Kintoneデータ抽出!H:H, _xlfn.AGGREGATE(15, 6, ROW(Kintoneデータ抽出!$K$2:$K$5000) / ((Kintoneデータ抽出!$K$2:$K$5000="院内")), ROW(A242))),"*あり*"),"病児",""),""), "")</f>
        <v/>
      </c>
      <c r="O279" s="94" t="str" cm="1">
        <f t="array" ref="O279">IFERROR(
IF(INDEX(Kintoneデータ抽出!M:M, _xlfn.AGGREGATE(15, 6, ROW(Kintoneデータ抽出!$K$2:$K$5000) / ((Kintoneデータ抽出!$K$2:$K$5000="院内")), ROW(A242)))&lt;&gt;0,INDEX(Kintoneデータ抽出!M:M, _xlfn.AGGREGATE(15, 6, ROW(Kintoneデータ抽出!$K$2:$K$5000) / ((Kintoneデータ抽出!$K$2:$K$5000="院内")), ROW(A242))),""), "")</f>
        <v/>
      </c>
      <c r="P279" s="78" t="str">
        <f t="array" ref="P279">IFERROR(IF(INDEX(Kintoneデータ抽出!L:L, _xlfn.AGGREGATE(15, 6, ROW(Kintoneデータ抽出!$K$2:$K$5000) / ((Kintoneデータ抽出!$K$2:$K$5000="院内")), ROW(A242)))&lt;&gt;"",
IF(COUNTIF(INDEX(Kintoneデータ抽出!L:L, _xlfn.AGGREGATE(15, 6, ROW(Kintoneデータ抽出!$K$2:$K$5000) / ((Kintoneデータ抽出!$K$2:$K$5000="院内")), ROW(A242))),"*企業主導型以外*"),"",
IF(COUNTIF(INDEX(Kintoneデータ抽出!L:L, _xlfn.AGGREGATE(15, 6, ROW(Kintoneデータ抽出!$K$2:$K$5000) / ((Kintoneデータ抽出!$K$2:$K$5000="院内")), ROW(A242))),"*その他*"),"",
IF(COUNTIF(INDEX(Kintoneデータ抽出!L:L, _xlfn.AGGREGATE(15, 6, ROW(Kintoneデータ抽出!$K$2:$K$5000) / ((Kintoneデータ抽出!$K$2:$K$5000="院内")), ROW(A242))),"*新制度*"),"新制度","企業主導型"))),""), "")</f>
        <v/>
      </c>
    </row>
    <row r="280" spans="2:16" ht="34.799999999999997" customHeight="1" x14ac:dyDescent="0.45">
      <c r="B280" s="45"/>
      <c r="C280" s="46"/>
      <c r="D280" s="98" t="str">
        <f t="shared" si="4"/>
        <v/>
      </c>
      <c r="E280" s="99"/>
      <c r="F280" s="75" t="str">
        <f t="array" ref="F280">IFERROR(INDEX(Kintoneデータ抽出!A:A, _xlfn.AGGREGATE(15, 6, ROW(Kintoneデータ抽出!$K$2:$K$5000) / ((Kintoneデータ抽出!$K$2:$K$5000="院内")), ROW(A243))), "")</f>
        <v/>
      </c>
      <c r="G280" s="77" t="str">
        <f t="array" ref="G280">IFERROR(INDEX(Kintoneデータ抽出!D:D, _xlfn.AGGREGATE(15, 6, ROW(Kintoneデータ抽出!$K$2:$K$5000) / ((Kintoneデータ抽出!$K$2:$K$5000="院内")), ROW(A243))), "")</f>
        <v/>
      </c>
      <c r="H280" s="77" t="str">
        <f t="array" ref="H280">IFERROR(INDEX(Kintoneデータ抽出!C:C, _xlfn.AGGREGATE(15, 6, ROW(Kintoneデータ抽出!$K$2:$K$5000) / ((Kintoneデータ抽出!$K$2:$K$5000="院内")), ROW(A243))), "")</f>
        <v/>
      </c>
      <c r="I280" s="75" t="str">
        <f t="array" ref="I280">IFERROR(IF(INDEX(Kintoneデータ抽出!G:G, _xlfn.AGGREGATE(15, 6, ROW(Kintoneデータ抽出!$K$2:$K$5000) / ((Kintoneデータ抽出!$K$2:$K$5000="院内")), ROW(A243)))&lt;&gt;"",INDEX(Kintoneデータ抽出!G:G, _xlfn.AGGREGATE(15, 6, ROW(Kintoneデータ抽出!$K$2:$K$5000) / ((Kintoneデータ抽出!$K$2:$K$5000="院内")), ROW(A243)))&amp;"名",""), "")</f>
        <v/>
      </c>
      <c r="J280" s="76" t="str">
        <f t="array" ref="J280">IFERROR(IF(INDEX(Kintoneデータ抽出!E:E, _xlfn.AGGREGATE(15, 6, ROW(Kintoneデータ抽出!$K$2:$K$5000) / ((Kintoneデータ抽出!$K$2:$K$5000="院内")), ROW(A243)))&lt;&gt;"",
YEAR(INDEX(Kintoneデータ抽出!E:E, _xlfn.AGGREGATE(15, 6, ROW(Kintoneデータ抽出!$K$2:$K$5000) / ((Kintoneデータ抽出!$K$2:$K$5000="院内")), ROW(A243))))&amp;"年"
&amp;MONTH(INDEX(Kintoneデータ抽出!E:E, _xlfn.AGGREGATE(15, 6, ROW(Kintoneデータ抽出!$K$2:$K$5000) / ((Kintoneデータ抽出!$K$2:$K$5000="院内")), ROW(A243))))&amp;"月"
&amp;DAY(INDEX(Kintoneデータ抽出!E:E, _xlfn.AGGREGATE(15, 6, ROW(Kintoneデータ抽出!$K$2:$K$5000) /((Kintoneデータ抽出!$K$2:$K$5000="院内")), ROW(A243))))&amp;"日",""), "")</f>
        <v/>
      </c>
      <c r="K280" s="77" t="str" cm="1">
        <f t="array" ref="K280">IFERROR(IF(INDEX(Kintoneデータ抽出!F:F, _xlfn.AGGREGATE(15, 6, ROW(Kintoneデータ抽出!$K$2:$K$5000) / ((Kintoneデータ抽出!$K$2:$K$5000="院内")), ROW(A243)))&lt;&gt;"",
VLOOKUP(INDEX(Kintoneデータ抽出!F:F, _xlfn.AGGREGATE(15, 6, ROW(Kintoneデータ抽出!$K$2:$K$5000) / ((Kintoneデータ抽出!$K$2:$K$5000="院内")), ROW(A243))),基本開園日の表記!$A$2:$B$13,2,FALSE),""), "")</f>
        <v/>
      </c>
      <c r="L280" s="75" t="str">
        <f t="array" ref="L280">IFERROR(IF(INDEX(Kintoneデータ抽出!F:F, _xlfn.AGGREGATE(15, 6, ROW(Kintoneデータ抽出!$K$2:$K$5000) / ((Kintoneデータ抽出!$K$2:$K$5000="院内")), ROW(A243)))&lt;&gt;"",
IF(COUNTIF(INDEX(Kintoneデータ抽出!F:F, _xlfn.AGGREGATE(15, 6, ROW(Kintoneデータ抽出!$K$2:$K$5000) / ((Kintoneデータ抽出!$K$2:$K$5000="院内")), ROW(A243))),"*あり*"),"夜間",""),""), "")</f>
        <v/>
      </c>
      <c r="M280" s="75" t="str">
        <f t="array" ref="M280">IFERROR(IF(INDEX(Kintoneデータ抽出!I:I, _xlfn.AGGREGATE(15, 6, ROW(Kintoneデータ抽出!$K$2:$K$5000) / ((Kintoneデータ抽出!$K$2:$K$5000="院内")), ROW(A243)))&lt;&gt;"",
IF(COUNTIF(INDEX(Kintoneデータ抽出!I:I, _xlfn.AGGREGATE(15, 6, ROW(Kintoneデータ抽出!$K$2:$K$5000) / ((Kintoneデータ抽出!$K$2:$K$5000="院内")), ROW(A243))),"*あり*"),"学童",""),""), "")</f>
        <v/>
      </c>
      <c r="N280" s="75" t="str">
        <f t="array" ref="N280">IFERROR(IF(INDEX(Kintoneデータ抽出!H:H, _xlfn.AGGREGATE(15, 6, ROW(Kintoneデータ抽出!$K$2:$K$5000) / ((Kintoneデータ抽出!$K$2:$K$5000="院内")), ROW(A243)))&lt;&gt;"",
IF(COUNTIF(INDEX(Kintoneデータ抽出!H:H, _xlfn.AGGREGATE(15, 6, ROW(Kintoneデータ抽出!$K$2:$K$5000) / ((Kintoneデータ抽出!$K$2:$K$5000="院内")), ROW(A243))),"*あり*"),"病児",""),""), "")</f>
        <v/>
      </c>
      <c r="O280" s="94" t="str" cm="1">
        <f t="array" ref="O280">IFERROR(
IF(INDEX(Kintoneデータ抽出!M:M, _xlfn.AGGREGATE(15, 6, ROW(Kintoneデータ抽出!$K$2:$K$5000) / ((Kintoneデータ抽出!$K$2:$K$5000="院内")), ROW(A243)))&lt;&gt;0,INDEX(Kintoneデータ抽出!M:M, _xlfn.AGGREGATE(15, 6, ROW(Kintoneデータ抽出!$K$2:$K$5000) / ((Kintoneデータ抽出!$K$2:$K$5000="院内")), ROW(A243))),""), "")</f>
        <v/>
      </c>
      <c r="P280" s="78" t="str">
        <f t="array" ref="P280">IFERROR(IF(INDEX(Kintoneデータ抽出!L:L, _xlfn.AGGREGATE(15, 6, ROW(Kintoneデータ抽出!$K$2:$K$5000) / ((Kintoneデータ抽出!$K$2:$K$5000="院内")), ROW(A243)))&lt;&gt;"",
IF(COUNTIF(INDEX(Kintoneデータ抽出!L:L, _xlfn.AGGREGATE(15, 6, ROW(Kintoneデータ抽出!$K$2:$K$5000) / ((Kintoneデータ抽出!$K$2:$K$5000="院内")), ROW(A243))),"*企業主導型以外*"),"",
IF(COUNTIF(INDEX(Kintoneデータ抽出!L:L, _xlfn.AGGREGATE(15, 6, ROW(Kintoneデータ抽出!$K$2:$K$5000) / ((Kintoneデータ抽出!$K$2:$K$5000="院内")), ROW(A243))),"*その他*"),"",
IF(COUNTIF(INDEX(Kintoneデータ抽出!L:L, _xlfn.AGGREGATE(15, 6, ROW(Kintoneデータ抽出!$K$2:$K$5000) / ((Kintoneデータ抽出!$K$2:$K$5000="院内")), ROW(A243))),"*新制度*"),"新制度","企業主導型"))),""), "")</f>
        <v/>
      </c>
    </row>
    <row r="281" spans="2:16" ht="34.799999999999997" customHeight="1" x14ac:dyDescent="0.45">
      <c r="B281" s="45"/>
      <c r="C281" s="46"/>
      <c r="D281" s="98" t="str">
        <f t="shared" si="4"/>
        <v/>
      </c>
      <c r="E281" s="99"/>
      <c r="F281" s="75" t="str">
        <f t="array" ref="F281">IFERROR(INDEX(Kintoneデータ抽出!A:A, _xlfn.AGGREGATE(15, 6, ROW(Kintoneデータ抽出!$K$2:$K$5000) / ((Kintoneデータ抽出!$K$2:$K$5000="院内")), ROW(A244))), "")</f>
        <v/>
      </c>
      <c r="G281" s="77" t="str">
        <f t="array" ref="G281">IFERROR(INDEX(Kintoneデータ抽出!D:D, _xlfn.AGGREGATE(15, 6, ROW(Kintoneデータ抽出!$K$2:$K$5000) / ((Kintoneデータ抽出!$K$2:$K$5000="院内")), ROW(A244))), "")</f>
        <v/>
      </c>
      <c r="H281" s="77" t="str">
        <f t="array" ref="H281">IFERROR(INDEX(Kintoneデータ抽出!C:C, _xlfn.AGGREGATE(15, 6, ROW(Kintoneデータ抽出!$K$2:$K$5000) / ((Kintoneデータ抽出!$K$2:$K$5000="院内")), ROW(A244))), "")</f>
        <v/>
      </c>
      <c r="I281" s="75" t="str">
        <f t="array" ref="I281">IFERROR(IF(INDEX(Kintoneデータ抽出!G:G, _xlfn.AGGREGATE(15, 6, ROW(Kintoneデータ抽出!$K$2:$K$5000) / ((Kintoneデータ抽出!$K$2:$K$5000="院内")), ROW(A244)))&lt;&gt;"",INDEX(Kintoneデータ抽出!G:G, _xlfn.AGGREGATE(15, 6, ROW(Kintoneデータ抽出!$K$2:$K$5000) / ((Kintoneデータ抽出!$K$2:$K$5000="院内")), ROW(A244)))&amp;"名",""), "")</f>
        <v/>
      </c>
      <c r="J281" s="76" t="str">
        <f t="array" ref="J281">IFERROR(IF(INDEX(Kintoneデータ抽出!E:E, _xlfn.AGGREGATE(15, 6, ROW(Kintoneデータ抽出!$K$2:$K$5000) / ((Kintoneデータ抽出!$K$2:$K$5000="院内")), ROW(A244)))&lt;&gt;"",
YEAR(INDEX(Kintoneデータ抽出!E:E, _xlfn.AGGREGATE(15, 6, ROW(Kintoneデータ抽出!$K$2:$K$5000) / ((Kintoneデータ抽出!$K$2:$K$5000="院内")), ROW(A244))))&amp;"年"
&amp;MONTH(INDEX(Kintoneデータ抽出!E:E, _xlfn.AGGREGATE(15, 6, ROW(Kintoneデータ抽出!$K$2:$K$5000) / ((Kintoneデータ抽出!$K$2:$K$5000="院内")), ROW(A244))))&amp;"月"
&amp;DAY(INDEX(Kintoneデータ抽出!E:E, _xlfn.AGGREGATE(15, 6, ROW(Kintoneデータ抽出!$K$2:$K$5000) /((Kintoneデータ抽出!$K$2:$K$5000="院内")), ROW(A244))))&amp;"日",""), "")</f>
        <v/>
      </c>
      <c r="K281" s="77" t="str" cm="1">
        <f t="array" ref="K281">IFERROR(IF(INDEX(Kintoneデータ抽出!F:F, _xlfn.AGGREGATE(15, 6, ROW(Kintoneデータ抽出!$K$2:$K$5000) / ((Kintoneデータ抽出!$K$2:$K$5000="院内")), ROW(A244)))&lt;&gt;"",
VLOOKUP(INDEX(Kintoneデータ抽出!F:F, _xlfn.AGGREGATE(15, 6, ROW(Kintoneデータ抽出!$K$2:$K$5000) / ((Kintoneデータ抽出!$K$2:$K$5000="院内")), ROW(A244))),基本開園日の表記!$A$2:$B$13,2,FALSE),""), "")</f>
        <v/>
      </c>
      <c r="L281" s="75" t="str">
        <f t="array" ref="L281">IFERROR(IF(INDEX(Kintoneデータ抽出!F:F, _xlfn.AGGREGATE(15, 6, ROW(Kintoneデータ抽出!$K$2:$K$5000) / ((Kintoneデータ抽出!$K$2:$K$5000="院内")), ROW(A244)))&lt;&gt;"",
IF(COUNTIF(INDEX(Kintoneデータ抽出!F:F, _xlfn.AGGREGATE(15, 6, ROW(Kintoneデータ抽出!$K$2:$K$5000) / ((Kintoneデータ抽出!$K$2:$K$5000="院内")), ROW(A244))),"*あり*"),"夜間",""),""), "")</f>
        <v/>
      </c>
      <c r="M281" s="75" t="str">
        <f t="array" ref="M281">IFERROR(IF(INDEX(Kintoneデータ抽出!I:I, _xlfn.AGGREGATE(15, 6, ROW(Kintoneデータ抽出!$K$2:$K$5000) / ((Kintoneデータ抽出!$K$2:$K$5000="院内")), ROW(A244)))&lt;&gt;"",
IF(COUNTIF(INDEX(Kintoneデータ抽出!I:I, _xlfn.AGGREGATE(15, 6, ROW(Kintoneデータ抽出!$K$2:$K$5000) / ((Kintoneデータ抽出!$K$2:$K$5000="院内")), ROW(A244))),"*あり*"),"学童",""),""), "")</f>
        <v/>
      </c>
      <c r="N281" s="75" t="str">
        <f t="array" ref="N281">IFERROR(IF(INDEX(Kintoneデータ抽出!H:H, _xlfn.AGGREGATE(15, 6, ROW(Kintoneデータ抽出!$K$2:$K$5000) / ((Kintoneデータ抽出!$K$2:$K$5000="院内")), ROW(A244)))&lt;&gt;"",
IF(COUNTIF(INDEX(Kintoneデータ抽出!H:H, _xlfn.AGGREGATE(15, 6, ROW(Kintoneデータ抽出!$K$2:$K$5000) / ((Kintoneデータ抽出!$K$2:$K$5000="院内")), ROW(A244))),"*あり*"),"病児",""),""), "")</f>
        <v/>
      </c>
      <c r="O281" s="94" t="str" cm="1">
        <f t="array" ref="O281">IFERROR(
IF(INDEX(Kintoneデータ抽出!M:M, _xlfn.AGGREGATE(15, 6, ROW(Kintoneデータ抽出!$K$2:$K$5000) / ((Kintoneデータ抽出!$K$2:$K$5000="院内")), ROW(A244)))&lt;&gt;0,INDEX(Kintoneデータ抽出!M:M, _xlfn.AGGREGATE(15, 6, ROW(Kintoneデータ抽出!$K$2:$K$5000) / ((Kintoneデータ抽出!$K$2:$K$5000="院内")), ROW(A244))),""), "")</f>
        <v/>
      </c>
      <c r="P281" s="78" t="str">
        <f t="array" ref="P281">IFERROR(IF(INDEX(Kintoneデータ抽出!L:L, _xlfn.AGGREGATE(15, 6, ROW(Kintoneデータ抽出!$K$2:$K$5000) / ((Kintoneデータ抽出!$K$2:$K$5000="院内")), ROW(A244)))&lt;&gt;"",
IF(COUNTIF(INDEX(Kintoneデータ抽出!L:L, _xlfn.AGGREGATE(15, 6, ROW(Kintoneデータ抽出!$K$2:$K$5000) / ((Kintoneデータ抽出!$K$2:$K$5000="院内")), ROW(A244))),"*企業主導型以外*"),"",
IF(COUNTIF(INDEX(Kintoneデータ抽出!L:L, _xlfn.AGGREGATE(15, 6, ROW(Kintoneデータ抽出!$K$2:$K$5000) / ((Kintoneデータ抽出!$K$2:$K$5000="院内")), ROW(A244))),"*その他*"),"",
IF(COUNTIF(INDEX(Kintoneデータ抽出!L:L, _xlfn.AGGREGATE(15, 6, ROW(Kintoneデータ抽出!$K$2:$K$5000) / ((Kintoneデータ抽出!$K$2:$K$5000="院内")), ROW(A244))),"*新制度*"),"新制度","企業主導型"))),""), "")</f>
        <v/>
      </c>
    </row>
    <row r="282" spans="2:16" ht="34.799999999999997" customHeight="1" x14ac:dyDescent="0.45">
      <c r="B282" s="45"/>
      <c r="C282" s="46"/>
      <c r="D282" s="98" t="str">
        <f t="shared" si="4"/>
        <v/>
      </c>
      <c r="E282" s="99"/>
      <c r="F282" s="75" t="str">
        <f t="array" ref="F282">IFERROR(INDEX(Kintoneデータ抽出!A:A, _xlfn.AGGREGATE(15, 6, ROW(Kintoneデータ抽出!$K$2:$K$5000) / ((Kintoneデータ抽出!$K$2:$K$5000="院内")), ROW(A245))), "")</f>
        <v/>
      </c>
      <c r="G282" s="77" t="str">
        <f t="array" ref="G282">IFERROR(INDEX(Kintoneデータ抽出!D:D, _xlfn.AGGREGATE(15, 6, ROW(Kintoneデータ抽出!$K$2:$K$5000) / ((Kintoneデータ抽出!$K$2:$K$5000="院内")), ROW(A245))), "")</f>
        <v/>
      </c>
      <c r="H282" s="77" t="str">
        <f t="array" ref="H282">IFERROR(INDEX(Kintoneデータ抽出!C:C, _xlfn.AGGREGATE(15, 6, ROW(Kintoneデータ抽出!$K$2:$K$5000) / ((Kintoneデータ抽出!$K$2:$K$5000="院内")), ROW(A245))), "")</f>
        <v/>
      </c>
      <c r="I282" s="75" t="str">
        <f t="array" ref="I282">IFERROR(IF(INDEX(Kintoneデータ抽出!G:G, _xlfn.AGGREGATE(15, 6, ROW(Kintoneデータ抽出!$K$2:$K$5000) / ((Kintoneデータ抽出!$K$2:$K$5000="院内")), ROW(A245)))&lt;&gt;"",INDEX(Kintoneデータ抽出!G:G, _xlfn.AGGREGATE(15, 6, ROW(Kintoneデータ抽出!$K$2:$K$5000) / ((Kintoneデータ抽出!$K$2:$K$5000="院内")), ROW(A245)))&amp;"名",""), "")</f>
        <v/>
      </c>
      <c r="J282" s="76" t="str">
        <f t="array" ref="J282">IFERROR(IF(INDEX(Kintoneデータ抽出!E:E, _xlfn.AGGREGATE(15, 6, ROW(Kintoneデータ抽出!$K$2:$K$5000) / ((Kintoneデータ抽出!$K$2:$K$5000="院内")), ROW(A245)))&lt;&gt;"",
YEAR(INDEX(Kintoneデータ抽出!E:E, _xlfn.AGGREGATE(15, 6, ROW(Kintoneデータ抽出!$K$2:$K$5000) / ((Kintoneデータ抽出!$K$2:$K$5000="院内")), ROW(A245))))&amp;"年"
&amp;MONTH(INDEX(Kintoneデータ抽出!E:E, _xlfn.AGGREGATE(15, 6, ROW(Kintoneデータ抽出!$K$2:$K$5000) / ((Kintoneデータ抽出!$K$2:$K$5000="院内")), ROW(A245))))&amp;"月"
&amp;DAY(INDEX(Kintoneデータ抽出!E:E, _xlfn.AGGREGATE(15, 6, ROW(Kintoneデータ抽出!$K$2:$K$5000) /((Kintoneデータ抽出!$K$2:$K$5000="院内")), ROW(A245))))&amp;"日",""), "")</f>
        <v/>
      </c>
      <c r="K282" s="77" t="str" cm="1">
        <f t="array" ref="K282">IFERROR(IF(INDEX(Kintoneデータ抽出!F:F, _xlfn.AGGREGATE(15, 6, ROW(Kintoneデータ抽出!$K$2:$K$5000) / ((Kintoneデータ抽出!$K$2:$K$5000="院内")), ROW(A245)))&lt;&gt;"",
VLOOKUP(INDEX(Kintoneデータ抽出!F:F, _xlfn.AGGREGATE(15, 6, ROW(Kintoneデータ抽出!$K$2:$K$5000) / ((Kintoneデータ抽出!$K$2:$K$5000="院内")), ROW(A245))),基本開園日の表記!$A$2:$B$13,2,FALSE),""), "")</f>
        <v/>
      </c>
      <c r="L282" s="75" t="str">
        <f t="array" ref="L282">IFERROR(IF(INDEX(Kintoneデータ抽出!F:F, _xlfn.AGGREGATE(15, 6, ROW(Kintoneデータ抽出!$K$2:$K$5000) / ((Kintoneデータ抽出!$K$2:$K$5000="院内")), ROW(A245)))&lt;&gt;"",
IF(COUNTIF(INDEX(Kintoneデータ抽出!F:F, _xlfn.AGGREGATE(15, 6, ROW(Kintoneデータ抽出!$K$2:$K$5000) / ((Kintoneデータ抽出!$K$2:$K$5000="院内")), ROW(A245))),"*あり*"),"夜間",""),""), "")</f>
        <v/>
      </c>
      <c r="M282" s="75" t="str">
        <f t="array" ref="M282">IFERROR(IF(INDEX(Kintoneデータ抽出!I:I, _xlfn.AGGREGATE(15, 6, ROW(Kintoneデータ抽出!$K$2:$K$5000) / ((Kintoneデータ抽出!$K$2:$K$5000="院内")), ROW(A245)))&lt;&gt;"",
IF(COUNTIF(INDEX(Kintoneデータ抽出!I:I, _xlfn.AGGREGATE(15, 6, ROW(Kintoneデータ抽出!$K$2:$K$5000) / ((Kintoneデータ抽出!$K$2:$K$5000="院内")), ROW(A245))),"*あり*"),"学童",""),""), "")</f>
        <v/>
      </c>
      <c r="N282" s="75" t="str">
        <f t="array" ref="N282">IFERROR(IF(INDEX(Kintoneデータ抽出!H:H, _xlfn.AGGREGATE(15, 6, ROW(Kintoneデータ抽出!$K$2:$K$5000) / ((Kintoneデータ抽出!$K$2:$K$5000="院内")), ROW(A245)))&lt;&gt;"",
IF(COUNTIF(INDEX(Kintoneデータ抽出!H:H, _xlfn.AGGREGATE(15, 6, ROW(Kintoneデータ抽出!$K$2:$K$5000) / ((Kintoneデータ抽出!$K$2:$K$5000="院内")), ROW(A245))),"*あり*"),"病児",""),""), "")</f>
        <v/>
      </c>
      <c r="O282" s="94" t="str" cm="1">
        <f t="array" ref="O282">IFERROR(
IF(INDEX(Kintoneデータ抽出!M:M, _xlfn.AGGREGATE(15, 6, ROW(Kintoneデータ抽出!$K$2:$K$5000) / ((Kintoneデータ抽出!$K$2:$K$5000="院内")), ROW(A245)))&lt;&gt;0,INDEX(Kintoneデータ抽出!M:M, _xlfn.AGGREGATE(15, 6, ROW(Kintoneデータ抽出!$K$2:$K$5000) / ((Kintoneデータ抽出!$K$2:$K$5000="院内")), ROW(A245))),""), "")</f>
        <v/>
      </c>
      <c r="P282" s="78" t="str">
        <f t="array" ref="P282">IFERROR(IF(INDEX(Kintoneデータ抽出!L:L, _xlfn.AGGREGATE(15, 6, ROW(Kintoneデータ抽出!$K$2:$K$5000) / ((Kintoneデータ抽出!$K$2:$K$5000="院内")), ROW(A245)))&lt;&gt;"",
IF(COUNTIF(INDEX(Kintoneデータ抽出!L:L, _xlfn.AGGREGATE(15, 6, ROW(Kintoneデータ抽出!$K$2:$K$5000) / ((Kintoneデータ抽出!$K$2:$K$5000="院内")), ROW(A245))),"*企業主導型以外*"),"",
IF(COUNTIF(INDEX(Kintoneデータ抽出!L:L, _xlfn.AGGREGATE(15, 6, ROW(Kintoneデータ抽出!$K$2:$K$5000) / ((Kintoneデータ抽出!$K$2:$K$5000="院内")), ROW(A245))),"*その他*"),"",
IF(COUNTIF(INDEX(Kintoneデータ抽出!L:L, _xlfn.AGGREGATE(15, 6, ROW(Kintoneデータ抽出!$K$2:$K$5000) / ((Kintoneデータ抽出!$K$2:$K$5000="院内")), ROW(A245))),"*新制度*"),"新制度","企業主導型"))),""), "")</f>
        <v/>
      </c>
    </row>
    <row r="283" spans="2:16" ht="34.799999999999997" customHeight="1" x14ac:dyDescent="0.45">
      <c r="B283" s="45"/>
      <c r="C283" s="46"/>
      <c r="D283" s="98" t="str">
        <f t="shared" si="4"/>
        <v/>
      </c>
      <c r="E283" s="99"/>
      <c r="F283" s="75" t="str">
        <f t="array" ref="F283">IFERROR(INDEX(Kintoneデータ抽出!A:A, _xlfn.AGGREGATE(15, 6, ROW(Kintoneデータ抽出!$K$2:$K$5000) / ((Kintoneデータ抽出!$K$2:$K$5000="院内")), ROW(A246))), "")</f>
        <v/>
      </c>
      <c r="G283" s="77" t="str">
        <f t="array" ref="G283">IFERROR(INDEX(Kintoneデータ抽出!D:D, _xlfn.AGGREGATE(15, 6, ROW(Kintoneデータ抽出!$K$2:$K$5000) / ((Kintoneデータ抽出!$K$2:$K$5000="院内")), ROW(A246))), "")</f>
        <v/>
      </c>
      <c r="H283" s="77" t="str">
        <f t="array" ref="H283">IFERROR(INDEX(Kintoneデータ抽出!C:C, _xlfn.AGGREGATE(15, 6, ROW(Kintoneデータ抽出!$K$2:$K$5000) / ((Kintoneデータ抽出!$K$2:$K$5000="院内")), ROW(A246))), "")</f>
        <v/>
      </c>
      <c r="I283" s="75" t="str">
        <f t="array" ref="I283">IFERROR(IF(INDEX(Kintoneデータ抽出!G:G, _xlfn.AGGREGATE(15, 6, ROW(Kintoneデータ抽出!$K$2:$K$5000) / ((Kintoneデータ抽出!$K$2:$K$5000="院内")), ROW(A246)))&lt;&gt;"",INDEX(Kintoneデータ抽出!G:G, _xlfn.AGGREGATE(15, 6, ROW(Kintoneデータ抽出!$K$2:$K$5000) / ((Kintoneデータ抽出!$K$2:$K$5000="院内")), ROW(A246)))&amp;"名",""), "")</f>
        <v/>
      </c>
      <c r="J283" s="76" t="str">
        <f t="array" ref="J283">IFERROR(IF(INDEX(Kintoneデータ抽出!E:E, _xlfn.AGGREGATE(15, 6, ROW(Kintoneデータ抽出!$K$2:$K$5000) / ((Kintoneデータ抽出!$K$2:$K$5000="院内")), ROW(A246)))&lt;&gt;"",
YEAR(INDEX(Kintoneデータ抽出!E:E, _xlfn.AGGREGATE(15, 6, ROW(Kintoneデータ抽出!$K$2:$K$5000) / ((Kintoneデータ抽出!$K$2:$K$5000="院内")), ROW(A246))))&amp;"年"
&amp;MONTH(INDEX(Kintoneデータ抽出!E:E, _xlfn.AGGREGATE(15, 6, ROW(Kintoneデータ抽出!$K$2:$K$5000) / ((Kintoneデータ抽出!$K$2:$K$5000="院内")), ROW(A246))))&amp;"月"
&amp;DAY(INDEX(Kintoneデータ抽出!E:E, _xlfn.AGGREGATE(15, 6, ROW(Kintoneデータ抽出!$K$2:$K$5000) /((Kintoneデータ抽出!$K$2:$K$5000="院内")), ROW(A246))))&amp;"日",""), "")</f>
        <v/>
      </c>
      <c r="K283" s="77" t="str" cm="1">
        <f t="array" ref="K283">IFERROR(IF(INDEX(Kintoneデータ抽出!F:F, _xlfn.AGGREGATE(15, 6, ROW(Kintoneデータ抽出!$K$2:$K$5000) / ((Kintoneデータ抽出!$K$2:$K$5000="院内")), ROW(A246)))&lt;&gt;"",
VLOOKUP(INDEX(Kintoneデータ抽出!F:F, _xlfn.AGGREGATE(15, 6, ROW(Kintoneデータ抽出!$K$2:$K$5000) / ((Kintoneデータ抽出!$K$2:$K$5000="院内")), ROW(A246))),基本開園日の表記!$A$2:$B$13,2,FALSE),""), "")</f>
        <v/>
      </c>
      <c r="L283" s="75" t="str">
        <f t="array" ref="L283">IFERROR(IF(INDEX(Kintoneデータ抽出!F:F, _xlfn.AGGREGATE(15, 6, ROW(Kintoneデータ抽出!$K$2:$K$5000) / ((Kintoneデータ抽出!$K$2:$K$5000="院内")), ROW(A246)))&lt;&gt;"",
IF(COUNTIF(INDEX(Kintoneデータ抽出!F:F, _xlfn.AGGREGATE(15, 6, ROW(Kintoneデータ抽出!$K$2:$K$5000) / ((Kintoneデータ抽出!$K$2:$K$5000="院内")), ROW(A246))),"*あり*"),"夜間",""),""), "")</f>
        <v/>
      </c>
      <c r="M283" s="75" t="str">
        <f t="array" ref="M283">IFERROR(IF(INDEX(Kintoneデータ抽出!I:I, _xlfn.AGGREGATE(15, 6, ROW(Kintoneデータ抽出!$K$2:$K$5000) / ((Kintoneデータ抽出!$K$2:$K$5000="院内")), ROW(A246)))&lt;&gt;"",
IF(COUNTIF(INDEX(Kintoneデータ抽出!I:I, _xlfn.AGGREGATE(15, 6, ROW(Kintoneデータ抽出!$K$2:$K$5000) / ((Kintoneデータ抽出!$K$2:$K$5000="院内")), ROW(A246))),"*あり*"),"学童",""),""), "")</f>
        <v/>
      </c>
      <c r="N283" s="75" t="str">
        <f t="array" ref="N283">IFERROR(IF(INDEX(Kintoneデータ抽出!H:H, _xlfn.AGGREGATE(15, 6, ROW(Kintoneデータ抽出!$K$2:$K$5000) / ((Kintoneデータ抽出!$K$2:$K$5000="院内")), ROW(A246)))&lt;&gt;"",
IF(COUNTIF(INDEX(Kintoneデータ抽出!H:H, _xlfn.AGGREGATE(15, 6, ROW(Kintoneデータ抽出!$K$2:$K$5000) / ((Kintoneデータ抽出!$K$2:$K$5000="院内")), ROW(A246))),"*あり*"),"病児",""),""), "")</f>
        <v/>
      </c>
      <c r="O283" s="94" t="str" cm="1">
        <f t="array" ref="O283">IFERROR(
IF(INDEX(Kintoneデータ抽出!M:M, _xlfn.AGGREGATE(15, 6, ROW(Kintoneデータ抽出!$K$2:$K$5000) / ((Kintoneデータ抽出!$K$2:$K$5000="院内")), ROW(A246)))&lt;&gt;0,INDEX(Kintoneデータ抽出!M:M, _xlfn.AGGREGATE(15, 6, ROW(Kintoneデータ抽出!$K$2:$K$5000) / ((Kintoneデータ抽出!$K$2:$K$5000="院内")), ROW(A246))),""), "")</f>
        <v/>
      </c>
      <c r="P283" s="78" t="str">
        <f t="array" ref="P283">IFERROR(IF(INDEX(Kintoneデータ抽出!L:L, _xlfn.AGGREGATE(15, 6, ROW(Kintoneデータ抽出!$K$2:$K$5000) / ((Kintoneデータ抽出!$K$2:$K$5000="院内")), ROW(A246)))&lt;&gt;"",
IF(COUNTIF(INDEX(Kintoneデータ抽出!L:L, _xlfn.AGGREGATE(15, 6, ROW(Kintoneデータ抽出!$K$2:$K$5000) / ((Kintoneデータ抽出!$K$2:$K$5000="院内")), ROW(A246))),"*企業主導型以外*"),"",
IF(COUNTIF(INDEX(Kintoneデータ抽出!L:L, _xlfn.AGGREGATE(15, 6, ROW(Kintoneデータ抽出!$K$2:$K$5000) / ((Kintoneデータ抽出!$K$2:$K$5000="院内")), ROW(A246))),"*その他*"),"",
IF(COUNTIF(INDEX(Kintoneデータ抽出!L:L, _xlfn.AGGREGATE(15, 6, ROW(Kintoneデータ抽出!$K$2:$K$5000) / ((Kintoneデータ抽出!$K$2:$K$5000="院内")), ROW(A246))),"*新制度*"),"新制度","企業主導型"))),""), "")</f>
        <v/>
      </c>
    </row>
    <row r="284" spans="2:16" ht="34.799999999999997" customHeight="1" x14ac:dyDescent="0.45">
      <c r="B284" s="45"/>
      <c r="C284" s="46"/>
      <c r="D284" s="98" t="str">
        <f t="shared" si="4"/>
        <v/>
      </c>
      <c r="E284" s="99"/>
      <c r="F284" s="75" t="str">
        <f t="array" ref="F284">IFERROR(INDEX(Kintoneデータ抽出!A:A, _xlfn.AGGREGATE(15, 6, ROW(Kintoneデータ抽出!$K$2:$K$5000) / ((Kintoneデータ抽出!$K$2:$K$5000="院内")), ROW(A247))), "")</f>
        <v/>
      </c>
      <c r="G284" s="77" t="str">
        <f t="array" ref="G284">IFERROR(INDEX(Kintoneデータ抽出!D:D, _xlfn.AGGREGATE(15, 6, ROW(Kintoneデータ抽出!$K$2:$K$5000) / ((Kintoneデータ抽出!$K$2:$K$5000="院内")), ROW(A247))), "")</f>
        <v/>
      </c>
      <c r="H284" s="77" t="str">
        <f t="array" ref="H284">IFERROR(INDEX(Kintoneデータ抽出!C:C, _xlfn.AGGREGATE(15, 6, ROW(Kintoneデータ抽出!$K$2:$K$5000) / ((Kintoneデータ抽出!$K$2:$K$5000="院内")), ROW(A247))), "")</f>
        <v/>
      </c>
      <c r="I284" s="75" t="str">
        <f t="array" ref="I284">IFERROR(IF(INDEX(Kintoneデータ抽出!G:G, _xlfn.AGGREGATE(15, 6, ROW(Kintoneデータ抽出!$K$2:$K$5000) / ((Kintoneデータ抽出!$K$2:$K$5000="院内")), ROW(A247)))&lt;&gt;"",INDEX(Kintoneデータ抽出!G:G, _xlfn.AGGREGATE(15, 6, ROW(Kintoneデータ抽出!$K$2:$K$5000) / ((Kintoneデータ抽出!$K$2:$K$5000="院内")), ROW(A247)))&amp;"名",""), "")</f>
        <v/>
      </c>
      <c r="J284" s="76" t="str">
        <f t="array" ref="J284">IFERROR(IF(INDEX(Kintoneデータ抽出!E:E, _xlfn.AGGREGATE(15, 6, ROW(Kintoneデータ抽出!$K$2:$K$5000) / ((Kintoneデータ抽出!$K$2:$K$5000="院内")), ROW(A247)))&lt;&gt;"",
YEAR(INDEX(Kintoneデータ抽出!E:E, _xlfn.AGGREGATE(15, 6, ROW(Kintoneデータ抽出!$K$2:$K$5000) / ((Kintoneデータ抽出!$K$2:$K$5000="院内")), ROW(A247))))&amp;"年"
&amp;MONTH(INDEX(Kintoneデータ抽出!E:E, _xlfn.AGGREGATE(15, 6, ROW(Kintoneデータ抽出!$K$2:$K$5000) / ((Kintoneデータ抽出!$K$2:$K$5000="院内")), ROW(A247))))&amp;"月"
&amp;DAY(INDEX(Kintoneデータ抽出!E:E, _xlfn.AGGREGATE(15, 6, ROW(Kintoneデータ抽出!$K$2:$K$5000) /((Kintoneデータ抽出!$K$2:$K$5000="院内")), ROW(A247))))&amp;"日",""), "")</f>
        <v/>
      </c>
      <c r="K284" s="77" t="str" cm="1">
        <f t="array" ref="K284">IFERROR(IF(INDEX(Kintoneデータ抽出!F:F, _xlfn.AGGREGATE(15, 6, ROW(Kintoneデータ抽出!$K$2:$K$5000) / ((Kintoneデータ抽出!$K$2:$K$5000="院内")), ROW(A247)))&lt;&gt;"",
VLOOKUP(INDEX(Kintoneデータ抽出!F:F, _xlfn.AGGREGATE(15, 6, ROW(Kintoneデータ抽出!$K$2:$K$5000) / ((Kintoneデータ抽出!$K$2:$K$5000="院内")), ROW(A247))),基本開園日の表記!$A$2:$B$13,2,FALSE),""), "")</f>
        <v/>
      </c>
      <c r="L284" s="75" t="str">
        <f t="array" ref="L284">IFERROR(IF(INDEX(Kintoneデータ抽出!F:F, _xlfn.AGGREGATE(15, 6, ROW(Kintoneデータ抽出!$K$2:$K$5000) / ((Kintoneデータ抽出!$K$2:$K$5000="院内")), ROW(A247)))&lt;&gt;"",
IF(COUNTIF(INDEX(Kintoneデータ抽出!F:F, _xlfn.AGGREGATE(15, 6, ROW(Kintoneデータ抽出!$K$2:$K$5000) / ((Kintoneデータ抽出!$K$2:$K$5000="院内")), ROW(A247))),"*あり*"),"夜間",""),""), "")</f>
        <v/>
      </c>
      <c r="M284" s="75" t="str">
        <f t="array" ref="M284">IFERROR(IF(INDEX(Kintoneデータ抽出!I:I, _xlfn.AGGREGATE(15, 6, ROW(Kintoneデータ抽出!$K$2:$K$5000) / ((Kintoneデータ抽出!$K$2:$K$5000="院内")), ROW(A247)))&lt;&gt;"",
IF(COUNTIF(INDEX(Kintoneデータ抽出!I:I, _xlfn.AGGREGATE(15, 6, ROW(Kintoneデータ抽出!$K$2:$K$5000) / ((Kintoneデータ抽出!$K$2:$K$5000="院内")), ROW(A247))),"*あり*"),"学童",""),""), "")</f>
        <v/>
      </c>
      <c r="N284" s="75" t="str">
        <f t="array" ref="N284">IFERROR(IF(INDEX(Kintoneデータ抽出!H:H, _xlfn.AGGREGATE(15, 6, ROW(Kintoneデータ抽出!$K$2:$K$5000) / ((Kintoneデータ抽出!$K$2:$K$5000="院内")), ROW(A247)))&lt;&gt;"",
IF(COUNTIF(INDEX(Kintoneデータ抽出!H:H, _xlfn.AGGREGATE(15, 6, ROW(Kintoneデータ抽出!$K$2:$K$5000) / ((Kintoneデータ抽出!$K$2:$K$5000="院内")), ROW(A247))),"*あり*"),"病児",""),""), "")</f>
        <v/>
      </c>
      <c r="O284" s="94" t="str" cm="1">
        <f t="array" ref="O284">IFERROR(
IF(INDEX(Kintoneデータ抽出!M:M, _xlfn.AGGREGATE(15, 6, ROW(Kintoneデータ抽出!$K$2:$K$5000) / ((Kintoneデータ抽出!$K$2:$K$5000="院内")), ROW(A247)))&lt;&gt;0,INDEX(Kintoneデータ抽出!M:M, _xlfn.AGGREGATE(15, 6, ROW(Kintoneデータ抽出!$K$2:$K$5000) / ((Kintoneデータ抽出!$K$2:$K$5000="院内")), ROW(A247))),""), "")</f>
        <v/>
      </c>
      <c r="P284" s="78" t="str">
        <f t="array" ref="P284">IFERROR(IF(INDEX(Kintoneデータ抽出!L:L, _xlfn.AGGREGATE(15, 6, ROW(Kintoneデータ抽出!$K$2:$K$5000) / ((Kintoneデータ抽出!$K$2:$K$5000="院内")), ROW(A247)))&lt;&gt;"",
IF(COUNTIF(INDEX(Kintoneデータ抽出!L:L, _xlfn.AGGREGATE(15, 6, ROW(Kintoneデータ抽出!$K$2:$K$5000) / ((Kintoneデータ抽出!$K$2:$K$5000="院内")), ROW(A247))),"*企業主導型以外*"),"",
IF(COUNTIF(INDEX(Kintoneデータ抽出!L:L, _xlfn.AGGREGATE(15, 6, ROW(Kintoneデータ抽出!$K$2:$K$5000) / ((Kintoneデータ抽出!$K$2:$K$5000="院内")), ROW(A247))),"*その他*"),"",
IF(COUNTIF(INDEX(Kintoneデータ抽出!L:L, _xlfn.AGGREGATE(15, 6, ROW(Kintoneデータ抽出!$K$2:$K$5000) / ((Kintoneデータ抽出!$K$2:$K$5000="院内")), ROW(A247))),"*新制度*"),"新制度","企業主導型"))),""), "")</f>
        <v/>
      </c>
    </row>
    <row r="285" spans="2:16" ht="34.799999999999997" customHeight="1" x14ac:dyDescent="0.45">
      <c r="B285" s="47"/>
      <c r="C285" s="48"/>
      <c r="D285" s="98" t="str">
        <f t="shared" si="4"/>
        <v/>
      </c>
      <c r="E285" s="99"/>
      <c r="F285" s="75" t="str">
        <f t="array" ref="F285">IFERROR(INDEX(Kintoneデータ抽出!A:A, _xlfn.AGGREGATE(15, 6, ROW(Kintoneデータ抽出!$K$2:$K$5000) / ((Kintoneデータ抽出!$K$2:$K$5000="院内")), ROW(A248))), "")</f>
        <v/>
      </c>
      <c r="G285" s="77" t="str">
        <f t="array" ref="G285">IFERROR(INDEX(Kintoneデータ抽出!D:D, _xlfn.AGGREGATE(15, 6, ROW(Kintoneデータ抽出!$K$2:$K$5000) / ((Kintoneデータ抽出!$K$2:$K$5000="院内")), ROW(A248))), "")</f>
        <v/>
      </c>
      <c r="H285" s="77" t="str">
        <f t="array" ref="H285">IFERROR(INDEX(Kintoneデータ抽出!C:C, _xlfn.AGGREGATE(15, 6, ROW(Kintoneデータ抽出!$K$2:$K$5000) / ((Kintoneデータ抽出!$K$2:$K$5000="院内")), ROW(A248))), "")</f>
        <v/>
      </c>
      <c r="I285" s="75" t="str">
        <f t="array" ref="I285">IFERROR(IF(INDEX(Kintoneデータ抽出!G:G, _xlfn.AGGREGATE(15, 6, ROW(Kintoneデータ抽出!$K$2:$K$5000) / ((Kintoneデータ抽出!$K$2:$K$5000="院内")), ROW(A248)))&lt;&gt;"",INDEX(Kintoneデータ抽出!G:G, _xlfn.AGGREGATE(15, 6, ROW(Kintoneデータ抽出!$K$2:$K$5000) / ((Kintoneデータ抽出!$K$2:$K$5000="院内")), ROW(A248)))&amp;"名",""), "")</f>
        <v/>
      </c>
      <c r="J285" s="76" t="str">
        <f t="array" ref="J285">IFERROR(IF(INDEX(Kintoneデータ抽出!E:E, _xlfn.AGGREGATE(15, 6, ROW(Kintoneデータ抽出!$K$2:$K$5000) / ((Kintoneデータ抽出!$K$2:$K$5000="院内")), ROW(A248)))&lt;&gt;"",
YEAR(INDEX(Kintoneデータ抽出!E:E, _xlfn.AGGREGATE(15, 6, ROW(Kintoneデータ抽出!$K$2:$K$5000) / ((Kintoneデータ抽出!$K$2:$K$5000="院内")), ROW(A248))))&amp;"年"
&amp;MONTH(INDEX(Kintoneデータ抽出!E:E, _xlfn.AGGREGATE(15, 6, ROW(Kintoneデータ抽出!$K$2:$K$5000) / ((Kintoneデータ抽出!$K$2:$K$5000="院内")), ROW(A248))))&amp;"月"
&amp;DAY(INDEX(Kintoneデータ抽出!E:E, _xlfn.AGGREGATE(15, 6, ROW(Kintoneデータ抽出!$K$2:$K$5000) /((Kintoneデータ抽出!$K$2:$K$5000="院内")), ROW(A248))))&amp;"日",""), "")</f>
        <v/>
      </c>
      <c r="K285" s="77" t="str" cm="1">
        <f t="array" ref="K285">IFERROR(IF(INDEX(Kintoneデータ抽出!F:F, _xlfn.AGGREGATE(15, 6, ROW(Kintoneデータ抽出!$K$2:$K$5000) / ((Kintoneデータ抽出!$K$2:$K$5000="院内")), ROW(A248)))&lt;&gt;"",
VLOOKUP(INDEX(Kintoneデータ抽出!F:F, _xlfn.AGGREGATE(15, 6, ROW(Kintoneデータ抽出!$K$2:$K$5000) / ((Kintoneデータ抽出!$K$2:$K$5000="院内")), ROW(A248))),基本開園日の表記!$A$2:$B$13,2,FALSE),""), "")</f>
        <v/>
      </c>
      <c r="L285" s="75" t="str">
        <f t="array" ref="L285">IFERROR(IF(INDEX(Kintoneデータ抽出!F:F, _xlfn.AGGREGATE(15, 6, ROW(Kintoneデータ抽出!$K$2:$K$5000) / ((Kintoneデータ抽出!$K$2:$K$5000="院内")), ROW(A248)))&lt;&gt;"",
IF(COUNTIF(INDEX(Kintoneデータ抽出!F:F, _xlfn.AGGREGATE(15, 6, ROW(Kintoneデータ抽出!$K$2:$K$5000) / ((Kintoneデータ抽出!$K$2:$K$5000="院内")), ROW(A248))),"*あり*"),"夜間",""),""), "")</f>
        <v/>
      </c>
      <c r="M285" s="75" t="str">
        <f t="array" ref="M285">IFERROR(IF(INDEX(Kintoneデータ抽出!I:I, _xlfn.AGGREGATE(15, 6, ROW(Kintoneデータ抽出!$K$2:$K$5000) / ((Kintoneデータ抽出!$K$2:$K$5000="院内")), ROW(A248)))&lt;&gt;"",
IF(COUNTIF(INDEX(Kintoneデータ抽出!I:I, _xlfn.AGGREGATE(15, 6, ROW(Kintoneデータ抽出!$K$2:$K$5000) / ((Kintoneデータ抽出!$K$2:$K$5000="院内")), ROW(A248))),"*あり*"),"学童",""),""), "")</f>
        <v/>
      </c>
      <c r="N285" s="75" t="str">
        <f t="array" ref="N285">IFERROR(IF(INDEX(Kintoneデータ抽出!H:H, _xlfn.AGGREGATE(15, 6, ROW(Kintoneデータ抽出!$K$2:$K$5000) / ((Kintoneデータ抽出!$K$2:$K$5000="院内")), ROW(A248)))&lt;&gt;"",
IF(COUNTIF(INDEX(Kintoneデータ抽出!H:H, _xlfn.AGGREGATE(15, 6, ROW(Kintoneデータ抽出!$K$2:$K$5000) / ((Kintoneデータ抽出!$K$2:$K$5000="院内")), ROW(A248))),"*あり*"),"病児",""),""), "")</f>
        <v/>
      </c>
      <c r="O285" s="94" t="str" cm="1">
        <f t="array" ref="O285">IFERROR(
IF(INDEX(Kintoneデータ抽出!M:M, _xlfn.AGGREGATE(15, 6, ROW(Kintoneデータ抽出!$K$2:$K$5000) / ((Kintoneデータ抽出!$K$2:$K$5000="院内")), ROW(A248)))&lt;&gt;0,INDEX(Kintoneデータ抽出!M:M, _xlfn.AGGREGATE(15, 6, ROW(Kintoneデータ抽出!$K$2:$K$5000) / ((Kintoneデータ抽出!$K$2:$K$5000="院内")), ROW(A248))),""), "")</f>
        <v/>
      </c>
      <c r="P285" s="78" t="str">
        <f t="array" ref="P285">IFERROR(IF(INDEX(Kintoneデータ抽出!L:L, _xlfn.AGGREGATE(15, 6, ROW(Kintoneデータ抽出!$K$2:$K$5000) / ((Kintoneデータ抽出!$K$2:$K$5000="院内")), ROW(A248)))&lt;&gt;"",
IF(COUNTIF(INDEX(Kintoneデータ抽出!L:L, _xlfn.AGGREGATE(15, 6, ROW(Kintoneデータ抽出!$K$2:$K$5000) / ((Kintoneデータ抽出!$K$2:$K$5000="院内")), ROW(A248))),"*企業主導型以外*"),"",
IF(COUNTIF(INDEX(Kintoneデータ抽出!L:L, _xlfn.AGGREGATE(15, 6, ROW(Kintoneデータ抽出!$K$2:$K$5000) / ((Kintoneデータ抽出!$K$2:$K$5000="院内")), ROW(A248))),"*その他*"),"",
IF(COUNTIF(INDEX(Kintoneデータ抽出!L:L, _xlfn.AGGREGATE(15, 6, ROW(Kintoneデータ抽出!$K$2:$K$5000) / ((Kintoneデータ抽出!$K$2:$K$5000="院内")), ROW(A248))),"*新制度*"),"新制度","企業主導型"))),""), "")</f>
        <v/>
      </c>
    </row>
    <row r="286" spans="2:16" ht="34.799999999999997" customHeight="1" x14ac:dyDescent="0.45">
      <c r="B286" s="59" t="s">
        <v>44</v>
      </c>
      <c r="C286" s="50"/>
      <c r="D286" s="98" t="str">
        <f t="shared" si="4"/>
        <v/>
      </c>
      <c r="E286" s="99"/>
      <c r="F286" s="75" t="str">
        <f t="array" ref="F286">IFERROR(INDEX(Kintoneデータ抽出!A:A, _xlfn.AGGREGATE(15, 6, ROW(Kintoneデータ抽出!$K$2:$K$5000) / ((Kintoneデータ抽出!$K$2:$K$5000="院内")), ROW(A249))), "")</f>
        <v/>
      </c>
      <c r="G286" s="77" t="str">
        <f t="array" ref="G286">IFERROR(INDEX(Kintoneデータ抽出!D:D, _xlfn.AGGREGATE(15, 6, ROW(Kintoneデータ抽出!$K$2:$K$5000) / ((Kintoneデータ抽出!$K$2:$K$5000="院内")), ROW(A249))), "")</f>
        <v/>
      </c>
      <c r="H286" s="77" t="str">
        <f t="array" ref="H286">IFERROR(INDEX(Kintoneデータ抽出!C:C, _xlfn.AGGREGATE(15, 6, ROW(Kintoneデータ抽出!$K$2:$K$5000) / ((Kintoneデータ抽出!$K$2:$K$5000="院内")), ROW(A249))), "")</f>
        <v/>
      </c>
      <c r="I286" s="75" t="str">
        <f t="array" ref="I286">IFERROR(IF(INDEX(Kintoneデータ抽出!G:G, _xlfn.AGGREGATE(15, 6, ROW(Kintoneデータ抽出!$K$2:$K$5000) / ((Kintoneデータ抽出!$K$2:$K$5000="院内")), ROW(A249)))&lt;&gt;"",INDEX(Kintoneデータ抽出!G:G, _xlfn.AGGREGATE(15, 6, ROW(Kintoneデータ抽出!$K$2:$K$5000) / ((Kintoneデータ抽出!$K$2:$K$5000="院内")), ROW(A249)))&amp;"名",""), "")</f>
        <v/>
      </c>
      <c r="J286" s="76" t="str">
        <f t="array" ref="J286">IFERROR(IF(INDEX(Kintoneデータ抽出!E:E, _xlfn.AGGREGATE(15, 6, ROW(Kintoneデータ抽出!$K$2:$K$5000) / ((Kintoneデータ抽出!$K$2:$K$5000="院内")), ROW(A249)))&lt;&gt;"",
YEAR(INDEX(Kintoneデータ抽出!E:E, _xlfn.AGGREGATE(15, 6, ROW(Kintoneデータ抽出!$K$2:$K$5000) / ((Kintoneデータ抽出!$K$2:$K$5000="院内")), ROW(A249))))&amp;"年"
&amp;MONTH(INDEX(Kintoneデータ抽出!E:E, _xlfn.AGGREGATE(15, 6, ROW(Kintoneデータ抽出!$K$2:$K$5000) / ((Kintoneデータ抽出!$K$2:$K$5000="院内")), ROW(A249))))&amp;"月"
&amp;DAY(INDEX(Kintoneデータ抽出!E:E, _xlfn.AGGREGATE(15, 6, ROW(Kintoneデータ抽出!$K$2:$K$5000) /((Kintoneデータ抽出!$K$2:$K$5000="院内")), ROW(A249))))&amp;"日",""), "")</f>
        <v/>
      </c>
      <c r="K286" s="77" t="str" cm="1">
        <f t="array" ref="K286">IFERROR(IF(INDEX(Kintoneデータ抽出!F:F, _xlfn.AGGREGATE(15, 6, ROW(Kintoneデータ抽出!$K$2:$K$5000) / ((Kintoneデータ抽出!$K$2:$K$5000="院内")), ROW(A249)))&lt;&gt;"",
VLOOKUP(INDEX(Kintoneデータ抽出!F:F, _xlfn.AGGREGATE(15, 6, ROW(Kintoneデータ抽出!$K$2:$K$5000) / ((Kintoneデータ抽出!$K$2:$K$5000="院内")), ROW(A249))),基本開園日の表記!$A$2:$B$13,2,FALSE),""), "")</f>
        <v/>
      </c>
      <c r="L286" s="75" t="str">
        <f t="array" ref="L286">IFERROR(IF(INDEX(Kintoneデータ抽出!F:F, _xlfn.AGGREGATE(15, 6, ROW(Kintoneデータ抽出!$K$2:$K$5000) / ((Kintoneデータ抽出!$K$2:$K$5000="院内")), ROW(A249)))&lt;&gt;"",
IF(COUNTIF(INDEX(Kintoneデータ抽出!F:F, _xlfn.AGGREGATE(15, 6, ROW(Kintoneデータ抽出!$K$2:$K$5000) / ((Kintoneデータ抽出!$K$2:$K$5000="院内")), ROW(A249))),"*あり*"),"夜間",""),""), "")</f>
        <v/>
      </c>
      <c r="M286" s="75" t="str">
        <f t="array" ref="M286">IFERROR(IF(INDEX(Kintoneデータ抽出!I:I, _xlfn.AGGREGATE(15, 6, ROW(Kintoneデータ抽出!$K$2:$K$5000) / ((Kintoneデータ抽出!$K$2:$K$5000="院内")), ROW(A249)))&lt;&gt;"",
IF(COUNTIF(INDEX(Kintoneデータ抽出!I:I, _xlfn.AGGREGATE(15, 6, ROW(Kintoneデータ抽出!$K$2:$K$5000) / ((Kintoneデータ抽出!$K$2:$K$5000="院内")), ROW(A249))),"*あり*"),"学童",""),""), "")</f>
        <v/>
      </c>
      <c r="N286" s="75" t="str">
        <f t="array" ref="N286">IFERROR(IF(INDEX(Kintoneデータ抽出!H:H, _xlfn.AGGREGATE(15, 6, ROW(Kintoneデータ抽出!$K$2:$K$5000) / ((Kintoneデータ抽出!$K$2:$K$5000="院内")), ROW(A249)))&lt;&gt;"",
IF(COUNTIF(INDEX(Kintoneデータ抽出!H:H, _xlfn.AGGREGATE(15, 6, ROW(Kintoneデータ抽出!$K$2:$K$5000) / ((Kintoneデータ抽出!$K$2:$K$5000="院内")), ROW(A249))),"*あり*"),"病児",""),""), "")</f>
        <v/>
      </c>
      <c r="O286" s="94" t="str" cm="1">
        <f t="array" ref="O286">IFERROR(
IF(INDEX(Kintoneデータ抽出!M:M, _xlfn.AGGREGATE(15, 6, ROW(Kintoneデータ抽出!$K$2:$K$5000) / ((Kintoneデータ抽出!$K$2:$K$5000="院内")), ROW(A249)))&lt;&gt;0,INDEX(Kintoneデータ抽出!M:M, _xlfn.AGGREGATE(15, 6, ROW(Kintoneデータ抽出!$K$2:$K$5000) / ((Kintoneデータ抽出!$K$2:$K$5000="院内")), ROW(A249))),""), "")</f>
        <v/>
      </c>
      <c r="P286" s="78" t="str">
        <f t="array" ref="P286">IFERROR(IF(INDEX(Kintoneデータ抽出!L:L, _xlfn.AGGREGATE(15, 6, ROW(Kintoneデータ抽出!$K$2:$K$5000) / ((Kintoneデータ抽出!$K$2:$K$5000="院内")), ROW(A249)))&lt;&gt;"",
IF(COUNTIF(INDEX(Kintoneデータ抽出!L:L, _xlfn.AGGREGATE(15, 6, ROW(Kintoneデータ抽出!$K$2:$K$5000) / ((Kintoneデータ抽出!$K$2:$K$5000="院内")), ROW(A249))),"*企業主導型以外*"),"",
IF(COUNTIF(INDEX(Kintoneデータ抽出!L:L, _xlfn.AGGREGATE(15, 6, ROW(Kintoneデータ抽出!$K$2:$K$5000) / ((Kintoneデータ抽出!$K$2:$K$5000="院内")), ROW(A249))),"*その他*"),"",
IF(COUNTIF(INDEX(Kintoneデータ抽出!L:L, _xlfn.AGGREGATE(15, 6, ROW(Kintoneデータ抽出!$K$2:$K$5000) / ((Kintoneデータ抽出!$K$2:$K$5000="院内")), ROW(A249))),"*新制度*"),"新制度","企業主導型"))),""), "")</f>
        <v/>
      </c>
    </row>
    <row r="287" spans="2:16" ht="34.799999999999997" customHeight="1" x14ac:dyDescent="0.45">
      <c r="B287" s="45"/>
      <c r="C287" s="46"/>
      <c r="D287" s="98" t="str">
        <f t="shared" si="4"/>
        <v/>
      </c>
      <c r="E287" s="99"/>
      <c r="F287" s="75" t="str">
        <f t="array" ref="F287">IFERROR(INDEX(Kintoneデータ抽出!A:A, _xlfn.AGGREGATE(15, 6, ROW(Kintoneデータ抽出!$K$2:$K$5000) / ((Kintoneデータ抽出!$K$2:$K$5000="院内")), ROW(A250))), "")</f>
        <v/>
      </c>
      <c r="G287" s="77" t="str">
        <f t="array" ref="G287">IFERROR(INDEX(Kintoneデータ抽出!D:D, _xlfn.AGGREGATE(15, 6, ROW(Kintoneデータ抽出!$K$2:$K$5000) / ((Kintoneデータ抽出!$K$2:$K$5000="院内")), ROW(A250))), "")</f>
        <v/>
      </c>
      <c r="H287" s="77" t="str">
        <f t="array" ref="H287">IFERROR(INDEX(Kintoneデータ抽出!C:C, _xlfn.AGGREGATE(15, 6, ROW(Kintoneデータ抽出!$K$2:$K$5000) / ((Kintoneデータ抽出!$K$2:$K$5000="院内")), ROW(A250))), "")</f>
        <v/>
      </c>
      <c r="I287" s="75" t="str">
        <f t="array" ref="I287">IFERROR(IF(INDEX(Kintoneデータ抽出!G:G, _xlfn.AGGREGATE(15, 6, ROW(Kintoneデータ抽出!$K$2:$K$5000) / ((Kintoneデータ抽出!$K$2:$K$5000="院内")), ROW(A250)))&lt;&gt;"",INDEX(Kintoneデータ抽出!G:G, _xlfn.AGGREGATE(15, 6, ROW(Kintoneデータ抽出!$K$2:$K$5000) / ((Kintoneデータ抽出!$K$2:$K$5000="院内")), ROW(A250)))&amp;"名",""), "")</f>
        <v/>
      </c>
      <c r="J287" s="76" t="str">
        <f t="array" ref="J287">IFERROR(IF(INDEX(Kintoneデータ抽出!E:E, _xlfn.AGGREGATE(15, 6, ROW(Kintoneデータ抽出!$K$2:$K$5000) / ((Kintoneデータ抽出!$K$2:$K$5000="院内")), ROW(A250)))&lt;&gt;"",
YEAR(INDEX(Kintoneデータ抽出!E:E, _xlfn.AGGREGATE(15, 6, ROW(Kintoneデータ抽出!$K$2:$K$5000) / ((Kintoneデータ抽出!$K$2:$K$5000="院内")), ROW(A250))))&amp;"年"
&amp;MONTH(INDEX(Kintoneデータ抽出!E:E, _xlfn.AGGREGATE(15, 6, ROW(Kintoneデータ抽出!$K$2:$K$5000) / ((Kintoneデータ抽出!$K$2:$K$5000="院内")), ROW(A250))))&amp;"月"
&amp;DAY(INDEX(Kintoneデータ抽出!E:E, _xlfn.AGGREGATE(15, 6, ROW(Kintoneデータ抽出!$K$2:$K$5000) /((Kintoneデータ抽出!$K$2:$K$5000="院内")), ROW(A250))))&amp;"日",""), "")</f>
        <v/>
      </c>
      <c r="K287" s="77" t="str" cm="1">
        <f t="array" ref="K287">IFERROR(IF(INDEX(Kintoneデータ抽出!F:F, _xlfn.AGGREGATE(15, 6, ROW(Kintoneデータ抽出!$K$2:$K$5000) / ((Kintoneデータ抽出!$K$2:$K$5000="院内")), ROW(A250)))&lt;&gt;"",
VLOOKUP(INDEX(Kintoneデータ抽出!F:F, _xlfn.AGGREGATE(15, 6, ROW(Kintoneデータ抽出!$K$2:$K$5000) / ((Kintoneデータ抽出!$K$2:$K$5000="院内")), ROW(A250))),基本開園日の表記!$A$2:$B$13,2,FALSE),""), "")</f>
        <v/>
      </c>
      <c r="L287" s="75" t="str">
        <f t="array" ref="L287">IFERROR(IF(INDEX(Kintoneデータ抽出!F:F, _xlfn.AGGREGATE(15, 6, ROW(Kintoneデータ抽出!$K$2:$K$5000) / ((Kintoneデータ抽出!$K$2:$K$5000="院内")), ROW(A250)))&lt;&gt;"",
IF(COUNTIF(INDEX(Kintoneデータ抽出!F:F, _xlfn.AGGREGATE(15, 6, ROW(Kintoneデータ抽出!$K$2:$K$5000) / ((Kintoneデータ抽出!$K$2:$K$5000="院内")), ROW(A250))),"*あり*"),"夜間",""),""), "")</f>
        <v/>
      </c>
      <c r="M287" s="75" t="str">
        <f t="array" ref="M287">IFERROR(IF(INDEX(Kintoneデータ抽出!I:I, _xlfn.AGGREGATE(15, 6, ROW(Kintoneデータ抽出!$K$2:$K$5000) / ((Kintoneデータ抽出!$K$2:$K$5000="院内")), ROW(A250)))&lt;&gt;"",
IF(COUNTIF(INDEX(Kintoneデータ抽出!I:I, _xlfn.AGGREGATE(15, 6, ROW(Kintoneデータ抽出!$K$2:$K$5000) / ((Kintoneデータ抽出!$K$2:$K$5000="院内")), ROW(A250))),"*あり*"),"学童",""),""), "")</f>
        <v/>
      </c>
      <c r="N287" s="75" t="str">
        <f t="array" ref="N287">IFERROR(IF(INDEX(Kintoneデータ抽出!H:H, _xlfn.AGGREGATE(15, 6, ROW(Kintoneデータ抽出!$K$2:$K$5000) / ((Kintoneデータ抽出!$K$2:$K$5000="院内")), ROW(A250)))&lt;&gt;"",
IF(COUNTIF(INDEX(Kintoneデータ抽出!H:H, _xlfn.AGGREGATE(15, 6, ROW(Kintoneデータ抽出!$K$2:$K$5000) / ((Kintoneデータ抽出!$K$2:$K$5000="院内")), ROW(A250))),"*あり*"),"病児",""),""), "")</f>
        <v/>
      </c>
      <c r="O287" s="94" t="str" cm="1">
        <f t="array" ref="O287">IFERROR(
IF(INDEX(Kintoneデータ抽出!M:M, _xlfn.AGGREGATE(15, 6, ROW(Kintoneデータ抽出!$K$2:$K$5000) / ((Kintoneデータ抽出!$K$2:$K$5000="院内")), ROW(A250)))&lt;&gt;0,INDEX(Kintoneデータ抽出!M:M, _xlfn.AGGREGATE(15, 6, ROW(Kintoneデータ抽出!$K$2:$K$5000) / ((Kintoneデータ抽出!$K$2:$K$5000="院内")), ROW(A250))),""), "")</f>
        <v/>
      </c>
      <c r="P287" s="78" t="str">
        <f t="array" ref="P287">IFERROR(IF(INDEX(Kintoneデータ抽出!L:L, _xlfn.AGGREGATE(15, 6, ROW(Kintoneデータ抽出!$K$2:$K$5000) / ((Kintoneデータ抽出!$K$2:$K$5000="院内")), ROW(A250)))&lt;&gt;"",
IF(COUNTIF(INDEX(Kintoneデータ抽出!L:L, _xlfn.AGGREGATE(15, 6, ROW(Kintoneデータ抽出!$K$2:$K$5000) / ((Kintoneデータ抽出!$K$2:$K$5000="院内")), ROW(A250))),"*企業主導型以外*"),"",
IF(COUNTIF(INDEX(Kintoneデータ抽出!L:L, _xlfn.AGGREGATE(15, 6, ROW(Kintoneデータ抽出!$K$2:$K$5000) / ((Kintoneデータ抽出!$K$2:$K$5000="院内")), ROW(A250))),"*その他*"),"",
IF(COUNTIF(INDEX(Kintoneデータ抽出!L:L, _xlfn.AGGREGATE(15, 6, ROW(Kintoneデータ抽出!$K$2:$K$5000) / ((Kintoneデータ抽出!$K$2:$K$5000="院内")), ROW(A250))),"*新制度*"),"新制度","企業主導型"))),""), "")</f>
        <v/>
      </c>
    </row>
    <row r="288" spans="2:16" ht="34.799999999999997" customHeight="1" x14ac:dyDescent="0.45">
      <c r="B288" s="45"/>
      <c r="C288" s="46"/>
      <c r="D288" s="98" t="str">
        <f t="shared" si="4"/>
        <v/>
      </c>
      <c r="E288" s="99"/>
      <c r="F288" s="75" t="str">
        <f t="array" ref="F288">IFERROR(INDEX(Kintoneデータ抽出!A:A, _xlfn.AGGREGATE(15, 6, ROW(Kintoneデータ抽出!$K$2:$K$5000) / ((Kintoneデータ抽出!$K$2:$K$5000="院内")), ROW(A251))), "")</f>
        <v/>
      </c>
      <c r="G288" s="77" t="str">
        <f t="array" ref="G288">IFERROR(INDEX(Kintoneデータ抽出!D:D, _xlfn.AGGREGATE(15, 6, ROW(Kintoneデータ抽出!$K$2:$K$5000) / ((Kintoneデータ抽出!$K$2:$K$5000="院内")), ROW(A251))), "")</f>
        <v/>
      </c>
      <c r="H288" s="77" t="str">
        <f t="array" ref="H288">IFERROR(INDEX(Kintoneデータ抽出!C:C, _xlfn.AGGREGATE(15, 6, ROW(Kintoneデータ抽出!$K$2:$K$5000) / ((Kintoneデータ抽出!$K$2:$K$5000="院内")), ROW(A251))), "")</f>
        <v/>
      </c>
      <c r="I288" s="75" t="str">
        <f t="array" ref="I288">IFERROR(IF(INDEX(Kintoneデータ抽出!G:G, _xlfn.AGGREGATE(15, 6, ROW(Kintoneデータ抽出!$K$2:$K$5000) / ((Kintoneデータ抽出!$K$2:$K$5000="院内")), ROW(A251)))&lt;&gt;"",INDEX(Kintoneデータ抽出!G:G, _xlfn.AGGREGATE(15, 6, ROW(Kintoneデータ抽出!$K$2:$K$5000) / ((Kintoneデータ抽出!$K$2:$K$5000="院内")), ROW(A251)))&amp;"名",""), "")</f>
        <v/>
      </c>
      <c r="J288" s="76" t="str">
        <f t="array" ref="J288">IFERROR(IF(INDEX(Kintoneデータ抽出!E:E, _xlfn.AGGREGATE(15, 6, ROW(Kintoneデータ抽出!$K$2:$K$5000) / ((Kintoneデータ抽出!$K$2:$K$5000="院内")), ROW(A251)))&lt;&gt;"",
YEAR(INDEX(Kintoneデータ抽出!E:E, _xlfn.AGGREGATE(15, 6, ROW(Kintoneデータ抽出!$K$2:$K$5000) / ((Kintoneデータ抽出!$K$2:$K$5000="院内")), ROW(A251))))&amp;"年"
&amp;MONTH(INDEX(Kintoneデータ抽出!E:E, _xlfn.AGGREGATE(15, 6, ROW(Kintoneデータ抽出!$K$2:$K$5000) / ((Kintoneデータ抽出!$K$2:$K$5000="院内")), ROW(A251))))&amp;"月"
&amp;DAY(INDEX(Kintoneデータ抽出!E:E, _xlfn.AGGREGATE(15, 6, ROW(Kintoneデータ抽出!$K$2:$K$5000) /((Kintoneデータ抽出!$K$2:$K$5000="院内")), ROW(A251))))&amp;"日",""), "")</f>
        <v/>
      </c>
      <c r="K288" s="77" t="str" cm="1">
        <f t="array" ref="K288">IFERROR(IF(INDEX(Kintoneデータ抽出!F:F, _xlfn.AGGREGATE(15, 6, ROW(Kintoneデータ抽出!$K$2:$K$5000) / ((Kintoneデータ抽出!$K$2:$K$5000="院内")), ROW(A251)))&lt;&gt;"",
VLOOKUP(INDEX(Kintoneデータ抽出!F:F, _xlfn.AGGREGATE(15, 6, ROW(Kintoneデータ抽出!$K$2:$K$5000) / ((Kintoneデータ抽出!$K$2:$K$5000="院内")), ROW(A251))),基本開園日の表記!$A$2:$B$13,2,FALSE),""), "")</f>
        <v/>
      </c>
      <c r="L288" s="75" t="str">
        <f t="array" ref="L288">IFERROR(IF(INDEX(Kintoneデータ抽出!F:F, _xlfn.AGGREGATE(15, 6, ROW(Kintoneデータ抽出!$K$2:$K$5000) / ((Kintoneデータ抽出!$K$2:$K$5000="院内")), ROW(A251)))&lt;&gt;"",
IF(COUNTIF(INDEX(Kintoneデータ抽出!F:F, _xlfn.AGGREGATE(15, 6, ROW(Kintoneデータ抽出!$K$2:$K$5000) / ((Kintoneデータ抽出!$K$2:$K$5000="院内")), ROW(A251))),"*あり*"),"夜間",""),""), "")</f>
        <v/>
      </c>
      <c r="M288" s="75" t="str">
        <f t="array" ref="M288">IFERROR(IF(INDEX(Kintoneデータ抽出!I:I, _xlfn.AGGREGATE(15, 6, ROW(Kintoneデータ抽出!$K$2:$K$5000) / ((Kintoneデータ抽出!$K$2:$K$5000="院内")), ROW(A251)))&lt;&gt;"",
IF(COUNTIF(INDEX(Kintoneデータ抽出!I:I, _xlfn.AGGREGATE(15, 6, ROW(Kintoneデータ抽出!$K$2:$K$5000) / ((Kintoneデータ抽出!$K$2:$K$5000="院内")), ROW(A251))),"*あり*"),"学童",""),""), "")</f>
        <v/>
      </c>
      <c r="N288" s="75" t="str">
        <f t="array" ref="N288">IFERROR(IF(INDEX(Kintoneデータ抽出!H:H, _xlfn.AGGREGATE(15, 6, ROW(Kintoneデータ抽出!$K$2:$K$5000) / ((Kintoneデータ抽出!$K$2:$K$5000="院内")), ROW(A251)))&lt;&gt;"",
IF(COUNTIF(INDEX(Kintoneデータ抽出!H:H, _xlfn.AGGREGATE(15, 6, ROW(Kintoneデータ抽出!$K$2:$K$5000) / ((Kintoneデータ抽出!$K$2:$K$5000="院内")), ROW(A251))),"*あり*"),"病児",""),""), "")</f>
        <v/>
      </c>
      <c r="O288" s="94" t="str" cm="1">
        <f t="array" ref="O288">IFERROR(
IF(INDEX(Kintoneデータ抽出!M:M, _xlfn.AGGREGATE(15, 6, ROW(Kintoneデータ抽出!$K$2:$K$5000) / ((Kintoneデータ抽出!$K$2:$K$5000="院内")), ROW(A251)))&lt;&gt;0,INDEX(Kintoneデータ抽出!M:M, _xlfn.AGGREGATE(15, 6, ROW(Kintoneデータ抽出!$K$2:$K$5000) / ((Kintoneデータ抽出!$K$2:$K$5000="院内")), ROW(A251))),""), "")</f>
        <v/>
      </c>
      <c r="P288" s="78" t="str">
        <f t="array" ref="P288">IFERROR(IF(INDEX(Kintoneデータ抽出!L:L, _xlfn.AGGREGATE(15, 6, ROW(Kintoneデータ抽出!$K$2:$K$5000) / ((Kintoneデータ抽出!$K$2:$K$5000="院内")), ROW(A251)))&lt;&gt;"",
IF(COUNTIF(INDEX(Kintoneデータ抽出!L:L, _xlfn.AGGREGATE(15, 6, ROW(Kintoneデータ抽出!$K$2:$K$5000) / ((Kintoneデータ抽出!$K$2:$K$5000="院内")), ROW(A251))),"*企業主導型以外*"),"",
IF(COUNTIF(INDEX(Kintoneデータ抽出!L:L, _xlfn.AGGREGATE(15, 6, ROW(Kintoneデータ抽出!$K$2:$K$5000) / ((Kintoneデータ抽出!$K$2:$K$5000="院内")), ROW(A251))),"*その他*"),"",
IF(COUNTIF(INDEX(Kintoneデータ抽出!L:L, _xlfn.AGGREGATE(15, 6, ROW(Kintoneデータ抽出!$K$2:$K$5000) / ((Kintoneデータ抽出!$K$2:$K$5000="院内")), ROW(A251))),"*新制度*"),"新制度","企業主導型"))),""), "")</f>
        <v/>
      </c>
    </row>
    <row r="289" spans="2:16" ht="34.799999999999997" customHeight="1" x14ac:dyDescent="0.45">
      <c r="B289" s="45"/>
      <c r="C289" s="46"/>
      <c r="D289" s="98" t="str">
        <f t="shared" si="4"/>
        <v/>
      </c>
      <c r="E289" s="99"/>
      <c r="F289" s="75" t="str">
        <f t="array" ref="F289">IFERROR(INDEX(Kintoneデータ抽出!A:A, _xlfn.AGGREGATE(15, 6, ROW(Kintoneデータ抽出!$K$2:$K$5000) / ((Kintoneデータ抽出!$K$2:$K$5000="院内")), ROW(A252))), "")</f>
        <v/>
      </c>
      <c r="G289" s="77" t="str">
        <f t="array" ref="G289">IFERROR(INDEX(Kintoneデータ抽出!D:D, _xlfn.AGGREGATE(15, 6, ROW(Kintoneデータ抽出!$K$2:$K$5000) / ((Kintoneデータ抽出!$K$2:$K$5000="院内")), ROW(A252))), "")</f>
        <v/>
      </c>
      <c r="H289" s="77" t="str">
        <f t="array" ref="H289">IFERROR(INDEX(Kintoneデータ抽出!C:C, _xlfn.AGGREGATE(15, 6, ROW(Kintoneデータ抽出!$K$2:$K$5000) / ((Kintoneデータ抽出!$K$2:$K$5000="院内")), ROW(A252))), "")</f>
        <v/>
      </c>
      <c r="I289" s="75" t="str">
        <f t="array" ref="I289">IFERROR(IF(INDEX(Kintoneデータ抽出!G:G, _xlfn.AGGREGATE(15, 6, ROW(Kintoneデータ抽出!$K$2:$K$5000) / ((Kintoneデータ抽出!$K$2:$K$5000="院内")), ROW(A252)))&lt;&gt;"",INDEX(Kintoneデータ抽出!G:G, _xlfn.AGGREGATE(15, 6, ROW(Kintoneデータ抽出!$K$2:$K$5000) / ((Kintoneデータ抽出!$K$2:$K$5000="院内")), ROW(A252)))&amp;"名",""), "")</f>
        <v/>
      </c>
      <c r="J289" s="76" t="str">
        <f t="array" ref="J289">IFERROR(IF(INDEX(Kintoneデータ抽出!E:E, _xlfn.AGGREGATE(15, 6, ROW(Kintoneデータ抽出!$K$2:$K$5000) / ((Kintoneデータ抽出!$K$2:$K$5000="院内")), ROW(A252)))&lt;&gt;"",
YEAR(INDEX(Kintoneデータ抽出!E:E, _xlfn.AGGREGATE(15, 6, ROW(Kintoneデータ抽出!$K$2:$K$5000) / ((Kintoneデータ抽出!$K$2:$K$5000="院内")), ROW(A252))))&amp;"年"
&amp;MONTH(INDEX(Kintoneデータ抽出!E:E, _xlfn.AGGREGATE(15, 6, ROW(Kintoneデータ抽出!$K$2:$K$5000) / ((Kintoneデータ抽出!$K$2:$K$5000="院内")), ROW(A252))))&amp;"月"
&amp;DAY(INDEX(Kintoneデータ抽出!E:E, _xlfn.AGGREGATE(15, 6, ROW(Kintoneデータ抽出!$K$2:$K$5000) /((Kintoneデータ抽出!$K$2:$K$5000="院内")), ROW(A252))))&amp;"日",""), "")</f>
        <v/>
      </c>
      <c r="K289" s="77" t="str" cm="1">
        <f t="array" ref="K289">IFERROR(IF(INDEX(Kintoneデータ抽出!F:F, _xlfn.AGGREGATE(15, 6, ROW(Kintoneデータ抽出!$K$2:$K$5000) / ((Kintoneデータ抽出!$K$2:$K$5000="院内")), ROW(A252)))&lt;&gt;"",
VLOOKUP(INDEX(Kintoneデータ抽出!F:F, _xlfn.AGGREGATE(15, 6, ROW(Kintoneデータ抽出!$K$2:$K$5000) / ((Kintoneデータ抽出!$K$2:$K$5000="院内")), ROW(A252))),基本開園日の表記!$A$2:$B$13,2,FALSE),""), "")</f>
        <v/>
      </c>
      <c r="L289" s="75" t="str">
        <f t="array" ref="L289">IFERROR(IF(INDEX(Kintoneデータ抽出!F:F, _xlfn.AGGREGATE(15, 6, ROW(Kintoneデータ抽出!$K$2:$K$5000) / ((Kintoneデータ抽出!$K$2:$K$5000="院内")), ROW(A252)))&lt;&gt;"",
IF(COUNTIF(INDEX(Kintoneデータ抽出!F:F, _xlfn.AGGREGATE(15, 6, ROW(Kintoneデータ抽出!$K$2:$K$5000) / ((Kintoneデータ抽出!$K$2:$K$5000="院内")), ROW(A252))),"*あり*"),"夜間",""),""), "")</f>
        <v/>
      </c>
      <c r="M289" s="75" t="str">
        <f t="array" ref="M289">IFERROR(IF(INDEX(Kintoneデータ抽出!I:I, _xlfn.AGGREGATE(15, 6, ROW(Kintoneデータ抽出!$K$2:$K$5000) / ((Kintoneデータ抽出!$K$2:$K$5000="院内")), ROW(A252)))&lt;&gt;"",
IF(COUNTIF(INDEX(Kintoneデータ抽出!I:I, _xlfn.AGGREGATE(15, 6, ROW(Kintoneデータ抽出!$K$2:$K$5000) / ((Kintoneデータ抽出!$K$2:$K$5000="院内")), ROW(A252))),"*あり*"),"学童",""),""), "")</f>
        <v/>
      </c>
      <c r="N289" s="75" t="str">
        <f t="array" ref="N289">IFERROR(IF(INDEX(Kintoneデータ抽出!H:H, _xlfn.AGGREGATE(15, 6, ROW(Kintoneデータ抽出!$K$2:$K$5000) / ((Kintoneデータ抽出!$K$2:$K$5000="院内")), ROW(A252)))&lt;&gt;"",
IF(COUNTIF(INDEX(Kintoneデータ抽出!H:H, _xlfn.AGGREGATE(15, 6, ROW(Kintoneデータ抽出!$K$2:$K$5000) / ((Kintoneデータ抽出!$K$2:$K$5000="院内")), ROW(A252))),"*あり*"),"病児",""),""), "")</f>
        <v/>
      </c>
      <c r="O289" s="94" t="str" cm="1">
        <f t="array" ref="O289">IFERROR(
IF(INDEX(Kintoneデータ抽出!M:M, _xlfn.AGGREGATE(15, 6, ROW(Kintoneデータ抽出!$K$2:$K$5000) / ((Kintoneデータ抽出!$K$2:$K$5000="院内")), ROW(A252)))&lt;&gt;0,INDEX(Kintoneデータ抽出!M:M, _xlfn.AGGREGATE(15, 6, ROW(Kintoneデータ抽出!$K$2:$K$5000) / ((Kintoneデータ抽出!$K$2:$K$5000="院内")), ROW(A252))),""), "")</f>
        <v/>
      </c>
      <c r="P289" s="78" t="str">
        <f t="array" ref="P289">IFERROR(IF(INDEX(Kintoneデータ抽出!L:L, _xlfn.AGGREGATE(15, 6, ROW(Kintoneデータ抽出!$K$2:$K$5000) / ((Kintoneデータ抽出!$K$2:$K$5000="院内")), ROW(A252)))&lt;&gt;"",
IF(COUNTIF(INDEX(Kintoneデータ抽出!L:L, _xlfn.AGGREGATE(15, 6, ROW(Kintoneデータ抽出!$K$2:$K$5000) / ((Kintoneデータ抽出!$K$2:$K$5000="院内")), ROW(A252))),"*企業主導型以外*"),"",
IF(COUNTIF(INDEX(Kintoneデータ抽出!L:L, _xlfn.AGGREGATE(15, 6, ROW(Kintoneデータ抽出!$K$2:$K$5000) / ((Kintoneデータ抽出!$K$2:$K$5000="院内")), ROW(A252))),"*その他*"),"",
IF(COUNTIF(INDEX(Kintoneデータ抽出!L:L, _xlfn.AGGREGATE(15, 6, ROW(Kintoneデータ抽出!$K$2:$K$5000) / ((Kintoneデータ抽出!$K$2:$K$5000="院内")), ROW(A252))),"*新制度*"),"新制度","企業主導型"))),""), "")</f>
        <v/>
      </c>
    </row>
    <row r="290" spans="2:16" ht="34.799999999999997" customHeight="1" x14ac:dyDescent="0.45">
      <c r="B290" s="45"/>
      <c r="C290" s="46"/>
      <c r="D290" s="98" t="str">
        <f t="shared" si="4"/>
        <v/>
      </c>
      <c r="E290" s="99"/>
      <c r="F290" s="75" t="str">
        <f t="array" ref="F290">IFERROR(INDEX(Kintoneデータ抽出!A:A, _xlfn.AGGREGATE(15, 6, ROW(Kintoneデータ抽出!$K$2:$K$5000) / ((Kintoneデータ抽出!$K$2:$K$5000="院内")), ROW(A253))), "")</f>
        <v/>
      </c>
      <c r="G290" s="77" t="str">
        <f t="array" ref="G290">IFERROR(INDEX(Kintoneデータ抽出!D:D, _xlfn.AGGREGATE(15, 6, ROW(Kintoneデータ抽出!$K$2:$K$5000) / ((Kintoneデータ抽出!$K$2:$K$5000="院内")), ROW(A253))), "")</f>
        <v/>
      </c>
      <c r="H290" s="77" t="str">
        <f t="array" ref="H290">IFERROR(INDEX(Kintoneデータ抽出!C:C, _xlfn.AGGREGATE(15, 6, ROW(Kintoneデータ抽出!$K$2:$K$5000) / ((Kintoneデータ抽出!$K$2:$K$5000="院内")), ROW(A253))), "")</f>
        <v/>
      </c>
      <c r="I290" s="75" t="str">
        <f t="array" ref="I290">IFERROR(IF(INDEX(Kintoneデータ抽出!G:G, _xlfn.AGGREGATE(15, 6, ROW(Kintoneデータ抽出!$K$2:$K$5000) / ((Kintoneデータ抽出!$K$2:$K$5000="院内")), ROW(A253)))&lt;&gt;"",INDEX(Kintoneデータ抽出!G:G, _xlfn.AGGREGATE(15, 6, ROW(Kintoneデータ抽出!$K$2:$K$5000) / ((Kintoneデータ抽出!$K$2:$K$5000="院内")), ROW(A253)))&amp;"名",""), "")</f>
        <v/>
      </c>
      <c r="J290" s="76" t="str">
        <f t="array" ref="J290">IFERROR(IF(INDEX(Kintoneデータ抽出!E:E, _xlfn.AGGREGATE(15, 6, ROW(Kintoneデータ抽出!$K$2:$K$5000) / ((Kintoneデータ抽出!$K$2:$K$5000="院内")), ROW(A253)))&lt;&gt;"",
YEAR(INDEX(Kintoneデータ抽出!E:E, _xlfn.AGGREGATE(15, 6, ROW(Kintoneデータ抽出!$K$2:$K$5000) / ((Kintoneデータ抽出!$K$2:$K$5000="院内")), ROW(A253))))&amp;"年"
&amp;MONTH(INDEX(Kintoneデータ抽出!E:E, _xlfn.AGGREGATE(15, 6, ROW(Kintoneデータ抽出!$K$2:$K$5000) / ((Kintoneデータ抽出!$K$2:$K$5000="院内")), ROW(A253))))&amp;"月"
&amp;DAY(INDEX(Kintoneデータ抽出!E:E, _xlfn.AGGREGATE(15, 6, ROW(Kintoneデータ抽出!$K$2:$K$5000) /((Kintoneデータ抽出!$K$2:$K$5000="院内")), ROW(A253))))&amp;"日",""), "")</f>
        <v/>
      </c>
      <c r="K290" s="77" t="str" cm="1">
        <f t="array" ref="K290">IFERROR(IF(INDEX(Kintoneデータ抽出!F:F, _xlfn.AGGREGATE(15, 6, ROW(Kintoneデータ抽出!$K$2:$K$5000) / ((Kintoneデータ抽出!$K$2:$K$5000="院内")), ROW(A253)))&lt;&gt;"",
VLOOKUP(INDEX(Kintoneデータ抽出!F:F, _xlfn.AGGREGATE(15, 6, ROW(Kintoneデータ抽出!$K$2:$K$5000) / ((Kintoneデータ抽出!$K$2:$K$5000="院内")), ROW(A253))),基本開園日の表記!$A$2:$B$13,2,FALSE),""), "")</f>
        <v/>
      </c>
      <c r="L290" s="75" t="str">
        <f t="array" ref="L290">IFERROR(IF(INDEX(Kintoneデータ抽出!F:F, _xlfn.AGGREGATE(15, 6, ROW(Kintoneデータ抽出!$K$2:$K$5000) / ((Kintoneデータ抽出!$K$2:$K$5000="院内")), ROW(A253)))&lt;&gt;"",
IF(COUNTIF(INDEX(Kintoneデータ抽出!F:F, _xlfn.AGGREGATE(15, 6, ROW(Kintoneデータ抽出!$K$2:$K$5000) / ((Kintoneデータ抽出!$K$2:$K$5000="院内")), ROW(A253))),"*あり*"),"夜間",""),""), "")</f>
        <v/>
      </c>
      <c r="M290" s="75" t="str">
        <f t="array" ref="M290">IFERROR(IF(INDEX(Kintoneデータ抽出!I:I, _xlfn.AGGREGATE(15, 6, ROW(Kintoneデータ抽出!$K$2:$K$5000) / ((Kintoneデータ抽出!$K$2:$K$5000="院内")), ROW(A253)))&lt;&gt;"",
IF(COUNTIF(INDEX(Kintoneデータ抽出!I:I, _xlfn.AGGREGATE(15, 6, ROW(Kintoneデータ抽出!$K$2:$K$5000) / ((Kintoneデータ抽出!$K$2:$K$5000="院内")), ROW(A253))),"*あり*"),"学童",""),""), "")</f>
        <v/>
      </c>
      <c r="N290" s="75" t="str">
        <f t="array" ref="N290">IFERROR(IF(INDEX(Kintoneデータ抽出!H:H, _xlfn.AGGREGATE(15, 6, ROW(Kintoneデータ抽出!$K$2:$K$5000) / ((Kintoneデータ抽出!$K$2:$K$5000="院内")), ROW(A253)))&lt;&gt;"",
IF(COUNTIF(INDEX(Kintoneデータ抽出!H:H, _xlfn.AGGREGATE(15, 6, ROW(Kintoneデータ抽出!$K$2:$K$5000) / ((Kintoneデータ抽出!$K$2:$K$5000="院内")), ROW(A253))),"*あり*"),"病児",""),""), "")</f>
        <v/>
      </c>
      <c r="O290" s="94" t="str" cm="1">
        <f t="array" ref="O290">IFERROR(
IF(INDEX(Kintoneデータ抽出!M:M, _xlfn.AGGREGATE(15, 6, ROW(Kintoneデータ抽出!$K$2:$K$5000) / ((Kintoneデータ抽出!$K$2:$K$5000="院内")), ROW(A253)))&lt;&gt;0,INDEX(Kintoneデータ抽出!M:M, _xlfn.AGGREGATE(15, 6, ROW(Kintoneデータ抽出!$K$2:$K$5000) / ((Kintoneデータ抽出!$K$2:$K$5000="院内")), ROW(A253))),""), "")</f>
        <v/>
      </c>
      <c r="P290" s="78" t="str">
        <f t="array" ref="P290">IFERROR(IF(INDEX(Kintoneデータ抽出!L:L, _xlfn.AGGREGATE(15, 6, ROW(Kintoneデータ抽出!$K$2:$K$5000) / ((Kintoneデータ抽出!$K$2:$K$5000="院内")), ROW(A253)))&lt;&gt;"",
IF(COUNTIF(INDEX(Kintoneデータ抽出!L:L, _xlfn.AGGREGATE(15, 6, ROW(Kintoneデータ抽出!$K$2:$K$5000) / ((Kintoneデータ抽出!$K$2:$K$5000="院内")), ROW(A253))),"*企業主導型以外*"),"",
IF(COUNTIF(INDEX(Kintoneデータ抽出!L:L, _xlfn.AGGREGATE(15, 6, ROW(Kintoneデータ抽出!$K$2:$K$5000) / ((Kintoneデータ抽出!$K$2:$K$5000="院内")), ROW(A253))),"*その他*"),"",
IF(COUNTIF(INDEX(Kintoneデータ抽出!L:L, _xlfn.AGGREGATE(15, 6, ROW(Kintoneデータ抽出!$K$2:$K$5000) / ((Kintoneデータ抽出!$K$2:$K$5000="院内")), ROW(A253))),"*新制度*"),"新制度","企業主導型"))),""), "")</f>
        <v/>
      </c>
    </row>
    <row r="291" spans="2:16" ht="34.799999999999997" customHeight="1" x14ac:dyDescent="0.45">
      <c r="B291" s="45"/>
      <c r="C291" s="46"/>
      <c r="D291" s="98" t="str">
        <f t="shared" si="4"/>
        <v/>
      </c>
      <c r="E291" s="99"/>
      <c r="F291" s="75" t="str">
        <f t="array" ref="F291">IFERROR(INDEX(Kintoneデータ抽出!A:A, _xlfn.AGGREGATE(15, 6, ROW(Kintoneデータ抽出!$K$2:$K$5000) / ((Kintoneデータ抽出!$K$2:$K$5000="院内")), ROW(A254))), "")</f>
        <v/>
      </c>
      <c r="G291" s="77" t="str">
        <f t="array" ref="G291">IFERROR(INDEX(Kintoneデータ抽出!D:D, _xlfn.AGGREGATE(15, 6, ROW(Kintoneデータ抽出!$K$2:$K$5000) / ((Kintoneデータ抽出!$K$2:$K$5000="院内")), ROW(A254))), "")</f>
        <v/>
      </c>
      <c r="H291" s="77" t="str">
        <f t="array" ref="H291">IFERROR(INDEX(Kintoneデータ抽出!C:C, _xlfn.AGGREGATE(15, 6, ROW(Kintoneデータ抽出!$K$2:$K$5000) / ((Kintoneデータ抽出!$K$2:$K$5000="院内")), ROW(A254))), "")</f>
        <v/>
      </c>
      <c r="I291" s="75" t="str">
        <f t="array" ref="I291">IFERROR(IF(INDEX(Kintoneデータ抽出!G:G, _xlfn.AGGREGATE(15, 6, ROW(Kintoneデータ抽出!$K$2:$K$5000) / ((Kintoneデータ抽出!$K$2:$K$5000="院内")), ROW(A254)))&lt;&gt;"",INDEX(Kintoneデータ抽出!G:G, _xlfn.AGGREGATE(15, 6, ROW(Kintoneデータ抽出!$K$2:$K$5000) / ((Kintoneデータ抽出!$K$2:$K$5000="院内")), ROW(A254)))&amp;"名",""), "")</f>
        <v/>
      </c>
      <c r="J291" s="76" t="str">
        <f t="array" ref="J291">IFERROR(IF(INDEX(Kintoneデータ抽出!E:E, _xlfn.AGGREGATE(15, 6, ROW(Kintoneデータ抽出!$K$2:$K$5000) / ((Kintoneデータ抽出!$K$2:$K$5000="院内")), ROW(A254)))&lt;&gt;"",
YEAR(INDEX(Kintoneデータ抽出!E:E, _xlfn.AGGREGATE(15, 6, ROW(Kintoneデータ抽出!$K$2:$K$5000) / ((Kintoneデータ抽出!$K$2:$K$5000="院内")), ROW(A254))))&amp;"年"
&amp;MONTH(INDEX(Kintoneデータ抽出!E:E, _xlfn.AGGREGATE(15, 6, ROW(Kintoneデータ抽出!$K$2:$K$5000) / ((Kintoneデータ抽出!$K$2:$K$5000="院内")), ROW(A254))))&amp;"月"
&amp;DAY(INDEX(Kintoneデータ抽出!E:E, _xlfn.AGGREGATE(15, 6, ROW(Kintoneデータ抽出!$K$2:$K$5000) /((Kintoneデータ抽出!$K$2:$K$5000="院内")), ROW(A254))))&amp;"日",""), "")</f>
        <v/>
      </c>
      <c r="K291" s="77" t="str" cm="1">
        <f t="array" ref="K291">IFERROR(IF(INDEX(Kintoneデータ抽出!F:F, _xlfn.AGGREGATE(15, 6, ROW(Kintoneデータ抽出!$K$2:$K$5000) / ((Kintoneデータ抽出!$K$2:$K$5000="院内")), ROW(A254)))&lt;&gt;"",
VLOOKUP(INDEX(Kintoneデータ抽出!F:F, _xlfn.AGGREGATE(15, 6, ROW(Kintoneデータ抽出!$K$2:$K$5000) / ((Kintoneデータ抽出!$K$2:$K$5000="院内")), ROW(A254))),基本開園日の表記!$A$2:$B$13,2,FALSE),""), "")</f>
        <v/>
      </c>
      <c r="L291" s="75" t="str">
        <f t="array" ref="L291">IFERROR(IF(INDEX(Kintoneデータ抽出!F:F, _xlfn.AGGREGATE(15, 6, ROW(Kintoneデータ抽出!$K$2:$K$5000) / ((Kintoneデータ抽出!$K$2:$K$5000="院内")), ROW(A254)))&lt;&gt;"",
IF(COUNTIF(INDEX(Kintoneデータ抽出!F:F, _xlfn.AGGREGATE(15, 6, ROW(Kintoneデータ抽出!$K$2:$K$5000) / ((Kintoneデータ抽出!$K$2:$K$5000="院内")), ROW(A254))),"*あり*"),"夜間",""),""), "")</f>
        <v/>
      </c>
      <c r="M291" s="75" t="str">
        <f t="array" ref="M291">IFERROR(IF(INDEX(Kintoneデータ抽出!I:I, _xlfn.AGGREGATE(15, 6, ROW(Kintoneデータ抽出!$K$2:$K$5000) / ((Kintoneデータ抽出!$K$2:$K$5000="院内")), ROW(A254)))&lt;&gt;"",
IF(COUNTIF(INDEX(Kintoneデータ抽出!I:I, _xlfn.AGGREGATE(15, 6, ROW(Kintoneデータ抽出!$K$2:$K$5000) / ((Kintoneデータ抽出!$K$2:$K$5000="院内")), ROW(A254))),"*あり*"),"学童",""),""), "")</f>
        <v/>
      </c>
      <c r="N291" s="75" t="str">
        <f t="array" ref="N291">IFERROR(IF(INDEX(Kintoneデータ抽出!H:H, _xlfn.AGGREGATE(15, 6, ROW(Kintoneデータ抽出!$K$2:$K$5000) / ((Kintoneデータ抽出!$K$2:$K$5000="院内")), ROW(A254)))&lt;&gt;"",
IF(COUNTIF(INDEX(Kintoneデータ抽出!H:H, _xlfn.AGGREGATE(15, 6, ROW(Kintoneデータ抽出!$K$2:$K$5000) / ((Kintoneデータ抽出!$K$2:$K$5000="院内")), ROW(A254))),"*あり*"),"病児",""),""), "")</f>
        <v/>
      </c>
      <c r="O291" s="94" t="str" cm="1">
        <f t="array" ref="O291">IFERROR(
IF(INDEX(Kintoneデータ抽出!M:M, _xlfn.AGGREGATE(15, 6, ROW(Kintoneデータ抽出!$K$2:$K$5000) / ((Kintoneデータ抽出!$K$2:$K$5000="院内")), ROW(A254)))&lt;&gt;0,INDEX(Kintoneデータ抽出!M:M, _xlfn.AGGREGATE(15, 6, ROW(Kintoneデータ抽出!$K$2:$K$5000) / ((Kintoneデータ抽出!$K$2:$K$5000="院内")), ROW(A254))),""), "")</f>
        <v/>
      </c>
      <c r="P291" s="78" t="str">
        <f t="array" ref="P291">IFERROR(IF(INDEX(Kintoneデータ抽出!L:L, _xlfn.AGGREGATE(15, 6, ROW(Kintoneデータ抽出!$K$2:$K$5000) / ((Kintoneデータ抽出!$K$2:$K$5000="院内")), ROW(A254)))&lt;&gt;"",
IF(COUNTIF(INDEX(Kintoneデータ抽出!L:L, _xlfn.AGGREGATE(15, 6, ROW(Kintoneデータ抽出!$K$2:$K$5000) / ((Kintoneデータ抽出!$K$2:$K$5000="院内")), ROW(A254))),"*企業主導型以外*"),"",
IF(COUNTIF(INDEX(Kintoneデータ抽出!L:L, _xlfn.AGGREGATE(15, 6, ROW(Kintoneデータ抽出!$K$2:$K$5000) / ((Kintoneデータ抽出!$K$2:$K$5000="院内")), ROW(A254))),"*その他*"),"",
IF(COUNTIF(INDEX(Kintoneデータ抽出!L:L, _xlfn.AGGREGATE(15, 6, ROW(Kintoneデータ抽出!$K$2:$K$5000) / ((Kintoneデータ抽出!$K$2:$K$5000="院内")), ROW(A254))),"*新制度*"),"新制度","企業主導型"))),""), "")</f>
        <v/>
      </c>
    </row>
    <row r="292" spans="2:16" ht="34.799999999999997" customHeight="1" x14ac:dyDescent="0.45">
      <c r="B292" s="45"/>
      <c r="C292" s="46"/>
      <c r="D292" s="98" t="str">
        <f t="shared" si="4"/>
        <v/>
      </c>
      <c r="E292" s="99"/>
      <c r="F292" s="75" t="str">
        <f t="array" ref="F292">IFERROR(INDEX(Kintoneデータ抽出!A:A, _xlfn.AGGREGATE(15, 6, ROW(Kintoneデータ抽出!$K$2:$K$5000) / ((Kintoneデータ抽出!$K$2:$K$5000="院内")), ROW(A255))), "")</f>
        <v/>
      </c>
      <c r="G292" s="77" t="str">
        <f t="array" ref="G292">IFERROR(INDEX(Kintoneデータ抽出!D:D, _xlfn.AGGREGATE(15, 6, ROW(Kintoneデータ抽出!$K$2:$K$5000) / ((Kintoneデータ抽出!$K$2:$K$5000="院内")), ROW(A255))), "")</f>
        <v/>
      </c>
      <c r="H292" s="77" t="str">
        <f t="array" ref="H292">IFERROR(INDEX(Kintoneデータ抽出!C:C, _xlfn.AGGREGATE(15, 6, ROW(Kintoneデータ抽出!$K$2:$K$5000) / ((Kintoneデータ抽出!$K$2:$K$5000="院内")), ROW(A255))), "")</f>
        <v/>
      </c>
      <c r="I292" s="75" t="str">
        <f t="array" ref="I292">IFERROR(IF(INDEX(Kintoneデータ抽出!G:G, _xlfn.AGGREGATE(15, 6, ROW(Kintoneデータ抽出!$K$2:$K$5000) / ((Kintoneデータ抽出!$K$2:$K$5000="院内")), ROW(A255)))&lt;&gt;"",INDEX(Kintoneデータ抽出!G:G, _xlfn.AGGREGATE(15, 6, ROW(Kintoneデータ抽出!$K$2:$K$5000) / ((Kintoneデータ抽出!$K$2:$K$5000="院内")), ROW(A255)))&amp;"名",""), "")</f>
        <v/>
      </c>
      <c r="J292" s="76" t="str">
        <f t="array" ref="J292">IFERROR(IF(INDEX(Kintoneデータ抽出!E:E, _xlfn.AGGREGATE(15, 6, ROW(Kintoneデータ抽出!$K$2:$K$5000) / ((Kintoneデータ抽出!$K$2:$K$5000="院内")), ROW(A255)))&lt;&gt;"",
YEAR(INDEX(Kintoneデータ抽出!E:E, _xlfn.AGGREGATE(15, 6, ROW(Kintoneデータ抽出!$K$2:$K$5000) / ((Kintoneデータ抽出!$K$2:$K$5000="院内")), ROW(A255))))&amp;"年"
&amp;MONTH(INDEX(Kintoneデータ抽出!E:E, _xlfn.AGGREGATE(15, 6, ROW(Kintoneデータ抽出!$K$2:$K$5000) / ((Kintoneデータ抽出!$K$2:$K$5000="院内")), ROW(A255))))&amp;"月"
&amp;DAY(INDEX(Kintoneデータ抽出!E:E, _xlfn.AGGREGATE(15, 6, ROW(Kintoneデータ抽出!$K$2:$K$5000) /((Kintoneデータ抽出!$K$2:$K$5000="院内")), ROW(A255))))&amp;"日",""), "")</f>
        <v/>
      </c>
      <c r="K292" s="77" t="str" cm="1">
        <f t="array" ref="K292">IFERROR(IF(INDEX(Kintoneデータ抽出!F:F, _xlfn.AGGREGATE(15, 6, ROW(Kintoneデータ抽出!$K$2:$K$5000) / ((Kintoneデータ抽出!$K$2:$K$5000="院内")), ROW(A255)))&lt;&gt;"",
VLOOKUP(INDEX(Kintoneデータ抽出!F:F, _xlfn.AGGREGATE(15, 6, ROW(Kintoneデータ抽出!$K$2:$K$5000) / ((Kintoneデータ抽出!$K$2:$K$5000="院内")), ROW(A255))),基本開園日の表記!$A$2:$B$13,2,FALSE),""), "")</f>
        <v/>
      </c>
      <c r="L292" s="75" t="str">
        <f t="array" ref="L292">IFERROR(IF(INDEX(Kintoneデータ抽出!F:F, _xlfn.AGGREGATE(15, 6, ROW(Kintoneデータ抽出!$K$2:$K$5000) / ((Kintoneデータ抽出!$K$2:$K$5000="院内")), ROW(A255)))&lt;&gt;"",
IF(COUNTIF(INDEX(Kintoneデータ抽出!F:F, _xlfn.AGGREGATE(15, 6, ROW(Kintoneデータ抽出!$K$2:$K$5000) / ((Kintoneデータ抽出!$K$2:$K$5000="院内")), ROW(A255))),"*あり*"),"夜間",""),""), "")</f>
        <v/>
      </c>
      <c r="M292" s="75" t="str">
        <f t="array" ref="M292">IFERROR(IF(INDEX(Kintoneデータ抽出!I:I, _xlfn.AGGREGATE(15, 6, ROW(Kintoneデータ抽出!$K$2:$K$5000) / ((Kintoneデータ抽出!$K$2:$K$5000="院内")), ROW(A255)))&lt;&gt;"",
IF(COUNTIF(INDEX(Kintoneデータ抽出!I:I, _xlfn.AGGREGATE(15, 6, ROW(Kintoneデータ抽出!$K$2:$K$5000) / ((Kintoneデータ抽出!$K$2:$K$5000="院内")), ROW(A255))),"*あり*"),"学童",""),""), "")</f>
        <v/>
      </c>
      <c r="N292" s="75" t="str">
        <f t="array" ref="N292">IFERROR(IF(INDEX(Kintoneデータ抽出!H:H, _xlfn.AGGREGATE(15, 6, ROW(Kintoneデータ抽出!$K$2:$K$5000) / ((Kintoneデータ抽出!$K$2:$K$5000="院内")), ROW(A255)))&lt;&gt;"",
IF(COUNTIF(INDEX(Kintoneデータ抽出!H:H, _xlfn.AGGREGATE(15, 6, ROW(Kintoneデータ抽出!$K$2:$K$5000) / ((Kintoneデータ抽出!$K$2:$K$5000="院内")), ROW(A255))),"*あり*"),"病児",""),""), "")</f>
        <v/>
      </c>
      <c r="O292" s="94" t="str" cm="1">
        <f t="array" ref="O292">IFERROR(
IF(INDEX(Kintoneデータ抽出!M:M, _xlfn.AGGREGATE(15, 6, ROW(Kintoneデータ抽出!$K$2:$K$5000) / ((Kintoneデータ抽出!$K$2:$K$5000="院内")), ROW(A255)))&lt;&gt;0,INDEX(Kintoneデータ抽出!M:M, _xlfn.AGGREGATE(15, 6, ROW(Kintoneデータ抽出!$K$2:$K$5000) / ((Kintoneデータ抽出!$K$2:$K$5000="院内")), ROW(A255))),""), "")</f>
        <v/>
      </c>
      <c r="P292" s="78" t="str">
        <f t="array" ref="P292">IFERROR(IF(INDEX(Kintoneデータ抽出!L:L, _xlfn.AGGREGATE(15, 6, ROW(Kintoneデータ抽出!$K$2:$K$5000) / ((Kintoneデータ抽出!$K$2:$K$5000="院内")), ROW(A255)))&lt;&gt;"",
IF(COUNTIF(INDEX(Kintoneデータ抽出!L:L, _xlfn.AGGREGATE(15, 6, ROW(Kintoneデータ抽出!$K$2:$K$5000) / ((Kintoneデータ抽出!$K$2:$K$5000="院内")), ROW(A255))),"*企業主導型以外*"),"",
IF(COUNTIF(INDEX(Kintoneデータ抽出!L:L, _xlfn.AGGREGATE(15, 6, ROW(Kintoneデータ抽出!$K$2:$K$5000) / ((Kintoneデータ抽出!$K$2:$K$5000="院内")), ROW(A255))),"*その他*"),"",
IF(COUNTIF(INDEX(Kintoneデータ抽出!L:L, _xlfn.AGGREGATE(15, 6, ROW(Kintoneデータ抽出!$K$2:$K$5000) / ((Kintoneデータ抽出!$K$2:$K$5000="院内")), ROW(A255))),"*新制度*"),"新制度","企業主導型"))),""), "")</f>
        <v/>
      </c>
    </row>
    <row r="293" spans="2:16" ht="34.799999999999997" customHeight="1" x14ac:dyDescent="0.45">
      <c r="B293" s="45"/>
      <c r="C293" s="46"/>
      <c r="D293" s="98" t="str">
        <f t="shared" si="4"/>
        <v/>
      </c>
      <c r="E293" s="99"/>
      <c r="F293" s="75" t="str">
        <f t="array" ref="F293">IFERROR(INDEX(Kintoneデータ抽出!A:A, _xlfn.AGGREGATE(15, 6, ROW(Kintoneデータ抽出!$K$2:$K$5000) / ((Kintoneデータ抽出!$K$2:$K$5000="院内")), ROW(A256))), "")</f>
        <v/>
      </c>
      <c r="G293" s="77" t="str">
        <f t="array" ref="G293">IFERROR(INDEX(Kintoneデータ抽出!D:D, _xlfn.AGGREGATE(15, 6, ROW(Kintoneデータ抽出!$K$2:$K$5000) / ((Kintoneデータ抽出!$K$2:$K$5000="院内")), ROW(A256))), "")</f>
        <v/>
      </c>
      <c r="H293" s="77" t="str">
        <f t="array" ref="H293">IFERROR(INDEX(Kintoneデータ抽出!C:C, _xlfn.AGGREGATE(15, 6, ROW(Kintoneデータ抽出!$K$2:$K$5000) / ((Kintoneデータ抽出!$K$2:$K$5000="院内")), ROW(A256))), "")</f>
        <v/>
      </c>
      <c r="I293" s="75" t="str">
        <f t="array" ref="I293">IFERROR(IF(INDEX(Kintoneデータ抽出!G:G, _xlfn.AGGREGATE(15, 6, ROW(Kintoneデータ抽出!$K$2:$K$5000) / ((Kintoneデータ抽出!$K$2:$K$5000="院内")), ROW(A256)))&lt;&gt;"",INDEX(Kintoneデータ抽出!G:G, _xlfn.AGGREGATE(15, 6, ROW(Kintoneデータ抽出!$K$2:$K$5000) / ((Kintoneデータ抽出!$K$2:$K$5000="院内")), ROW(A256)))&amp;"名",""), "")</f>
        <v/>
      </c>
      <c r="J293" s="76" t="str">
        <f t="array" ref="J293">IFERROR(IF(INDEX(Kintoneデータ抽出!E:E, _xlfn.AGGREGATE(15, 6, ROW(Kintoneデータ抽出!$K$2:$K$5000) / ((Kintoneデータ抽出!$K$2:$K$5000="院内")), ROW(A256)))&lt;&gt;"",
YEAR(INDEX(Kintoneデータ抽出!E:E, _xlfn.AGGREGATE(15, 6, ROW(Kintoneデータ抽出!$K$2:$K$5000) / ((Kintoneデータ抽出!$K$2:$K$5000="院内")), ROW(A256))))&amp;"年"
&amp;MONTH(INDEX(Kintoneデータ抽出!E:E, _xlfn.AGGREGATE(15, 6, ROW(Kintoneデータ抽出!$K$2:$K$5000) / ((Kintoneデータ抽出!$K$2:$K$5000="院内")), ROW(A256))))&amp;"月"
&amp;DAY(INDEX(Kintoneデータ抽出!E:E, _xlfn.AGGREGATE(15, 6, ROW(Kintoneデータ抽出!$K$2:$K$5000) /((Kintoneデータ抽出!$K$2:$K$5000="院内")), ROW(A256))))&amp;"日",""), "")</f>
        <v/>
      </c>
      <c r="K293" s="77" t="str" cm="1">
        <f t="array" ref="K293">IFERROR(IF(INDEX(Kintoneデータ抽出!F:F, _xlfn.AGGREGATE(15, 6, ROW(Kintoneデータ抽出!$K$2:$K$5000) / ((Kintoneデータ抽出!$K$2:$K$5000="院内")), ROW(A256)))&lt;&gt;"",
VLOOKUP(INDEX(Kintoneデータ抽出!F:F, _xlfn.AGGREGATE(15, 6, ROW(Kintoneデータ抽出!$K$2:$K$5000) / ((Kintoneデータ抽出!$K$2:$K$5000="院内")), ROW(A256))),基本開園日の表記!$A$2:$B$13,2,FALSE),""), "")</f>
        <v/>
      </c>
      <c r="L293" s="75" t="str">
        <f t="array" ref="L293">IFERROR(IF(INDEX(Kintoneデータ抽出!F:F, _xlfn.AGGREGATE(15, 6, ROW(Kintoneデータ抽出!$K$2:$K$5000) / ((Kintoneデータ抽出!$K$2:$K$5000="院内")), ROW(A256)))&lt;&gt;"",
IF(COUNTIF(INDEX(Kintoneデータ抽出!F:F, _xlfn.AGGREGATE(15, 6, ROW(Kintoneデータ抽出!$K$2:$K$5000) / ((Kintoneデータ抽出!$K$2:$K$5000="院内")), ROW(A256))),"*あり*"),"夜間",""),""), "")</f>
        <v/>
      </c>
      <c r="M293" s="75" t="str">
        <f t="array" ref="M293">IFERROR(IF(INDEX(Kintoneデータ抽出!I:I, _xlfn.AGGREGATE(15, 6, ROW(Kintoneデータ抽出!$K$2:$K$5000) / ((Kintoneデータ抽出!$K$2:$K$5000="院内")), ROW(A256)))&lt;&gt;"",
IF(COUNTIF(INDEX(Kintoneデータ抽出!I:I, _xlfn.AGGREGATE(15, 6, ROW(Kintoneデータ抽出!$K$2:$K$5000) / ((Kintoneデータ抽出!$K$2:$K$5000="院内")), ROW(A256))),"*あり*"),"学童",""),""), "")</f>
        <v/>
      </c>
      <c r="N293" s="75" t="str">
        <f t="array" ref="N293">IFERROR(IF(INDEX(Kintoneデータ抽出!H:H, _xlfn.AGGREGATE(15, 6, ROW(Kintoneデータ抽出!$K$2:$K$5000) / ((Kintoneデータ抽出!$K$2:$K$5000="院内")), ROW(A256)))&lt;&gt;"",
IF(COUNTIF(INDEX(Kintoneデータ抽出!H:H, _xlfn.AGGREGATE(15, 6, ROW(Kintoneデータ抽出!$K$2:$K$5000) / ((Kintoneデータ抽出!$K$2:$K$5000="院内")), ROW(A256))),"*あり*"),"病児",""),""), "")</f>
        <v/>
      </c>
      <c r="O293" s="94" t="str" cm="1">
        <f t="array" ref="O293">IFERROR(
IF(INDEX(Kintoneデータ抽出!M:M, _xlfn.AGGREGATE(15, 6, ROW(Kintoneデータ抽出!$K$2:$K$5000) / ((Kintoneデータ抽出!$K$2:$K$5000="院内")), ROW(A256)))&lt;&gt;0,INDEX(Kintoneデータ抽出!M:M, _xlfn.AGGREGATE(15, 6, ROW(Kintoneデータ抽出!$K$2:$K$5000) / ((Kintoneデータ抽出!$K$2:$K$5000="院内")), ROW(A256))),""), "")</f>
        <v/>
      </c>
      <c r="P293" s="78" t="str">
        <f t="array" ref="P293">IFERROR(IF(INDEX(Kintoneデータ抽出!L:L, _xlfn.AGGREGATE(15, 6, ROW(Kintoneデータ抽出!$K$2:$K$5000) / ((Kintoneデータ抽出!$K$2:$K$5000="院内")), ROW(A256)))&lt;&gt;"",
IF(COUNTIF(INDEX(Kintoneデータ抽出!L:L, _xlfn.AGGREGATE(15, 6, ROW(Kintoneデータ抽出!$K$2:$K$5000) / ((Kintoneデータ抽出!$K$2:$K$5000="院内")), ROW(A256))),"*企業主導型以外*"),"",
IF(COUNTIF(INDEX(Kintoneデータ抽出!L:L, _xlfn.AGGREGATE(15, 6, ROW(Kintoneデータ抽出!$K$2:$K$5000) / ((Kintoneデータ抽出!$K$2:$K$5000="院内")), ROW(A256))),"*その他*"),"",
IF(COUNTIF(INDEX(Kintoneデータ抽出!L:L, _xlfn.AGGREGATE(15, 6, ROW(Kintoneデータ抽出!$K$2:$K$5000) / ((Kintoneデータ抽出!$K$2:$K$5000="院内")), ROW(A256))),"*新制度*"),"新制度","企業主導型"))),""), "")</f>
        <v/>
      </c>
    </row>
    <row r="294" spans="2:16" ht="34.799999999999997" customHeight="1" x14ac:dyDescent="0.45">
      <c r="B294" s="45"/>
      <c r="C294" s="46"/>
      <c r="D294" s="98" t="str">
        <f t="shared" si="4"/>
        <v/>
      </c>
      <c r="E294" s="99"/>
      <c r="F294" s="75" t="str">
        <f t="array" ref="F294">IFERROR(INDEX(Kintoneデータ抽出!A:A, _xlfn.AGGREGATE(15, 6, ROW(Kintoneデータ抽出!$K$2:$K$5000) / ((Kintoneデータ抽出!$K$2:$K$5000="院内")), ROW(A257))), "")</f>
        <v/>
      </c>
      <c r="G294" s="77" t="str">
        <f t="array" ref="G294">IFERROR(INDEX(Kintoneデータ抽出!D:D, _xlfn.AGGREGATE(15, 6, ROW(Kintoneデータ抽出!$K$2:$K$5000) / ((Kintoneデータ抽出!$K$2:$K$5000="院内")), ROW(A257))), "")</f>
        <v/>
      </c>
      <c r="H294" s="77" t="str">
        <f t="array" ref="H294">IFERROR(INDEX(Kintoneデータ抽出!C:C, _xlfn.AGGREGATE(15, 6, ROW(Kintoneデータ抽出!$K$2:$K$5000) / ((Kintoneデータ抽出!$K$2:$K$5000="院内")), ROW(A257))), "")</f>
        <v/>
      </c>
      <c r="I294" s="75" t="str">
        <f t="array" ref="I294">IFERROR(IF(INDEX(Kintoneデータ抽出!G:G, _xlfn.AGGREGATE(15, 6, ROW(Kintoneデータ抽出!$K$2:$K$5000) / ((Kintoneデータ抽出!$K$2:$K$5000="院内")), ROW(A257)))&lt;&gt;"",INDEX(Kintoneデータ抽出!G:G, _xlfn.AGGREGATE(15, 6, ROW(Kintoneデータ抽出!$K$2:$K$5000) / ((Kintoneデータ抽出!$K$2:$K$5000="院内")), ROW(A257)))&amp;"名",""), "")</f>
        <v/>
      </c>
      <c r="J294" s="76" t="str">
        <f t="array" ref="J294">IFERROR(IF(INDEX(Kintoneデータ抽出!E:E, _xlfn.AGGREGATE(15, 6, ROW(Kintoneデータ抽出!$K$2:$K$5000) / ((Kintoneデータ抽出!$K$2:$K$5000="院内")), ROW(A257)))&lt;&gt;"",
YEAR(INDEX(Kintoneデータ抽出!E:E, _xlfn.AGGREGATE(15, 6, ROW(Kintoneデータ抽出!$K$2:$K$5000) / ((Kintoneデータ抽出!$K$2:$K$5000="院内")), ROW(A257))))&amp;"年"
&amp;MONTH(INDEX(Kintoneデータ抽出!E:E, _xlfn.AGGREGATE(15, 6, ROW(Kintoneデータ抽出!$K$2:$K$5000) / ((Kintoneデータ抽出!$K$2:$K$5000="院内")), ROW(A257))))&amp;"月"
&amp;DAY(INDEX(Kintoneデータ抽出!E:E, _xlfn.AGGREGATE(15, 6, ROW(Kintoneデータ抽出!$K$2:$K$5000) /((Kintoneデータ抽出!$K$2:$K$5000="院内")), ROW(A257))))&amp;"日",""), "")</f>
        <v/>
      </c>
      <c r="K294" s="77" t="str" cm="1">
        <f t="array" ref="K294">IFERROR(IF(INDEX(Kintoneデータ抽出!F:F, _xlfn.AGGREGATE(15, 6, ROW(Kintoneデータ抽出!$K$2:$K$5000) / ((Kintoneデータ抽出!$K$2:$K$5000="院内")), ROW(A257)))&lt;&gt;"",
VLOOKUP(INDEX(Kintoneデータ抽出!F:F, _xlfn.AGGREGATE(15, 6, ROW(Kintoneデータ抽出!$K$2:$K$5000) / ((Kintoneデータ抽出!$K$2:$K$5000="院内")), ROW(A257))),基本開園日の表記!$A$2:$B$13,2,FALSE),""), "")</f>
        <v/>
      </c>
      <c r="L294" s="75" t="str">
        <f t="array" ref="L294">IFERROR(IF(INDEX(Kintoneデータ抽出!F:F, _xlfn.AGGREGATE(15, 6, ROW(Kintoneデータ抽出!$K$2:$K$5000) / ((Kintoneデータ抽出!$K$2:$K$5000="院内")), ROW(A257)))&lt;&gt;"",
IF(COUNTIF(INDEX(Kintoneデータ抽出!F:F, _xlfn.AGGREGATE(15, 6, ROW(Kintoneデータ抽出!$K$2:$K$5000) / ((Kintoneデータ抽出!$K$2:$K$5000="院内")), ROW(A257))),"*あり*"),"夜間",""),""), "")</f>
        <v/>
      </c>
      <c r="M294" s="75" t="str">
        <f t="array" ref="M294">IFERROR(IF(INDEX(Kintoneデータ抽出!I:I, _xlfn.AGGREGATE(15, 6, ROW(Kintoneデータ抽出!$K$2:$K$5000) / ((Kintoneデータ抽出!$K$2:$K$5000="院内")), ROW(A257)))&lt;&gt;"",
IF(COUNTIF(INDEX(Kintoneデータ抽出!I:I, _xlfn.AGGREGATE(15, 6, ROW(Kintoneデータ抽出!$K$2:$K$5000) / ((Kintoneデータ抽出!$K$2:$K$5000="院内")), ROW(A257))),"*あり*"),"学童",""),""), "")</f>
        <v/>
      </c>
      <c r="N294" s="75" t="str">
        <f t="array" ref="N294">IFERROR(IF(INDEX(Kintoneデータ抽出!H:H, _xlfn.AGGREGATE(15, 6, ROW(Kintoneデータ抽出!$K$2:$K$5000) / ((Kintoneデータ抽出!$K$2:$K$5000="院内")), ROW(A257)))&lt;&gt;"",
IF(COUNTIF(INDEX(Kintoneデータ抽出!H:H, _xlfn.AGGREGATE(15, 6, ROW(Kintoneデータ抽出!$K$2:$K$5000) / ((Kintoneデータ抽出!$K$2:$K$5000="院内")), ROW(A257))),"*あり*"),"病児",""),""), "")</f>
        <v/>
      </c>
      <c r="O294" s="94" t="str" cm="1">
        <f t="array" ref="O294">IFERROR(
IF(INDEX(Kintoneデータ抽出!M:M, _xlfn.AGGREGATE(15, 6, ROW(Kintoneデータ抽出!$K$2:$K$5000) / ((Kintoneデータ抽出!$K$2:$K$5000="院内")), ROW(A257)))&lt;&gt;0,INDEX(Kintoneデータ抽出!M:M, _xlfn.AGGREGATE(15, 6, ROW(Kintoneデータ抽出!$K$2:$K$5000) / ((Kintoneデータ抽出!$K$2:$K$5000="院内")), ROW(A257))),""), "")</f>
        <v/>
      </c>
      <c r="P294" s="78" t="str">
        <f t="array" ref="P294">IFERROR(IF(INDEX(Kintoneデータ抽出!L:L, _xlfn.AGGREGATE(15, 6, ROW(Kintoneデータ抽出!$K$2:$K$5000) / ((Kintoneデータ抽出!$K$2:$K$5000="院内")), ROW(A257)))&lt;&gt;"",
IF(COUNTIF(INDEX(Kintoneデータ抽出!L:L, _xlfn.AGGREGATE(15, 6, ROW(Kintoneデータ抽出!$K$2:$K$5000) / ((Kintoneデータ抽出!$K$2:$K$5000="院内")), ROW(A257))),"*企業主導型以外*"),"",
IF(COUNTIF(INDEX(Kintoneデータ抽出!L:L, _xlfn.AGGREGATE(15, 6, ROW(Kintoneデータ抽出!$K$2:$K$5000) / ((Kintoneデータ抽出!$K$2:$K$5000="院内")), ROW(A257))),"*その他*"),"",
IF(COUNTIF(INDEX(Kintoneデータ抽出!L:L, _xlfn.AGGREGATE(15, 6, ROW(Kintoneデータ抽出!$K$2:$K$5000) / ((Kintoneデータ抽出!$K$2:$K$5000="院内")), ROW(A257))),"*新制度*"),"新制度","企業主導型"))),""), "")</f>
        <v/>
      </c>
    </row>
    <row r="295" spans="2:16" ht="34.799999999999997" customHeight="1" x14ac:dyDescent="0.45">
      <c r="B295" s="45"/>
      <c r="C295" s="46"/>
      <c r="D295" s="98" t="str">
        <f t="shared" ref="D295:D304" si="5">IF(H295&lt;&gt;"",D294+1,D294)</f>
        <v/>
      </c>
      <c r="E295" s="99"/>
      <c r="F295" s="75" t="str">
        <f t="array" ref="F295">IFERROR(INDEX(Kintoneデータ抽出!A:A, _xlfn.AGGREGATE(15, 6, ROW(Kintoneデータ抽出!$K$2:$K$5000) / ((Kintoneデータ抽出!$K$2:$K$5000="院内")), ROW(A258))), "")</f>
        <v/>
      </c>
      <c r="G295" s="77" t="str">
        <f t="array" ref="G295">IFERROR(INDEX(Kintoneデータ抽出!D:D, _xlfn.AGGREGATE(15, 6, ROW(Kintoneデータ抽出!$K$2:$K$5000) / ((Kintoneデータ抽出!$K$2:$K$5000="院内")), ROW(A258))), "")</f>
        <v/>
      </c>
      <c r="H295" s="77" t="str">
        <f t="array" ref="H295">IFERROR(INDEX(Kintoneデータ抽出!C:C, _xlfn.AGGREGATE(15, 6, ROW(Kintoneデータ抽出!$K$2:$K$5000) / ((Kintoneデータ抽出!$K$2:$K$5000="院内")), ROW(A258))), "")</f>
        <v/>
      </c>
      <c r="I295" s="75" t="str">
        <f t="array" ref="I295">IFERROR(IF(INDEX(Kintoneデータ抽出!G:G, _xlfn.AGGREGATE(15, 6, ROW(Kintoneデータ抽出!$K$2:$K$5000) / ((Kintoneデータ抽出!$K$2:$K$5000="院内")), ROW(A258)))&lt;&gt;"",INDEX(Kintoneデータ抽出!G:G, _xlfn.AGGREGATE(15, 6, ROW(Kintoneデータ抽出!$K$2:$K$5000) / ((Kintoneデータ抽出!$K$2:$K$5000="院内")), ROW(A258)))&amp;"名",""), "")</f>
        <v/>
      </c>
      <c r="J295" s="76" t="str">
        <f t="array" ref="J295">IFERROR(IF(INDEX(Kintoneデータ抽出!E:E, _xlfn.AGGREGATE(15, 6, ROW(Kintoneデータ抽出!$K$2:$K$5000) / ((Kintoneデータ抽出!$K$2:$K$5000="院内")), ROW(A258)))&lt;&gt;"",
YEAR(INDEX(Kintoneデータ抽出!E:E, _xlfn.AGGREGATE(15, 6, ROW(Kintoneデータ抽出!$K$2:$K$5000) / ((Kintoneデータ抽出!$K$2:$K$5000="院内")), ROW(A258))))&amp;"年"
&amp;MONTH(INDEX(Kintoneデータ抽出!E:E, _xlfn.AGGREGATE(15, 6, ROW(Kintoneデータ抽出!$K$2:$K$5000) / ((Kintoneデータ抽出!$K$2:$K$5000="院内")), ROW(A258))))&amp;"月"
&amp;DAY(INDEX(Kintoneデータ抽出!E:E, _xlfn.AGGREGATE(15, 6, ROW(Kintoneデータ抽出!$K$2:$K$5000) /((Kintoneデータ抽出!$K$2:$K$5000="院内")), ROW(A258))))&amp;"日",""), "")</f>
        <v/>
      </c>
      <c r="K295" s="77" t="str" cm="1">
        <f t="array" ref="K295">IFERROR(IF(INDEX(Kintoneデータ抽出!F:F, _xlfn.AGGREGATE(15, 6, ROW(Kintoneデータ抽出!$K$2:$K$5000) / ((Kintoneデータ抽出!$K$2:$K$5000="院内")), ROW(A258)))&lt;&gt;"",
VLOOKUP(INDEX(Kintoneデータ抽出!F:F, _xlfn.AGGREGATE(15, 6, ROW(Kintoneデータ抽出!$K$2:$K$5000) / ((Kintoneデータ抽出!$K$2:$K$5000="院内")), ROW(A258))),基本開園日の表記!$A$2:$B$13,2,FALSE),""), "")</f>
        <v/>
      </c>
      <c r="L295" s="75" t="str">
        <f t="array" ref="L295">IFERROR(IF(INDEX(Kintoneデータ抽出!F:F, _xlfn.AGGREGATE(15, 6, ROW(Kintoneデータ抽出!$K$2:$K$5000) / ((Kintoneデータ抽出!$K$2:$K$5000="院内")), ROW(A258)))&lt;&gt;"",
IF(COUNTIF(INDEX(Kintoneデータ抽出!F:F, _xlfn.AGGREGATE(15, 6, ROW(Kintoneデータ抽出!$K$2:$K$5000) / ((Kintoneデータ抽出!$K$2:$K$5000="院内")), ROW(A258))),"*あり*"),"夜間",""),""), "")</f>
        <v/>
      </c>
      <c r="M295" s="75" t="str">
        <f t="array" ref="M295">IFERROR(IF(INDEX(Kintoneデータ抽出!I:I, _xlfn.AGGREGATE(15, 6, ROW(Kintoneデータ抽出!$K$2:$K$5000) / ((Kintoneデータ抽出!$K$2:$K$5000="院内")), ROW(A258)))&lt;&gt;"",
IF(COUNTIF(INDEX(Kintoneデータ抽出!I:I, _xlfn.AGGREGATE(15, 6, ROW(Kintoneデータ抽出!$K$2:$K$5000) / ((Kintoneデータ抽出!$K$2:$K$5000="院内")), ROW(A258))),"*あり*"),"学童",""),""), "")</f>
        <v/>
      </c>
      <c r="N295" s="75" t="str">
        <f t="array" ref="N295">IFERROR(IF(INDEX(Kintoneデータ抽出!H:H, _xlfn.AGGREGATE(15, 6, ROW(Kintoneデータ抽出!$K$2:$K$5000) / ((Kintoneデータ抽出!$K$2:$K$5000="院内")), ROW(A258)))&lt;&gt;"",
IF(COUNTIF(INDEX(Kintoneデータ抽出!H:H, _xlfn.AGGREGATE(15, 6, ROW(Kintoneデータ抽出!$K$2:$K$5000) / ((Kintoneデータ抽出!$K$2:$K$5000="院内")), ROW(A258))),"*あり*"),"病児",""),""), "")</f>
        <v/>
      </c>
      <c r="O295" s="94" t="str" cm="1">
        <f t="array" ref="O295">IFERROR(
IF(INDEX(Kintoneデータ抽出!M:M, _xlfn.AGGREGATE(15, 6, ROW(Kintoneデータ抽出!$K$2:$K$5000) / ((Kintoneデータ抽出!$K$2:$K$5000="院内")), ROW(A258)))&lt;&gt;0,INDEX(Kintoneデータ抽出!M:M, _xlfn.AGGREGATE(15, 6, ROW(Kintoneデータ抽出!$K$2:$K$5000) / ((Kintoneデータ抽出!$K$2:$K$5000="院内")), ROW(A258))),""), "")</f>
        <v/>
      </c>
      <c r="P295" s="78" t="str">
        <f t="array" ref="P295">IFERROR(IF(INDEX(Kintoneデータ抽出!L:L, _xlfn.AGGREGATE(15, 6, ROW(Kintoneデータ抽出!$K$2:$K$5000) / ((Kintoneデータ抽出!$K$2:$K$5000="院内")), ROW(A258)))&lt;&gt;"",
IF(COUNTIF(INDEX(Kintoneデータ抽出!L:L, _xlfn.AGGREGATE(15, 6, ROW(Kintoneデータ抽出!$K$2:$K$5000) / ((Kintoneデータ抽出!$K$2:$K$5000="院内")), ROW(A258))),"*企業主導型以外*"),"",
IF(COUNTIF(INDEX(Kintoneデータ抽出!L:L, _xlfn.AGGREGATE(15, 6, ROW(Kintoneデータ抽出!$K$2:$K$5000) / ((Kintoneデータ抽出!$K$2:$K$5000="院内")), ROW(A258))),"*その他*"),"",
IF(COUNTIF(INDEX(Kintoneデータ抽出!L:L, _xlfn.AGGREGATE(15, 6, ROW(Kintoneデータ抽出!$K$2:$K$5000) / ((Kintoneデータ抽出!$K$2:$K$5000="院内")), ROW(A258))),"*新制度*"),"新制度","企業主導型"))),""), "")</f>
        <v/>
      </c>
    </row>
    <row r="296" spans="2:16" ht="33" customHeight="1" x14ac:dyDescent="0.45">
      <c r="B296" s="45"/>
      <c r="C296" s="46"/>
      <c r="D296" s="98" t="str">
        <f t="shared" si="5"/>
        <v/>
      </c>
      <c r="E296" s="99"/>
      <c r="F296" s="75" t="str">
        <f t="array" ref="F296">IFERROR(INDEX(Kintoneデータ抽出!A:A, _xlfn.AGGREGATE(15, 6, ROW(Kintoneデータ抽出!$K$2:$K$5000) / ((Kintoneデータ抽出!$K$2:$K$5000="院内")), ROW(A259))), "")</f>
        <v/>
      </c>
      <c r="G296" s="77" t="str">
        <f t="array" ref="G296">IFERROR(INDEX(Kintoneデータ抽出!D:D, _xlfn.AGGREGATE(15, 6, ROW(Kintoneデータ抽出!$K$2:$K$5000) / ((Kintoneデータ抽出!$K$2:$K$5000="院内")), ROW(A259))), "")</f>
        <v/>
      </c>
      <c r="H296" s="77" t="str">
        <f t="array" ref="H296">IFERROR(INDEX(Kintoneデータ抽出!C:C, _xlfn.AGGREGATE(15, 6, ROW(Kintoneデータ抽出!$K$2:$K$5000) / ((Kintoneデータ抽出!$K$2:$K$5000="院内")), ROW(A259))), "")</f>
        <v/>
      </c>
      <c r="I296" s="75" t="str">
        <f t="array" ref="I296">IFERROR(IF(INDEX(Kintoneデータ抽出!G:G, _xlfn.AGGREGATE(15, 6, ROW(Kintoneデータ抽出!$K$2:$K$5000) / ((Kintoneデータ抽出!$K$2:$K$5000="院内")), ROW(A259)))&lt;&gt;"",INDEX(Kintoneデータ抽出!G:G, _xlfn.AGGREGATE(15, 6, ROW(Kintoneデータ抽出!$K$2:$K$5000) / ((Kintoneデータ抽出!$K$2:$K$5000="院内")), ROW(A259)))&amp;"名",""), "")</f>
        <v/>
      </c>
      <c r="J296" s="76" t="str">
        <f t="array" ref="J296">IFERROR(IF(INDEX(Kintoneデータ抽出!E:E, _xlfn.AGGREGATE(15, 6, ROW(Kintoneデータ抽出!$K$2:$K$5000) / ((Kintoneデータ抽出!$K$2:$K$5000="院内")), ROW(A259)))&lt;&gt;"",
YEAR(INDEX(Kintoneデータ抽出!E:E, _xlfn.AGGREGATE(15, 6, ROW(Kintoneデータ抽出!$K$2:$K$5000) / ((Kintoneデータ抽出!$K$2:$K$5000="院内")), ROW(A259))))&amp;"年"
&amp;MONTH(INDEX(Kintoneデータ抽出!E:E, _xlfn.AGGREGATE(15, 6, ROW(Kintoneデータ抽出!$K$2:$K$5000) / ((Kintoneデータ抽出!$K$2:$K$5000="院内")), ROW(A259))))&amp;"月"
&amp;DAY(INDEX(Kintoneデータ抽出!E:E, _xlfn.AGGREGATE(15, 6, ROW(Kintoneデータ抽出!$K$2:$K$5000) /((Kintoneデータ抽出!$K$2:$K$5000="院内")), ROW(A259))))&amp;"日",""), "")</f>
        <v/>
      </c>
      <c r="K296" s="77" t="str" cm="1">
        <f t="array" ref="K296">IFERROR(IF(INDEX(Kintoneデータ抽出!F:F, _xlfn.AGGREGATE(15, 6, ROW(Kintoneデータ抽出!$K$2:$K$5000) / ((Kintoneデータ抽出!$K$2:$K$5000="院内")), ROW(A259)))&lt;&gt;"",
VLOOKUP(INDEX(Kintoneデータ抽出!F:F, _xlfn.AGGREGATE(15, 6, ROW(Kintoneデータ抽出!$K$2:$K$5000) / ((Kintoneデータ抽出!$K$2:$K$5000="院内")), ROW(A259))),基本開園日の表記!$A$2:$B$13,2,FALSE),""), "")</f>
        <v/>
      </c>
      <c r="L296" s="75" t="str">
        <f t="array" ref="L296">IFERROR(IF(INDEX(Kintoneデータ抽出!F:F, _xlfn.AGGREGATE(15, 6, ROW(Kintoneデータ抽出!$K$2:$K$5000) / ((Kintoneデータ抽出!$K$2:$K$5000="院内")), ROW(A259)))&lt;&gt;"",
IF(COUNTIF(INDEX(Kintoneデータ抽出!F:F, _xlfn.AGGREGATE(15, 6, ROW(Kintoneデータ抽出!$K$2:$K$5000) / ((Kintoneデータ抽出!$K$2:$K$5000="院内")), ROW(A259))),"*あり*"),"夜間",""),""), "")</f>
        <v/>
      </c>
      <c r="M296" s="75" t="str">
        <f t="array" ref="M296">IFERROR(IF(INDEX(Kintoneデータ抽出!I:I, _xlfn.AGGREGATE(15, 6, ROW(Kintoneデータ抽出!$K$2:$K$5000) / ((Kintoneデータ抽出!$K$2:$K$5000="院内")), ROW(A259)))&lt;&gt;"",
IF(COUNTIF(INDEX(Kintoneデータ抽出!I:I, _xlfn.AGGREGATE(15, 6, ROW(Kintoneデータ抽出!$K$2:$K$5000) / ((Kintoneデータ抽出!$K$2:$K$5000="院内")), ROW(A259))),"*あり*"),"学童",""),""), "")</f>
        <v/>
      </c>
      <c r="N296" s="75" t="str">
        <f t="array" ref="N296">IFERROR(IF(INDEX(Kintoneデータ抽出!H:H, _xlfn.AGGREGATE(15, 6, ROW(Kintoneデータ抽出!$K$2:$K$5000) / ((Kintoneデータ抽出!$K$2:$K$5000="院内")), ROW(A259)))&lt;&gt;"",
IF(COUNTIF(INDEX(Kintoneデータ抽出!H:H, _xlfn.AGGREGATE(15, 6, ROW(Kintoneデータ抽出!$K$2:$K$5000) / ((Kintoneデータ抽出!$K$2:$K$5000="院内")), ROW(A259))),"*あり*"),"病児",""),""), "")</f>
        <v/>
      </c>
      <c r="O296" s="94" t="str" cm="1">
        <f t="array" ref="O296">IFERROR(
IF(INDEX(Kintoneデータ抽出!M:M, _xlfn.AGGREGATE(15, 6, ROW(Kintoneデータ抽出!$K$2:$K$5000) / ((Kintoneデータ抽出!$K$2:$K$5000="院内")), ROW(A259)))&lt;&gt;0,INDEX(Kintoneデータ抽出!M:M, _xlfn.AGGREGATE(15, 6, ROW(Kintoneデータ抽出!$K$2:$K$5000) / ((Kintoneデータ抽出!$K$2:$K$5000="院内")), ROW(A259))),""), "")</f>
        <v/>
      </c>
      <c r="P296" s="78" t="str">
        <f t="array" ref="P296">IFERROR(IF(INDEX(Kintoneデータ抽出!L:L, _xlfn.AGGREGATE(15, 6, ROW(Kintoneデータ抽出!$K$2:$K$5000) / ((Kintoneデータ抽出!$K$2:$K$5000="院内")), ROW(A259)))&lt;&gt;"",
IF(COUNTIF(INDEX(Kintoneデータ抽出!L:L, _xlfn.AGGREGATE(15, 6, ROW(Kintoneデータ抽出!$K$2:$K$5000) / ((Kintoneデータ抽出!$K$2:$K$5000="院内")), ROW(A259))),"*企業主導型以外*"),"",
IF(COUNTIF(INDEX(Kintoneデータ抽出!L:L, _xlfn.AGGREGATE(15, 6, ROW(Kintoneデータ抽出!$K$2:$K$5000) / ((Kintoneデータ抽出!$K$2:$K$5000="院内")), ROW(A259))),"*その他*"),"",
IF(COUNTIF(INDEX(Kintoneデータ抽出!L:L, _xlfn.AGGREGATE(15, 6, ROW(Kintoneデータ抽出!$K$2:$K$5000) / ((Kintoneデータ抽出!$K$2:$K$5000="院内")), ROW(A259))),"*新制度*"),"新制度","企業主導型"))),""), "")</f>
        <v/>
      </c>
    </row>
    <row r="297" spans="2:16" ht="34.5" customHeight="1" x14ac:dyDescent="0.45">
      <c r="B297" s="45"/>
      <c r="C297" s="46"/>
      <c r="D297" s="98" t="str">
        <f t="shared" si="5"/>
        <v/>
      </c>
      <c r="E297" s="99"/>
      <c r="F297" s="75" t="str">
        <f t="array" ref="F297">IFERROR(INDEX(Kintoneデータ抽出!A:A, _xlfn.AGGREGATE(15, 6, ROW(Kintoneデータ抽出!$K$2:$K$5000) / ((Kintoneデータ抽出!$K$2:$K$5000="院内")), ROW(A260))), "")</f>
        <v/>
      </c>
      <c r="G297" s="77" t="str">
        <f t="array" ref="G297">IFERROR(INDEX(Kintoneデータ抽出!D:D, _xlfn.AGGREGATE(15, 6, ROW(Kintoneデータ抽出!$K$2:$K$5000) / ((Kintoneデータ抽出!$K$2:$K$5000="院内")), ROW(A260))), "")</f>
        <v/>
      </c>
      <c r="H297" s="77" t="str">
        <f t="array" ref="H297">IFERROR(INDEX(Kintoneデータ抽出!C:C, _xlfn.AGGREGATE(15, 6, ROW(Kintoneデータ抽出!$K$2:$K$5000) / ((Kintoneデータ抽出!$K$2:$K$5000="院内")), ROW(A260))), "")</f>
        <v/>
      </c>
      <c r="I297" s="75" t="str">
        <f t="array" ref="I297">IFERROR(IF(INDEX(Kintoneデータ抽出!G:G, _xlfn.AGGREGATE(15, 6, ROW(Kintoneデータ抽出!$K$2:$K$5000) / ((Kintoneデータ抽出!$K$2:$K$5000="院内")), ROW(A260)))&lt;&gt;"",INDEX(Kintoneデータ抽出!G:G, _xlfn.AGGREGATE(15, 6, ROW(Kintoneデータ抽出!$K$2:$K$5000) / ((Kintoneデータ抽出!$K$2:$K$5000="院内")), ROW(A260)))&amp;"名",""), "")</f>
        <v/>
      </c>
      <c r="J297" s="76" t="str">
        <f t="array" ref="J297">IFERROR(IF(INDEX(Kintoneデータ抽出!E:E, _xlfn.AGGREGATE(15, 6, ROW(Kintoneデータ抽出!$K$2:$K$5000) / ((Kintoneデータ抽出!$K$2:$K$5000="院内")), ROW(A260)))&lt;&gt;"",
YEAR(INDEX(Kintoneデータ抽出!E:E, _xlfn.AGGREGATE(15, 6, ROW(Kintoneデータ抽出!$K$2:$K$5000) / ((Kintoneデータ抽出!$K$2:$K$5000="院内")), ROW(A260))))&amp;"年"
&amp;MONTH(INDEX(Kintoneデータ抽出!E:E, _xlfn.AGGREGATE(15, 6, ROW(Kintoneデータ抽出!$K$2:$K$5000) / ((Kintoneデータ抽出!$K$2:$K$5000="院内")), ROW(A260))))&amp;"月"
&amp;DAY(INDEX(Kintoneデータ抽出!E:E, _xlfn.AGGREGATE(15, 6, ROW(Kintoneデータ抽出!$K$2:$K$5000) /((Kintoneデータ抽出!$K$2:$K$5000="院内")), ROW(A260))))&amp;"日",""), "")</f>
        <v/>
      </c>
      <c r="K297" s="77" t="str" cm="1">
        <f t="array" ref="K297">IFERROR(IF(INDEX(Kintoneデータ抽出!F:F, _xlfn.AGGREGATE(15, 6, ROW(Kintoneデータ抽出!$K$2:$K$5000) / ((Kintoneデータ抽出!$K$2:$K$5000="院内")), ROW(A260)))&lt;&gt;"",
VLOOKUP(INDEX(Kintoneデータ抽出!F:F, _xlfn.AGGREGATE(15, 6, ROW(Kintoneデータ抽出!$K$2:$K$5000) / ((Kintoneデータ抽出!$K$2:$K$5000="院内")), ROW(A260))),基本開園日の表記!$A$2:$B$13,2,FALSE),""), "")</f>
        <v/>
      </c>
      <c r="L297" s="75" t="str">
        <f t="array" ref="L297">IFERROR(IF(INDEX(Kintoneデータ抽出!F:F, _xlfn.AGGREGATE(15, 6, ROW(Kintoneデータ抽出!$K$2:$K$5000) / ((Kintoneデータ抽出!$K$2:$K$5000="院内")), ROW(A260)))&lt;&gt;"",
IF(COUNTIF(INDEX(Kintoneデータ抽出!F:F, _xlfn.AGGREGATE(15, 6, ROW(Kintoneデータ抽出!$K$2:$K$5000) / ((Kintoneデータ抽出!$K$2:$K$5000="院内")), ROW(A260))),"*あり*"),"夜間",""),""), "")</f>
        <v/>
      </c>
      <c r="M297" s="75" t="str">
        <f t="array" ref="M297">IFERROR(IF(INDEX(Kintoneデータ抽出!I:I, _xlfn.AGGREGATE(15, 6, ROW(Kintoneデータ抽出!$K$2:$K$5000) / ((Kintoneデータ抽出!$K$2:$K$5000="院内")), ROW(A260)))&lt;&gt;"",
IF(COUNTIF(INDEX(Kintoneデータ抽出!I:I, _xlfn.AGGREGATE(15, 6, ROW(Kintoneデータ抽出!$K$2:$K$5000) / ((Kintoneデータ抽出!$K$2:$K$5000="院内")), ROW(A260))),"*あり*"),"学童",""),""), "")</f>
        <v/>
      </c>
      <c r="N297" s="75" t="str">
        <f t="array" ref="N297">IFERROR(IF(INDEX(Kintoneデータ抽出!H:H, _xlfn.AGGREGATE(15, 6, ROW(Kintoneデータ抽出!$K$2:$K$5000) / ((Kintoneデータ抽出!$K$2:$K$5000="院内")), ROW(A260)))&lt;&gt;"",
IF(COUNTIF(INDEX(Kintoneデータ抽出!H:H, _xlfn.AGGREGATE(15, 6, ROW(Kintoneデータ抽出!$K$2:$K$5000) / ((Kintoneデータ抽出!$K$2:$K$5000="院内")), ROW(A260))),"*あり*"),"病児",""),""), "")</f>
        <v/>
      </c>
      <c r="O297" s="94" t="str" cm="1">
        <f t="array" ref="O297">IFERROR(
IF(INDEX(Kintoneデータ抽出!M:M, _xlfn.AGGREGATE(15, 6, ROW(Kintoneデータ抽出!$K$2:$K$5000) / ((Kintoneデータ抽出!$K$2:$K$5000="院内")), ROW(A260)))&lt;&gt;0,INDEX(Kintoneデータ抽出!M:M, _xlfn.AGGREGATE(15, 6, ROW(Kintoneデータ抽出!$K$2:$K$5000) / ((Kintoneデータ抽出!$K$2:$K$5000="院内")), ROW(A260))),""), "")</f>
        <v/>
      </c>
      <c r="P297" s="78" t="str">
        <f t="array" ref="P297">IFERROR(IF(INDEX(Kintoneデータ抽出!L:L, _xlfn.AGGREGATE(15, 6, ROW(Kintoneデータ抽出!$K$2:$K$5000) / ((Kintoneデータ抽出!$K$2:$K$5000="院内")), ROW(A260)))&lt;&gt;"",
IF(COUNTIF(INDEX(Kintoneデータ抽出!L:L, _xlfn.AGGREGATE(15, 6, ROW(Kintoneデータ抽出!$K$2:$K$5000) / ((Kintoneデータ抽出!$K$2:$K$5000="院内")), ROW(A260))),"*企業主導型以外*"),"",
IF(COUNTIF(INDEX(Kintoneデータ抽出!L:L, _xlfn.AGGREGATE(15, 6, ROW(Kintoneデータ抽出!$K$2:$K$5000) / ((Kintoneデータ抽出!$K$2:$K$5000="院内")), ROW(A260))),"*その他*"),"",
IF(COUNTIF(INDEX(Kintoneデータ抽出!L:L, _xlfn.AGGREGATE(15, 6, ROW(Kintoneデータ抽出!$K$2:$K$5000) / ((Kintoneデータ抽出!$K$2:$K$5000="院内")), ROW(A260))),"*新制度*"),"新制度","企業主導型"))),""), "")</f>
        <v/>
      </c>
    </row>
    <row r="298" spans="2:16" ht="34.5" customHeight="1" x14ac:dyDescent="0.45">
      <c r="B298" s="45"/>
      <c r="C298" s="46"/>
      <c r="D298" s="98" t="str">
        <f t="shared" si="5"/>
        <v/>
      </c>
      <c r="E298" s="99"/>
      <c r="F298" s="75" t="str">
        <f t="array" ref="F298">IFERROR(INDEX(Kintoneデータ抽出!A:A, _xlfn.AGGREGATE(15, 6, ROW(Kintoneデータ抽出!$K$2:$K$5000) / ((Kintoneデータ抽出!$K$2:$K$5000="院内")), ROW(A261))), "")</f>
        <v/>
      </c>
      <c r="G298" s="77" t="str">
        <f t="array" ref="G298">IFERROR(INDEX(Kintoneデータ抽出!D:D, _xlfn.AGGREGATE(15, 6, ROW(Kintoneデータ抽出!$K$2:$K$5000) / ((Kintoneデータ抽出!$K$2:$K$5000="院内")), ROW(A261))), "")</f>
        <v/>
      </c>
      <c r="H298" s="77" t="str">
        <f t="array" ref="H298">IFERROR(INDEX(Kintoneデータ抽出!C:C, _xlfn.AGGREGATE(15, 6, ROW(Kintoneデータ抽出!$K$2:$K$5000) / ((Kintoneデータ抽出!$K$2:$K$5000="院内")), ROW(A261))), "")</f>
        <v/>
      </c>
      <c r="I298" s="75" t="str">
        <f t="array" ref="I298">IFERROR(IF(INDEX(Kintoneデータ抽出!G:G, _xlfn.AGGREGATE(15, 6, ROW(Kintoneデータ抽出!$K$2:$K$5000) / ((Kintoneデータ抽出!$K$2:$K$5000="院内")), ROW(A261)))&lt;&gt;"",INDEX(Kintoneデータ抽出!G:G, _xlfn.AGGREGATE(15, 6, ROW(Kintoneデータ抽出!$K$2:$K$5000) / ((Kintoneデータ抽出!$K$2:$K$5000="院内")), ROW(A261)))&amp;"名",""), "")</f>
        <v/>
      </c>
      <c r="J298" s="76" t="str">
        <f t="array" ref="J298">IFERROR(IF(INDEX(Kintoneデータ抽出!E:E, _xlfn.AGGREGATE(15, 6, ROW(Kintoneデータ抽出!$K$2:$K$5000) / ((Kintoneデータ抽出!$K$2:$K$5000="院内")), ROW(A261)))&lt;&gt;"",
YEAR(INDEX(Kintoneデータ抽出!E:E, _xlfn.AGGREGATE(15, 6, ROW(Kintoneデータ抽出!$K$2:$K$5000) / ((Kintoneデータ抽出!$K$2:$K$5000="院内")), ROW(A261))))&amp;"年"
&amp;MONTH(INDEX(Kintoneデータ抽出!E:E, _xlfn.AGGREGATE(15, 6, ROW(Kintoneデータ抽出!$K$2:$K$5000) / ((Kintoneデータ抽出!$K$2:$K$5000="院内")), ROW(A261))))&amp;"月"
&amp;DAY(INDEX(Kintoneデータ抽出!E:E, _xlfn.AGGREGATE(15, 6, ROW(Kintoneデータ抽出!$K$2:$K$5000) /((Kintoneデータ抽出!$K$2:$K$5000="院内")), ROW(A261))))&amp;"日",""), "")</f>
        <v/>
      </c>
      <c r="K298" s="77" t="str" cm="1">
        <f t="array" ref="K298">IFERROR(IF(INDEX(Kintoneデータ抽出!F:F, _xlfn.AGGREGATE(15, 6, ROW(Kintoneデータ抽出!$K$2:$K$5000) / ((Kintoneデータ抽出!$K$2:$K$5000="院内")), ROW(A261)))&lt;&gt;"",
VLOOKUP(INDEX(Kintoneデータ抽出!F:F, _xlfn.AGGREGATE(15, 6, ROW(Kintoneデータ抽出!$K$2:$K$5000) / ((Kintoneデータ抽出!$K$2:$K$5000="院内")), ROW(A261))),基本開園日の表記!$A$2:$B$13,2,FALSE),""), "")</f>
        <v/>
      </c>
      <c r="L298" s="75" t="str">
        <f t="array" ref="L298">IFERROR(IF(INDEX(Kintoneデータ抽出!F:F, _xlfn.AGGREGATE(15, 6, ROW(Kintoneデータ抽出!$K$2:$K$5000) / ((Kintoneデータ抽出!$K$2:$K$5000="院内")), ROW(A261)))&lt;&gt;"",
IF(COUNTIF(INDEX(Kintoneデータ抽出!F:F, _xlfn.AGGREGATE(15, 6, ROW(Kintoneデータ抽出!$K$2:$K$5000) / ((Kintoneデータ抽出!$K$2:$K$5000="院内")), ROW(A261))),"*あり*"),"夜間",""),""), "")</f>
        <v/>
      </c>
      <c r="M298" s="75" t="str">
        <f t="array" ref="M298">IFERROR(IF(INDEX(Kintoneデータ抽出!I:I, _xlfn.AGGREGATE(15, 6, ROW(Kintoneデータ抽出!$K$2:$K$5000) / ((Kintoneデータ抽出!$K$2:$K$5000="院内")), ROW(A261)))&lt;&gt;"",
IF(COUNTIF(INDEX(Kintoneデータ抽出!I:I, _xlfn.AGGREGATE(15, 6, ROW(Kintoneデータ抽出!$K$2:$K$5000) / ((Kintoneデータ抽出!$K$2:$K$5000="院内")), ROW(A261))),"*あり*"),"学童",""),""), "")</f>
        <v/>
      </c>
      <c r="N298" s="75" t="str">
        <f t="array" ref="N298">IFERROR(IF(INDEX(Kintoneデータ抽出!H:H, _xlfn.AGGREGATE(15, 6, ROW(Kintoneデータ抽出!$K$2:$K$5000) / ((Kintoneデータ抽出!$K$2:$K$5000="院内")), ROW(A261)))&lt;&gt;"",
IF(COUNTIF(INDEX(Kintoneデータ抽出!H:H, _xlfn.AGGREGATE(15, 6, ROW(Kintoneデータ抽出!$K$2:$K$5000) / ((Kintoneデータ抽出!$K$2:$K$5000="院内")), ROW(A261))),"*あり*"),"病児",""),""), "")</f>
        <v/>
      </c>
      <c r="O298" s="94" t="str" cm="1">
        <f t="array" ref="O298">IFERROR(
IF(INDEX(Kintoneデータ抽出!M:M, _xlfn.AGGREGATE(15, 6, ROW(Kintoneデータ抽出!$K$2:$K$5000) / ((Kintoneデータ抽出!$K$2:$K$5000="院内")), ROW(A261)))&lt;&gt;0,INDEX(Kintoneデータ抽出!M:M, _xlfn.AGGREGATE(15, 6, ROW(Kintoneデータ抽出!$K$2:$K$5000) / ((Kintoneデータ抽出!$K$2:$K$5000="院内")), ROW(A261))),""), "")</f>
        <v/>
      </c>
      <c r="P298" s="78" t="str">
        <f t="array" ref="P298">IFERROR(IF(INDEX(Kintoneデータ抽出!L:L, _xlfn.AGGREGATE(15, 6, ROW(Kintoneデータ抽出!$K$2:$K$5000) / ((Kintoneデータ抽出!$K$2:$K$5000="院内")), ROW(A261)))&lt;&gt;"",
IF(COUNTIF(INDEX(Kintoneデータ抽出!L:L, _xlfn.AGGREGATE(15, 6, ROW(Kintoneデータ抽出!$K$2:$K$5000) / ((Kintoneデータ抽出!$K$2:$K$5000="院内")), ROW(A261))),"*企業主導型以外*"),"",
IF(COUNTIF(INDEX(Kintoneデータ抽出!L:L, _xlfn.AGGREGATE(15, 6, ROW(Kintoneデータ抽出!$K$2:$K$5000) / ((Kintoneデータ抽出!$K$2:$K$5000="院内")), ROW(A261))),"*その他*"),"",
IF(COUNTIF(INDEX(Kintoneデータ抽出!L:L, _xlfn.AGGREGATE(15, 6, ROW(Kintoneデータ抽出!$K$2:$K$5000) / ((Kintoneデータ抽出!$K$2:$K$5000="院内")), ROW(A261))),"*新制度*"),"新制度","企業主導型"))),""), "")</f>
        <v/>
      </c>
    </row>
    <row r="299" spans="2:16" ht="34.5" customHeight="1" x14ac:dyDescent="0.45">
      <c r="B299" s="35"/>
      <c r="C299" s="36"/>
      <c r="D299" s="98" t="str">
        <f t="shared" si="5"/>
        <v/>
      </c>
      <c r="E299" s="99"/>
      <c r="F299" s="75" t="str">
        <f t="array" ref="F299">IFERROR(INDEX(Kintoneデータ抽出!A:A, _xlfn.AGGREGATE(15, 6, ROW(Kintoneデータ抽出!$K$2:$K$5000) / ((Kintoneデータ抽出!$K$2:$K$5000="院内")), ROW(A262))), "")</f>
        <v/>
      </c>
      <c r="G299" s="77" t="str">
        <f t="array" ref="G299">IFERROR(INDEX(Kintoneデータ抽出!D:D, _xlfn.AGGREGATE(15, 6, ROW(Kintoneデータ抽出!$K$2:$K$5000) / ((Kintoneデータ抽出!$K$2:$K$5000="院内")), ROW(A262))), "")</f>
        <v/>
      </c>
      <c r="H299" s="77" t="str">
        <f t="array" ref="H299">IFERROR(INDEX(Kintoneデータ抽出!C:C, _xlfn.AGGREGATE(15, 6, ROW(Kintoneデータ抽出!$K$2:$K$5000) / ((Kintoneデータ抽出!$K$2:$K$5000="院内")), ROW(A262))), "")</f>
        <v/>
      </c>
      <c r="I299" s="75" t="str">
        <f t="array" ref="I299">IFERROR(IF(INDEX(Kintoneデータ抽出!G:G, _xlfn.AGGREGATE(15, 6, ROW(Kintoneデータ抽出!$K$2:$K$5000) / ((Kintoneデータ抽出!$K$2:$K$5000="院内")), ROW(A262)))&lt;&gt;"",INDEX(Kintoneデータ抽出!G:G, _xlfn.AGGREGATE(15, 6, ROW(Kintoneデータ抽出!$K$2:$K$5000) / ((Kintoneデータ抽出!$K$2:$K$5000="院内")), ROW(A262)))&amp;"名",""), "")</f>
        <v/>
      </c>
      <c r="J299" s="76" t="str">
        <f t="array" ref="J299">IFERROR(IF(INDEX(Kintoneデータ抽出!E:E, _xlfn.AGGREGATE(15, 6, ROW(Kintoneデータ抽出!$K$2:$K$5000) / ((Kintoneデータ抽出!$K$2:$K$5000="院内")), ROW(A262)))&lt;&gt;"",
YEAR(INDEX(Kintoneデータ抽出!E:E, _xlfn.AGGREGATE(15, 6, ROW(Kintoneデータ抽出!$K$2:$K$5000) / ((Kintoneデータ抽出!$K$2:$K$5000="院内")), ROW(A262))))&amp;"年"
&amp;MONTH(INDEX(Kintoneデータ抽出!E:E, _xlfn.AGGREGATE(15, 6, ROW(Kintoneデータ抽出!$K$2:$K$5000) / ((Kintoneデータ抽出!$K$2:$K$5000="院内")), ROW(A262))))&amp;"月"
&amp;DAY(INDEX(Kintoneデータ抽出!E:E, _xlfn.AGGREGATE(15, 6, ROW(Kintoneデータ抽出!$K$2:$K$5000) /((Kintoneデータ抽出!$K$2:$K$5000="院内")), ROW(A262))))&amp;"日",""), "")</f>
        <v/>
      </c>
      <c r="K299" s="77" t="str" cm="1">
        <f t="array" ref="K299">IFERROR(IF(INDEX(Kintoneデータ抽出!F:F, _xlfn.AGGREGATE(15, 6, ROW(Kintoneデータ抽出!$K$2:$K$5000) / ((Kintoneデータ抽出!$K$2:$K$5000="院内")), ROW(A262)))&lt;&gt;"",
VLOOKUP(INDEX(Kintoneデータ抽出!F:F, _xlfn.AGGREGATE(15, 6, ROW(Kintoneデータ抽出!$K$2:$K$5000) / ((Kintoneデータ抽出!$K$2:$K$5000="院内")), ROW(A262))),基本開園日の表記!$A$2:$B$13,2,FALSE),""), "")</f>
        <v/>
      </c>
      <c r="L299" s="75" t="str">
        <f t="array" ref="L299">IFERROR(IF(INDEX(Kintoneデータ抽出!F:F, _xlfn.AGGREGATE(15, 6, ROW(Kintoneデータ抽出!$K$2:$K$5000) / ((Kintoneデータ抽出!$K$2:$K$5000="院内")), ROW(A262)))&lt;&gt;"",
IF(COUNTIF(INDEX(Kintoneデータ抽出!F:F, _xlfn.AGGREGATE(15, 6, ROW(Kintoneデータ抽出!$K$2:$K$5000) / ((Kintoneデータ抽出!$K$2:$K$5000="院内")), ROW(A262))),"*あり*"),"夜間",""),""), "")</f>
        <v/>
      </c>
      <c r="M299" s="75" t="str">
        <f t="array" ref="M299">IFERROR(IF(INDEX(Kintoneデータ抽出!I:I, _xlfn.AGGREGATE(15, 6, ROW(Kintoneデータ抽出!$K$2:$K$5000) / ((Kintoneデータ抽出!$K$2:$K$5000="院内")), ROW(A262)))&lt;&gt;"",
IF(COUNTIF(INDEX(Kintoneデータ抽出!I:I, _xlfn.AGGREGATE(15, 6, ROW(Kintoneデータ抽出!$K$2:$K$5000) / ((Kintoneデータ抽出!$K$2:$K$5000="院内")), ROW(A262))),"*あり*"),"学童",""),""), "")</f>
        <v/>
      </c>
      <c r="N299" s="75" t="str">
        <f t="array" ref="N299">IFERROR(IF(INDEX(Kintoneデータ抽出!H:H, _xlfn.AGGREGATE(15, 6, ROW(Kintoneデータ抽出!$K$2:$K$5000) / ((Kintoneデータ抽出!$K$2:$K$5000="院内")), ROW(A262)))&lt;&gt;"",
IF(COUNTIF(INDEX(Kintoneデータ抽出!H:H, _xlfn.AGGREGATE(15, 6, ROW(Kintoneデータ抽出!$K$2:$K$5000) / ((Kintoneデータ抽出!$K$2:$K$5000="院内")), ROW(A262))),"*あり*"),"病児",""),""), "")</f>
        <v/>
      </c>
      <c r="O299" s="94" t="str" cm="1">
        <f t="array" ref="O299">IFERROR(
IF(INDEX(Kintoneデータ抽出!M:M, _xlfn.AGGREGATE(15, 6, ROW(Kintoneデータ抽出!$K$2:$K$5000) / ((Kintoneデータ抽出!$K$2:$K$5000="院内")), ROW(A262)))&lt;&gt;0,INDEX(Kintoneデータ抽出!M:M, _xlfn.AGGREGATE(15, 6, ROW(Kintoneデータ抽出!$K$2:$K$5000) / ((Kintoneデータ抽出!$K$2:$K$5000="院内")), ROW(A262))),""), "")</f>
        <v/>
      </c>
      <c r="P299" s="78" t="str">
        <f t="array" ref="P299">IFERROR(IF(INDEX(Kintoneデータ抽出!L:L, _xlfn.AGGREGATE(15, 6, ROW(Kintoneデータ抽出!$K$2:$K$5000) / ((Kintoneデータ抽出!$K$2:$K$5000="院内")), ROW(A262)))&lt;&gt;"",
IF(COUNTIF(INDEX(Kintoneデータ抽出!L:L, _xlfn.AGGREGATE(15, 6, ROW(Kintoneデータ抽出!$K$2:$K$5000) / ((Kintoneデータ抽出!$K$2:$K$5000="院内")), ROW(A262))),"*企業主導型以外*"),"",
IF(COUNTIF(INDEX(Kintoneデータ抽出!L:L, _xlfn.AGGREGATE(15, 6, ROW(Kintoneデータ抽出!$K$2:$K$5000) / ((Kintoneデータ抽出!$K$2:$K$5000="院内")), ROW(A262))),"*その他*"),"",
IF(COUNTIF(INDEX(Kintoneデータ抽出!L:L, _xlfn.AGGREGATE(15, 6, ROW(Kintoneデータ抽出!$K$2:$K$5000) / ((Kintoneデータ抽出!$K$2:$K$5000="院内")), ROW(A262))),"*新制度*"),"新制度","企業主導型"))),""), "")</f>
        <v/>
      </c>
    </row>
    <row r="300" spans="2:16" ht="34.5" customHeight="1" x14ac:dyDescent="0.45">
      <c r="B300" s="35"/>
      <c r="C300" s="36"/>
      <c r="D300" s="98" t="str">
        <f t="shared" si="5"/>
        <v/>
      </c>
      <c r="E300" s="99"/>
      <c r="F300" s="75" t="str">
        <f t="array" ref="F300">IFERROR(INDEX(Kintoneデータ抽出!A:A, _xlfn.AGGREGATE(15, 6, ROW(Kintoneデータ抽出!$K$2:$K$5000) / ((Kintoneデータ抽出!$K$2:$K$5000="院内")), ROW(A263))), "")</f>
        <v/>
      </c>
      <c r="G300" s="77" t="str">
        <f t="array" ref="G300">IFERROR(INDEX(Kintoneデータ抽出!D:D, _xlfn.AGGREGATE(15, 6, ROW(Kintoneデータ抽出!$K$2:$K$5000) / ((Kintoneデータ抽出!$K$2:$K$5000="院内")), ROW(A263))), "")</f>
        <v/>
      </c>
      <c r="H300" s="77" t="str">
        <f t="array" ref="H300">IFERROR(INDEX(Kintoneデータ抽出!C:C, _xlfn.AGGREGATE(15, 6, ROW(Kintoneデータ抽出!$K$2:$K$5000) / ((Kintoneデータ抽出!$K$2:$K$5000="院内")), ROW(A263))), "")</f>
        <v/>
      </c>
      <c r="I300" s="75" t="str">
        <f t="array" ref="I300">IFERROR(IF(INDEX(Kintoneデータ抽出!G:G, _xlfn.AGGREGATE(15, 6, ROW(Kintoneデータ抽出!$K$2:$K$5000) / ((Kintoneデータ抽出!$K$2:$K$5000="院内")), ROW(A263)))&lt;&gt;"",INDEX(Kintoneデータ抽出!G:G, _xlfn.AGGREGATE(15, 6, ROW(Kintoneデータ抽出!$K$2:$K$5000) / ((Kintoneデータ抽出!$K$2:$K$5000="院内")), ROW(A263)))&amp;"名",""), "")</f>
        <v/>
      </c>
      <c r="J300" s="76" t="str">
        <f t="array" ref="J300">IFERROR(IF(INDEX(Kintoneデータ抽出!E:E, _xlfn.AGGREGATE(15, 6, ROW(Kintoneデータ抽出!$K$2:$K$5000) / ((Kintoneデータ抽出!$K$2:$K$5000="院内")), ROW(A263)))&lt;&gt;"",
YEAR(INDEX(Kintoneデータ抽出!E:E, _xlfn.AGGREGATE(15, 6, ROW(Kintoneデータ抽出!$K$2:$K$5000) / ((Kintoneデータ抽出!$K$2:$K$5000="院内")), ROW(A263))))&amp;"年"
&amp;MONTH(INDEX(Kintoneデータ抽出!E:E, _xlfn.AGGREGATE(15, 6, ROW(Kintoneデータ抽出!$K$2:$K$5000) / ((Kintoneデータ抽出!$K$2:$K$5000="院内")), ROW(A263))))&amp;"月"
&amp;DAY(INDEX(Kintoneデータ抽出!E:E, _xlfn.AGGREGATE(15, 6, ROW(Kintoneデータ抽出!$K$2:$K$5000) /((Kintoneデータ抽出!$K$2:$K$5000="院内")), ROW(A263))))&amp;"日",""), "")</f>
        <v/>
      </c>
      <c r="K300" s="77" t="str" cm="1">
        <f t="array" ref="K300">IFERROR(IF(INDEX(Kintoneデータ抽出!F:F, _xlfn.AGGREGATE(15, 6, ROW(Kintoneデータ抽出!$K$2:$K$5000) / ((Kintoneデータ抽出!$K$2:$K$5000="院内")), ROW(A263)))&lt;&gt;"",
VLOOKUP(INDEX(Kintoneデータ抽出!F:F, _xlfn.AGGREGATE(15, 6, ROW(Kintoneデータ抽出!$K$2:$K$5000) / ((Kintoneデータ抽出!$K$2:$K$5000="院内")), ROW(A263))),基本開園日の表記!$A$2:$B$13,2,FALSE),""), "")</f>
        <v/>
      </c>
      <c r="L300" s="75" t="str">
        <f t="array" ref="L300">IFERROR(IF(INDEX(Kintoneデータ抽出!F:F, _xlfn.AGGREGATE(15, 6, ROW(Kintoneデータ抽出!$K$2:$K$5000) / ((Kintoneデータ抽出!$K$2:$K$5000="院内")), ROW(A263)))&lt;&gt;"",
IF(COUNTIF(INDEX(Kintoneデータ抽出!F:F, _xlfn.AGGREGATE(15, 6, ROW(Kintoneデータ抽出!$K$2:$K$5000) / ((Kintoneデータ抽出!$K$2:$K$5000="院内")), ROW(A263))),"*あり*"),"夜間",""),""), "")</f>
        <v/>
      </c>
      <c r="M300" s="75" t="str">
        <f t="array" ref="M300">IFERROR(IF(INDEX(Kintoneデータ抽出!I:I, _xlfn.AGGREGATE(15, 6, ROW(Kintoneデータ抽出!$K$2:$K$5000) / ((Kintoneデータ抽出!$K$2:$K$5000="院内")), ROW(A263)))&lt;&gt;"",
IF(COUNTIF(INDEX(Kintoneデータ抽出!I:I, _xlfn.AGGREGATE(15, 6, ROW(Kintoneデータ抽出!$K$2:$K$5000) / ((Kintoneデータ抽出!$K$2:$K$5000="院内")), ROW(A263))),"*あり*"),"学童",""),""), "")</f>
        <v/>
      </c>
      <c r="N300" s="75" t="str">
        <f t="array" ref="N300">IFERROR(IF(INDEX(Kintoneデータ抽出!H:H, _xlfn.AGGREGATE(15, 6, ROW(Kintoneデータ抽出!$K$2:$K$5000) / ((Kintoneデータ抽出!$K$2:$K$5000="院内")), ROW(A263)))&lt;&gt;"",
IF(COUNTIF(INDEX(Kintoneデータ抽出!H:H, _xlfn.AGGREGATE(15, 6, ROW(Kintoneデータ抽出!$K$2:$K$5000) / ((Kintoneデータ抽出!$K$2:$K$5000="院内")), ROW(A263))),"*あり*"),"病児",""),""), "")</f>
        <v/>
      </c>
      <c r="O300" s="94" t="str" cm="1">
        <f t="array" ref="O300">IFERROR(
IF(INDEX(Kintoneデータ抽出!M:M, _xlfn.AGGREGATE(15, 6, ROW(Kintoneデータ抽出!$K$2:$K$5000) / ((Kintoneデータ抽出!$K$2:$K$5000="院内")), ROW(A263)))&lt;&gt;0,INDEX(Kintoneデータ抽出!M:M, _xlfn.AGGREGATE(15, 6, ROW(Kintoneデータ抽出!$K$2:$K$5000) / ((Kintoneデータ抽出!$K$2:$K$5000="院内")), ROW(A263))),""), "")</f>
        <v/>
      </c>
      <c r="P300" s="78" t="str">
        <f t="array" ref="P300">IFERROR(IF(INDEX(Kintoneデータ抽出!L:L, _xlfn.AGGREGATE(15, 6, ROW(Kintoneデータ抽出!$K$2:$K$5000) / ((Kintoneデータ抽出!$K$2:$K$5000="院内")), ROW(A263)))&lt;&gt;"",
IF(COUNTIF(INDEX(Kintoneデータ抽出!L:L, _xlfn.AGGREGATE(15, 6, ROW(Kintoneデータ抽出!$K$2:$K$5000) / ((Kintoneデータ抽出!$K$2:$K$5000="院内")), ROW(A263))),"*企業主導型以外*"),"",
IF(COUNTIF(INDEX(Kintoneデータ抽出!L:L, _xlfn.AGGREGATE(15, 6, ROW(Kintoneデータ抽出!$K$2:$K$5000) / ((Kintoneデータ抽出!$K$2:$K$5000="院内")), ROW(A263))),"*その他*"),"",
IF(COUNTIF(INDEX(Kintoneデータ抽出!L:L, _xlfn.AGGREGATE(15, 6, ROW(Kintoneデータ抽出!$K$2:$K$5000) / ((Kintoneデータ抽出!$K$2:$K$5000="院内")), ROW(A263))),"*新制度*"),"新制度","企業主導型"))),""), "")</f>
        <v/>
      </c>
    </row>
    <row r="301" spans="2:16" ht="34.5" customHeight="1" x14ac:dyDescent="0.45">
      <c r="B301" s="35"/>
      <c r="C301" s="36"/>
      <c r="D301" s="98" t="str">
        <f t="shared" si="5"/>
        <v/>
      </c>
      <c r="E301" s="99"/>
      <c r="F301" s="75" t="str">
        <f t="array" ref="F301">IFERROR(INDEX(Kintoneデータ抽出!A:A, _xlfn.AGGREGATE(15, 6, ROW(Kintoneデータ抽出!$K$2:$K$5000) / ((Kintoneデータ抽出!$K$2:$K$5000="院内")), ROW(A264))), "")</f>
        <v/>
      </c>
      <c r="G301" s="77" t="str">
        <f t="array" ref="G301">IFERROR(INDEX(Kintoneデータ抽出!D:D, _xlfn.AGGREGATE(15, 6, ROW(Kintoneデータ抽出!$K$2:$K$5000) / ((Kintoneデータ抽出!$K$2:$K$5000="院内")), ROW(A264))), "")</f>
        <v/>
      </c>
      <c r="H301" s="77" t="str">
        <f t="array" ref="H301">IFERROR(INDEX(Kintoneデータ抽出!C:C, _xlfn.AGGREGATE(15, 6, ROW(Kintoneデータ抽出!$K$2:$K$5000) / ((Kintoneデータ抽出!$K$2:$K$5000="院内")), ROW(A264))), "")</f>
        <v/>
      </c>
      <c r="I301" s="75" t="str">
        <f t="array" ref="I301">IFERROR(IF(INDEX(Kintoneデータ抽出!G:G, _xlfn.AGGREGATE(15, 6, ROW(Kintoneデータ抽出!$K$2:$K$5000) / ((Kintoneデータ抽出!$K$2:$K$5000="院内")), ROW(A264)))&lt;&gt;"",INDEX(Kintoneデータ抽出!G:G, _xlfn.AGGREGATE(15, 6, ROW(Kintoneデータ抽出!$K$2:$K$5000) / ((Kintoneデータ抽出!$K$2:$K$5000="院内")), ROW(A264)))&amp;"名",""), "")</f>
        <v/>
      </c>
      <c r="J301" s="76" t="str">
        <f t="array" ref="J301">IFERROR(IF(INDEX(Kintoneデータ抽出!E:E, _xlfn.AGGREGATE(15, 6, ROW(Kintoneデータ抽出!$K$2:$K$5000) / ((Kintoneデータ抽出!$K$2:$K$5000="院内")), ROW(A264)))&lt;&gt;"",
YEAR(INDEX(Kintoneデータ抽出!E:E, _xlfn.AGGREGATE(15, 6, ROW(Kintoneデータ抽出!$K$2:$K$5000) / ((Kintoneデータ抽出!$K$2:$K$5000="院内")), ROW(A264))))&amp;"年"
&amp;MONTH(INDEX(Kintoneデータ抽出!E:E, _xlfn.AGGREGATE(15, 6, ROW(Kintoneデータ抽出!$K$2:$K$5000) / ((Kintoneデータ抽出!$K$2:$K$5000="院内")), ROW(A264))))&amp;"月"
&amp;DAY(INDEX(Kintoneデータ抽出!E:E, _xlfn.AGGREGATE(15, 6, ROW(Kintoneデータ抽出!$K$2:$K$5000) /((Kintoneデータ抽出!$K$2:$K$5000="院内")), ROW(A264))))&amp;"日",""), "")</f>
        <v/>
      </c>
      <c r="K301" s="77" t="str" cm="1">
        <f t="array" ref="K301">IFERROR(IF(INDEX(Kintoneデータ抽出!F:F, _xlfn.AGGREGATE(15, 6, ROW(Kintoneデータ抽出!$K$2:$K$5000) / ((Kintoneデータ抽出!$K$2:$K$5000="院内")), ROW(A264)))&lt;&gt;"",
VLOOKUP(INDEX(Kintoneデータ抽出!F:F, _xlfn.AGGREGATE(15, 6, ROW(Kintoneデータ抽出!$K$2:$K$5000) / ((Kintoneデータ抽出!$K$2:$K$5000="院内")), ROW(A264))),基本開園日の表記!$A$2:$B$13,2,FALSE),""), "")</f>
        <v/>
      </c>
      <c r="L301" s="75" t="str">
        <f t="array" ref="L301">IFERROR(IF(INDEX(Kintoneデータ抽出!F:F, _xlfn.AGGREGATE(15, 6, ROW(Kintoneデータ抽出!$K$2:$K$5000) / ((Kintoneデータ抽出!$K$2:$K$5000="院内")), ROW(A264)))&lt;&gt;"",
IF(COUNTIF(INDEX(Kintoneデータ抽出!F:F, _xlfn.AGGREGATE(15, 6, ROW(Kintoneデータ抽出!$K$2:$K$5000) / ((Kintoneデータ抽出!$K$2:$K$5000="院内")), ROW(A264))),"*あり*"),"夜間",""),""), "")</f>
        <v/>
      </c>
      <c r="M301" s="75" t="str">
        <f t="array" ref="M301">IFERROR(IF(INDEX(Kintoneデータ抽出!I:I, _xlfn.AGGREGATE(15, 6, ROW(Kintoneデータ抽出!$K$2:$K$5000) / ((Kintoneデータ抽出!$K$2:$K$5000="院内")), ROW(A264)))&lt;&gt;"",
IF(COUNTIF(INDEX(Kintoneデータ抽出!I:I, _xlfn.AGGREGATE(15, 6, ROW(Kintoneデータ抽出!$K$2:$K$5000) / ((Kintoneデータ抽出!$K$2:$K$5000="院内")), ROW(A264))),"*あり*"),"学童",""),""), "")</f>
        <v/>
      </c>
      <c r="N301" s="75" t="str">
        <f t="array" ref="N301">IFERROR(IF(INDEX(Kintoneデータ抽出!H:H, _xlfn.AGGREGATE(15, 6, ROW(Kintoneデータ抽出!$K$2:$K$5000) / ((Kintoneデータ抽出!$K$2:$K$5000="院内")), ROW(A264)))&lt;&gt;"",
IF(COUNTIF(INDEX(Kintoneデータ抽出!H:H, _xlfn.AGGREGATE(15, 6, ROW(Kintoneデータ抽出!$K$2:$K$5000) / ((Kintoneデータ抽出!$K$2:$K$5000="院内")), ROW(A264))),"*あり*"),"病児",""),""), "")</f>
        <v/>
      </c>
      <c r="O301" s="94" t="str" cm="1">
        <f t="array" ref="O301">IFERROR(
IF(INDEX(Kintoneデータ抽出!M:M, _xlfn.AGGREGATE(15, 6, ROW(Kintoneデータ抽出!$K$2:$K$5000) / ((Kintoneデータ抽出!$K$2:$K$5000="院内")), ROW(A264)))&lt;&gt;0,INDEX(Kintoneデータ抽出!M:M, _xlfn.AGGREGATE(15, 6, ROW(Kintoneデータ抽出!$K$2:$K$5000) / ((Kintoneデータ抽出!$K$2:$K$5000="院内")), ROW(A264))),""), "")</f>
        <v/>
      </c>
      <c r="P301" s="78" t="str">
        <f t="array" ref="P301">IFERROR(IF(INDEX(Kintoneデータ抽出!L:L, _xlfn.AGGREGATE(15, 6, ROW(Kintoneデータ抽出!$K$2:$K$5000) / ((Kintoneデータ抽出!$K$2:$K$5000="院内")), ROW(A264)))&lt;&gt;"",
IF(COUNTIF(INDEX(Kintoneデータ抽出!L:L, _xlfn.AGGREGATE(15, 6, ROW(Kintoneデータ抽出!$K$2:$K$5000) / ((Kintoneデータ抽出!$K$2:$K$5000="院内")), ROW(A264))),"*企業主導型以外*"),"",
IF(COUNTIF(INDEX(Kintoneデータ抽出!L:L, _xlfn.AGGREGATE(15, 6, ROW(Kintoneデータ抽出!$K$2:$K$5000) / ((Kintoneデータ抽出!$K$2:$K$5000="院内")), ROW(A264))),"*その他*"),"",
IF(COUNTIF(INDEX(Kintoneデータ抽出!L:L, _xlfn.AGGREGATE(15, 6, ROW(Kintoneデータ抽出!$K$2:$K$5000) / ((Kintoneデータ抽出!$K$2:$K$5000="院内")), ROW(A264))),"*新制度*"),"新制度","企業主導型"))),""), "")</f>
        <v/>
      </c>
    </row>
    <row r="302" spans="2:16" ht="34.5" customHeight="1" x14ac:dyDescent="0.45">
      <c r="B302" s="60" t="s">
        <v>45</v>
      </c>
      <c r="C302" s="46"/>
      <c r="D302" s="98" t="str">
        <f t="shared" si="5"/>
        <v/>
      </c>
      <c r="E302" s="99"/>
      <c r="F302" s="75" t="str">
        <f t="array" ref="F302">IFERROR(INDEX(Kintoneデータ抽出!A:A, _xlfn.AGGREGATE(15, 6, ROW(Kintoneデータ抽出!$K$2:$K$5000) / ((Kintoneデータ抽出!$K$2:$K$5000="院内")), ROW(A265))), "")</f>
        <v/>
      </c>
      <c r="G302" s="77" t="str">
        <f t="array" ref="G302">IFERROR(INDEX(Kintoneデータ抽出!D:D, _xlfn.AGGREGATE(15, 6, ROW(Kintoneデータ抽出!$K$2:$K$5000) / ((Kintoneデータ抽出!$K$2:$K$5000="院内")), ROW(A265))), "")</f>
        <v/>
      </c>
      <c r="H302" s="77" t="str">
        <f t="array" ref="H302">IFERROR(INDEX(Kintoneデータ抽出!C:C, _xlfn.AGGREGATE(15, 6, ROW(Kintoneデータ抽出!$K$2:$K$5000) / ((Kintoneデータ抽出!$K$2:$K$5000="院内")), ROW(A265))), "")</f>
        <v/>
      </c>
      <c r="I302" s="75" t="str">
        <f t="array" ref="I302">IFERROR(IF(INDEX(Kintoneデータ抽出!G:G, _xlfn.AGGREGATE(15, 6, ROW(Kintoneデータ抽出!$K$2:$K$5000) / ((Kintoneデータ抽出!$K$2:$K$5000="院内")), ROW(A265)))&lt;&gt;"",INDEX(Kintoneデータ抽出!G:G, _xlfn.AGGREGATE(15, 6, ROW(Kintoneデータ抽出!$K$2:$K$5000) / ((Kintoneデータ抽出!$K$2:$K$5000="院内")), ROW(A265)))&amp;"名",""), "")</f>
        <v/>
      </c>
      <c r="J302" s="76" t="str">
        <f t="array" ref="J302">IFERROR(IF(INDEX(Kintoneデータ抽出!E:E, _xlfn.AGGREGATE(15, 6, ROW(Kintoneデータ抽出!$K$2:$K$5000) / ((Kintoneデータ抽出!$K$2:$K$5000="院内")), ROW(A265)))&lt;&gt;"",
YEAR(INDEX(Kintoneデータ抽出!E:E, _xlfn.AGGREGATE(15, 6, ROW(Kintoneデータ抽出!$K$2:$K$5000) / ((Kintoneデータ抽出!$K$2:$K$5000="院内")), ROW(A265))))&amp;"年"
&amp;MONTH(INDEX(Kintoneデータ抽出!E:E, _xlfn.AGGREGATE(15, 6, ROW(Kintoneデータ抽出!$K$2:$K$5000) / ((Kintoneデータ抽出!$K$2:$K$5000="院内")), ROW(A265))))&amp;"月"
&amp;DAY(INDEX(Kintoneデータ抽出!E:E, _xlfn.AGGREGATE(15, 6, ROW(Kintoneデータ抽出!$K$2:$K$5000) /((Kintoneデータ抽出!$K$2:$K$5000="院内")), ROW(A265))))&amp;"日",""), "")</f>
        <v/>
      </c>
      <c r="K302" s="77" t="str" cm="1">
        <f t="array" ref="K302">IFERROR(IF(INDEX(Kintoneデータ抽出!F:F, _xlfn.AGGREGATE(15, 6, ROW(Kintoneデータ抽出!$K$2:$K$5000) / ((Kintoneデータ抽出!$K$2:$K$5000="院内")), ROW(A265)))&lt;&gt;"",
VLOOKUP(INDEX(Kintoneデータ抽出!F:F, _xlfn.AGGREGATE(15, 6, ROW(Kintoneデータ抽出!$K$2:$K$5000) / ((Kintoneデータ抽出!$K$2:$K$5000="院内")), ROW(A265))),基本開園日の表記!$A$2:$B$13,2,FALSE),""), "")</f>
        <v/>
      </c>
      <c r="L302" s="75" t="str">
        <f t="array" ref="L302">IFERROR(IF(INDEX(Kintoneデータ抽出!F:F, _xlfn.AGGREGATE(15, 6, ROW(Kintoneデータ抽出!$K$2:$K$5000) / ((Kintoneデータ抽出!$K$2:$K$5000="院内")), ROW(A265)))&lt;&gt;"",
IF(COUNTIF(INDEX(Kintoneデータ抽出!F:F, _xlfn.AGGREGATE(15, 6, ROW(Kintoneデータ抽出!$K$2:$K$5000) / ((Kintoneデータ抽出!$K$2:$K$5000="院内")), ROW(A265))),"*あり*"),"夜間",""),""), "")</f>
        <v/>
      </c>
      <c r="M302" s="75" t="str">
        <f t="array" ref="M302">IFERROR(IF(INDEX(Kintoneデータ抽出!I:I, _xlfn.AGGREGATE(15, 6, ROW(Kintoneデータ抽出!$K$2:$K$5000) / ((Kintoneデータ抽出!$K$2:$K$5000="院内")), ROW(A265)))&lt;&gt;"",
IF(COUNTIF(INDEX(Kintoneデータ抽出!I:I, _xlfn.AGGREGATE(15, 6, ROW(Kintoneデータ抽出!$K$2:$K$5000) / ((Kintoneデータ抽出!$K$2:$K$5000="院内")), ROW(A265))),"*あり*"),"学童",""),""), "")</f>
        <v/>
      </c>
      <c r="N302" s="75" t="str">
        <f t="array" ref="N302">IFERROR(IF(INDEX(Kintoneデータ抽出!H:H, _xlfn.AGGREGATE(15, 6, ROW(Kintoneデータ抽出!$K$2:$K$5000) / ((Kintoneデータ抽出!$K$2:$K$5000="院内")), ROW(A265)))&lt;&gt;"",
IF(COUNTIF(INDEX(Kintoneデータ抽出!H:H, _xlfn.AGGREGATE(15, 6, ROW(Kintoneデータ抽出!$K$2:$K$5000) / ((Kintoneデータ抽出!$K$2:$K$5000="院内")), ROW(A265))),"*あり*"),"病児",""),""), "")</f>
        <v/>
      </c>
      <c r="O302" s="94" t="str" cm="1">
        <f t="array" ref="O302">IFERROR(
IF(INDEX(Kintoneデータ抽出!M:M, _xlfn.AGGREGATE(15, 6, ROW(Kintoneデータ抽出!$K$2:$K$5000) / ((Kintoneデータ抽出!$K$2:$K$5000="院内")), ROW(A265)))&lt;&gt;0,INDEX(Kintoneデータ抽出!M:M, _xlfn.AGGREGATE(15, 6, ROW(Kintoneデータ抽出!$K$2:$K$5000) / ((Kintoneデータ抽出!$K$2:$K$5000="院内")), ROW(A265))),""), "")</f>
        <v/>
      </c>
      <c r="P302" s="78" t="str">
        <f t="array" ref="P302">IFERROR(IF(INDEX(Kintoneデータ抽出!L:L, _xlfn.AGGREGATE(15, 6, ROW(Kintoneデータ抽出!$K$2:$K$5000) / ((Kintoneデータ抽出!$K$2:$K$5000="院内")), ROW(A265)))&lt;&gt;"",
IF(COUNTIF(INDEX(Kintoneデータ抽出!L:L, _xlfn.AGGREGATE(15, 6, ROW(Kintoneデータ抽出!$K$2:$K$5000) / ((Kintoneデータ抽出!$K$2:$K$5000="院内")), ROW(A265))),"*企業主導型以外*"),"",
IF(COUNTIF(INDEX(Kintoneデータ抽出!L:L, _xlfn.AGGREGATE(15, 6, ROW(Kintoneデータ抽出!$K$2:$K$5000) / ((Kintoneデータ抽出!$K$2:$K$5000="院内")), ROW(A265))),"*その他*"),"",
IF(COUNTIF(INDEX(Kintoneデータ抽出!L:L, _xlfn.AGGREGATE(15, 6, ROW(Kintoneデータ抽出!$K$2:$K$5000) / ((Kintoneデータ抽出!$K$2:$K$5000="院内")), ROW(A265))),"*新制度*"),"新制度","企業主導型"))),""), "")</f>
        <v/>
      </c>
    </row>
    <row r="303" spans="2:16" ht="34.5" customHeight="1" x14ac:dyDescent="0.45">
      <c r="B303" s="45"/>
      <c r="C303" s="46"/>
      <c r="D303" s="98" t="str">
        <f t="shared" si="5"/>
        <v/>
      </c>
      <c r="E303" s="99"/>
      <c r="F303" s="75" t="str">
        <f t="array" ref="F303">IFERROR(INDEX(Kintoneデータ抽出!A:A, _xlfn.AGGREGATE(15, 6, ROW(Kintoneデータ抽出!$K$2:$K$5000) / ((Kintoneデータ抽出!$K$2:$K$5000="院内")), ROW(A266))), "")</f>
        <v/>
      </c>
      <c r="G303" s="77" t="str">
        <f t="array" ref="G303">IFERROR(INDEX(Kintoneデータ抽出!D:D, _xlfn.AGGREGATE(15, 6, ROW(Kintoneデータ抽出!$K$2:$K$5000) / ((Kintoneデータ抽出!$K$2:$K$5000="院内")), ROW(A266))), "")</f>
        <v/>
      </c>
      <c r="H303" s="77" t="str">
        <f t="array" ref="H303">IFERROR(INDEX(Kintoneデータ抽出!C:C, _xlfn.AGGREGATE(15, 6, ROW(Kintoneデータ抽出!$K$2:$K$5000) / ((Kintoneデータ抽出!$K$2:$K$5000="院内")), ROW(A266))), "")</f>
        <v/>
      </c>
      <c r="I303" s="75" t="str">
        <f t="array" ref="I303">IFERROR(IF(INDEX(Kintoneデータ抽出!G:G, _xlfn.AGGREGATE(15, 6, ROW(Kintoneデータ抽出!$K$2:$K$5000) / ((Kintoneデータ抽出!$K$2:$K$5000="院内")), ROW(A266)))&lt;&gt;"",INDEX(Kintoneデータ抽出!G:G, _xlfn.AGGREGATE(15, 6, ROW(Kintoneデータ抽出!$K$2:$K$5000) / ((Kintoneデータ抽出!$K$2:$K$5000="院内")), ROW(A266)))&amp;"名",""), "")</f>
        <v/>
      </c>
      <c r="J303" s="76" t="str">
        <f t="array" ref="J303">IFERROR(IF(INDEX(Kintoneデータ抽出!E:E, _xlfn.AGGREGATE(15, 6, ROW(Kintoneデータ抽出!$K$2:$K$5000) / ((Kintoneデータ抽出!$K$2:$K$5000="院内")), ROW(A266)))&lt;&gt;"",
YEAR(INDEX(Kintoneデータ抽出!E:E, _xlfn.AGGREGATE(15, 6, ROW(Kintoneデータ抽出!$K$2:$K$5000) / ((Kintoneデータ抽出!$K$2:$K$5000="院内")), ROW(A266))))&amp;"年"
&amp;MONTH(INDEX(Kintoneデータ抽出!E:E, _xlfn.AGGREGATE(15, 6, ROW(Kintoneデータ抽出!$K$2:$K$5000) / ((Kintoneデータ抽出!$K$2:$K$5000="院内")), ROW(A266))))&amp;"月"
&amp;DAY(INDEX(Kintoneデータ抽出!E:E, _xlfn.AGGREGATE(15, 6, ROW(Kintoneデータ抽出!$K$2:$K$5000) /((Kintoneデータ抽出!$K$2:$K$5000="院内")), ROW(A266))))&amp;"日",""), "")</f>
        <v/>
      </c>
      <c r="K303" s="77" t="str" cm="1">
        <f t="array" ref="K303">IFERROR(IF(INDEX(Kintoneデータ抽出!F:F, _xlfn.AGGREGATE(15, 6, ROW(Kintoneデータ抽出!$K$2:$K$5000) / ((Kintoneデータ抽出!$K$2:$K$5000="院内")), ROW(A266)))&lt;&gt;"",
VLOOKUP(INDEX(Kintoneデータ抽出!F:F, _xlfn.AGGREGATE(15, 6, ROW(Kintoneデータ抽出!$K$2:$K$5000) / ((Kintoneデータ抽出!$K$2:$K$5000="院内")), ROW(A266))),基本開園日の表記!$A$2:$B$13,2,FALSE),""), "")</f>
        <v/>
      </c>
      <c r="L303" s="75" t="str">
        <f t="array" ref="L303">IFERROR(IF(INDEX(Kintoneデータ抽出!F:F, _xlfn.AGGREGATE(15, 6, ROW(Kintoneデータ抽出!$K$2:$K$5000) / ((Kintoneデータ抽出!$K$2:$K$5000="院内")), ROW(A266)))&lt;&gt;"",
IF(COUNTIF(INDEX(Kintoneデータ抽出!F:F, _xlfn.AGGREGATE(15, 6, ROW(Kintoneデータ抽出!$K$2:$K$5000) / ((Kintoneデータ抽出!$K$2:$K$5000="院内")), ROW(A266))),"*あり*"),"夜間",""),""), "")</f>
        <v/>
      </c>
      <c r="M303" s="75" t="str">
        <f t="array" ref="M303">IFERROR(IF(INDEX(Kintoneデータ抽出!I:I, _xlfn.AGGREGATE(15, 6, ROW(Kintoneデータ抽出!$K$2:$K$5000) / ((Kintoneデータ抽出!$K$2:$K$5000="院内")), ROW(A266)))&lt;&gt;"",
IF(COUNTIF(INDEX(Kintoneデータ抽出!I:I, _xlfn.AGGREGATE(15, 6, ROW(Kintoneデータ抽出!$K$2:$K$5000) / ((Kintoneデータ抽出!$K$2:$K$5000="院内")), ROW(A266))),"*あり*"),"学童",""),""), "")</f>
        <v/>
      </c>
      <c r="N303" s="75" t="str">
        <f t="array" ref="N303">IFERROR(IF(INDEX(Kintoneデータ抽出!H:H, _xlfn.AGGREGATE(15, 6, ROW(Kintoneデータ抽出!$K$2:$K$5000) / ((Kintoneデータ抽出!$K$2:$K$5000="院内")), ROW(A266)))&lt;&gt;"",
IF(COUNTIF(INDEX(Kintoneデータ抽出!H:H, _xlfn.AGGREGATE(15, 6, ROW(Kintoneデータ抽出!$K$2:$K$5000) / ((Kintoneデータ抽出!$K$2:$K$5000="院内")), ROW(A266))),"*あり*"),"病児",""),""), "")</f>
        <v/>
      </c>
      <c r="O303" s="94" t="str" cm="1">
        <f t="array" ref="O303">IFERROR(
IF(INDEX(Kintoneデータ抽出!M:M, _xlfn.AGGREGATE(15, 6, ROW(Kintoneデータ抽出!$K$2:$K$5000) / ((Kintoneデータ抽出!$K$2:$K$5000="院内")), ROW(A266)))&lt;&gt;0,INDEX(Kintoneデータ抽出!M:M, _xlfn.AGGREGATE(15, 6, ROW(Kintoneデータ抽出!$K$2:$K$5000) / ((Kintoneデータ抽出!$K$2:$K$5000="院内")), ROW(A266))),""), "")</f>
        <v/>
      </c>
      <c r="P303" s="78" t="str">
        <f t="array" ref="P303">IFERROR(IF(INDEX(Kintoneデータ抽出!L:L, _xlfn.AGGREGATE(15, 6, ROW(Kintoneデータ抽出!$K$2:$K$5000) / ((Kintoneデータ抽出!$K$2:$K$5000="院内")), ROW(A266)))&lt;&gt;"",
IF(COUNTIF(INDEX(Kintoneデータ抽出!L:L, _xlfn.AGGREGATE(15, 6, ROW(Kintoneデータ抽出!$K$2:$K$5000) / ((Kintoneデータ抽出!$K$2:$K$5000="院内")), ROW(A266))),"*企業主導型以外*"),"",
IF(COUNTIF(INDEX(Kintoneデータ抽出!L:L, _xlfn.AGGREGATE(15, 6, ROW(Kintoneデータ抽出!$K$2:$K$5000) / ((Kintoneデータ抽出!$K$2:$K$5000="院内")), ROW(A266))),"*その他*"),"",
IF(COUNTIF(INDEX(Kintoneデータ抽出!L:L, _xlfn.AGGREGATE(15, 6, ROW(Kintoneデータ抽出!$K$2:$K$5000) / ((Kintoneデータ抽出!$K$2:$K$5000="院内")), ROW(A266))),"*新制度*"),"新制度","企業主導型"))),""), "")</f>
        <v/>
      </c>
    </row>
    <row r="304" spans="2:16" ht="37.5" customHeight="1" x14ac:dyDescent="0.45">
      <c r="B304" s="51"/>
      <c r="C304" s="52"/>
      <c r="D304" s="113" t="str">
        <f t="shared" si="5"/>
        <v/>
      </c>
      <c r="E304" s="114"/>
      <c r="F304" s="79" t="str">
        <f t="array" ref="F304">IFERROR(INDEX(Kintoneデータ抽出!A:A, _xlfn.AGGREGATE(15, 6, ROW(Kintoneデータ抽出!$K$2:$K$5000) / ((Kintoneデータ抽出!$K$2:$K$5000="院内")), ROW(A267))), "")</f>
        <v/>
      </c>
      <c r="G304" s="81" t="str">
        <f t="array" ref="G304">IFERROR(INDEX(Kintoneデータ抽出!D:D, _xlfn.AGGREGATE(15, 6, ROW(Kintoneデータ抽出!$K$2:$K$5000) / ((Kintoneデータ抽出!$K$2:$K$5000="院内")), ROW(A267))), "")</f>
        <v/>
      </c>
      <c r="H304" s="81" t="str">
        <f t="array" ref="H304">IFERROR(INDEX(Kintoneデータ抽出!C:C, _xlfn.AGGREGATE(15, 6, ROW(Kintoneデータ抽出!$K$2:$K$5000) / ((Kintoneデータ抽出!$K$2:$K$5000="院内")), ROW(A267))), "")</f>
        <v/>
      </c>
      <c r="I304" s="79" t="str">
        <f t="array" ref="I304">IFERROR(IF(INDEX(Kintoneデータ抽出!G:G, _xlfn.AGGREGATE(15, 6, ROW(Kintoneデータ抽出!$K$2:$K$5000) / ((Kintoneデータ抽出!$K$2:$K$5000="院内")), ROW(A267)))&lt;&gt;"",INDEX(Kintoneデータ抽出!G:G, _xlfn.AGGREGATE(15, 6, ROW(Kintoneデータ抽出!$K$2:$K$5000) / ((Kintoneデータ抽出!$K$2:$K$5000="院内")), ROW(A267)))&amp;"名",""), "")</f>
        <v/>
      </c>
      <c r="J304" s="80" t="str">
        <f t="array" ref="J304">IFERROR(IF(INDEX(Kintoneデータ抽出!E:E, _xlfn.AGGREGATE(15, 6, ROW(Kintoneデータ抽出!$K$2:$K$5000) / ((Kintoneデータ抽出!$K$2:$K$5000="院内")), ROW(A267)))&lt;&gt;"",
YEAR(INDEX(Kintoneデータ抽出!E:E, _xlfn.AGGREGATE(15, 6, ROW(Kintoneデータ抽出!$K$2:$K$5000) / ((Kintoneデータ抽出!$K$2:$K$5000="院内")), ROW(A267))))&amp;"年"
&amp;MONTH(INDEX(Kintoneデータ抽出!E:E, _xlfn.AGGREGATE(15, 6, ROW(Kintoneデータ抽出!$K$2:$K$5000) / ((Kintoneデータ抽出!$K$2:$K$5000="院内")), ROW(A267))))&amp;"月"
&amp;DAY(INDEX(Kintoneデータ抽出!E:E, _xlfn.AGGREGATE(15, 6, ROW(Kintoneデータ抽出!$K$2:$K$5000) /((Kintoneデータ抽出!$K$2:$K$5000="院内")), ROW(A267))))&amp;"日",""), "")</f>
        <v/>
      </c>
      <c r="K304" s="81" t="str" cm="1">
        <f t="array" ref="K304">IFERROR(IF(INDEX(Kintoneデータ抽出!F:F, _xlfn.AGGREGATE(15, 6, ROW(Kintoneデータ抽出!$K$2:$K$5000) / ((Kintoneデータ抽出!$K$2:$K$5000="院内")), ROW(A267)))&lt;&gt;"",
VLOOKUP(INDEX(Kintoneデータ抽出!F:F, _xlfn.AGGREGATE(15, 6, ROW(Kintoneデータ抽出!$K$2:$K$5000) / ((Kintoneデータ抽出!$K$2:$K$5000="院内")), ROW(A267))),基本開園日の表記!$A$2:$B$13,2,FALSE),""), "")</f>
        <v/>
      </c>
      <c r="L304" s="79" t="str">
        <f t="array" ref="L304">IFERROR(IF(INDEX(Kintoneデータ抽出!F:F, _xlfn.AGGREGATE(15, 6, ROW(Kintoneデータ抽出!$K$2:$K$5000) / ((Kintoneデータ抽出!$K$2:$K$5000="院内")), ROW(A267)))&lt;&gt;"",
IF(COUNTIF(INDEX(Kintoneデータ抽出!F:F, _xlfn.AGGREGATE(15, 6, ROW(Kintoneデータ抽出!$K$2:$K$5000) / ((Kintoneデータ抽出!$K$2:$K$5000="院内")), ROW(A267))),"*あり*"),"夜間",""),""), "")</f>
        <v/>
      </c>
      <c r="M304" s="79" t="str">
        <f t="array" ref="M304">IFERROR(IF(INDEX(Kintoneデータ抽出!I:I, _xlfn.AGGREGATE(15, 6, ROW(Kintoneデータ抽出!$K$2:$K$5000) / ((Kintoneデータ抽出!$K$2:$K$5000="院内")), ROW(A267)))&lt;&gt;"",
IF(COUNTIF(INDEX(Kintoneデータ抽出!I:I, _xlfn.AGGREGATE(15, 6, ROW(Kintoneデータ抽出!$K$2:$K$5000) / ((Kintoneデータ抽出!$K$2:$K$5000="院内")), ROW(A267))),"*あり*"),"学童",""),""), "")</f>
        <v/>
      </c>
      <c r="N304" s="79" t="str">
        <f t="array" ref="N304">IFERROR(IF(INDEX(Kintoneデータ抽出!H:H, _xlfn.AGGREGATE(15, 6, ROW(Kintoneデータ抽出!$K$2:$K$5000) / ((Kintoneデータ抽出!$K$2:$K$5000="院内")), ROW(A267)))&lt;&gt;"",
IF(COUNTIF(INDEX(Kintoneデータ抽出!H:H, _xlfn.AGGREGATE(15, 6, ROW(Kintoneデータ抽出!$K$2:$K$5000) / ((Kintoneデータ抽出!$K$2:$K$5000="院内")), ROW(A267))),"*あり*"),"病児",""),""), "")</f>
        <v/>
      </c>
      <c r="O304" s="95" t="str" cm="1">
        <f t="array" ref="O304">IFERROR(
IF(INDEX(Kintoneデータ抽出!M:M, _xlfn.AGGREGATE(15, 6, ROW(Kintoneデータ抽出!$K$2:$K$5000) / ((Kintoneデータ抽出!$K$2:$K$5000="院内")), ROW(A267)))&lt;&gt;0,INDEX(Kintoneデータ抽出!M:M, _xlfn.AGGREGATE(15, 6, ROW(Kintoneデータ抽出!$K$2:$K$5000) / ((Kintoneデータ抽出!$K$2:$K$5000="院内")), ROW(A267))),""), "")</f>
        <v/>
      </c>
      <c r="P304" s="82" t="str">
        <f t="array" ref="P304">IFERROR(IF(INDEX(Kintoneデータ抽出!L:L, _xlfn.AGGREGATE(15, 6, ROW(Kintoneデータ抽出!$K$2:$K$5000) / ((Kintoneデータ抽出!$K$2:$K$5000="院内")), ROW(A267)))&lt;&gt;"",
IF(COUNTIF(INDEX(Kintoneデータ抽出!L:L, _xlfn.AGGREGATE(15, 6, ROW(Kintoneデータ抽出!$K$2:$K$5000) / ((Kintoneデータ抽出!$K$2:$K$5000="院内")), ROW(A267))),"*企業主導型以外*"),"",
IF(COUNTIF(INDEX(Kintoneデータ抽出!L:L, _xlfn.AGGREGATE(15, 6, ROW(Kintoneデータ抽出!$K$2:$K$5000) / ((Kintoneデータ抽出!$K$2:$K$5000="院内")), ROW(A267))),"*その他*"),"",
IF(COUNTIF(INDEX(Kintoneデータ抽出!L:L, _xlfn.AGGREGATE(15, 6, ROW(Kintoneデータ抽出!$K$2:$K$5000) / ((Kintoneデータ抽出!$K$2:$K$5000="院内")), ROW(A267))),"*新制度*"),"新制度","企業主導型"))),""), "")</f>
        <v/>
      </c>
    </row>
    <row r="305" spans="2:16" ht="34.799999999999997" customHeight="1" x14ac:dyDescent="0.45">
      <c r="B305"/>
      <c r="C305"/>
    </row>
    <row r="306" spans="2:16" ht="34.799999999999997" customHeight="1" x14ac:dyDescent="0.45">
      <c r="B306" s="103" t="s">
        <v>46</v>
      </c>
      <c r="C306" s="104"/>
      <c r="D306" s="104"/>
      <c r="E306" s="104"/>
      <c r="F306" s="104"/>
      <c r="G306" s="104"/>
      <c r="H306" s="104"/>
      <c r="N306" s="38" t="s">
        <v>29</v>
      </c>
    </row>
    <row r="307" spans="2:16" ht="34.799999999999997" customHeight="1" x14ac:dyDescent="0.45">
      <c r="B307" s="111"/>
      <c r="C307" s="112"/>
      <c r="D307" s="100" t="s">
        <v>31</v>
      </c>
      <c r="E307" s="101"/>
      <c r="F307" s="37" t="s">
        <v>32</v>
      </c>
      <c r="G307" s="37" t="s">
        <v>1</v>
      </c>
      <c r="H307" s="37" t="s">
        <v>0</v>
      </c>
      <c r="I307" s="37" t="s">
        <v>33</v>
      </c>
      <c r="J307" s="42" t="s">
        <v>2</v>
      </c>
      <c r="K307" s="102" t="s">
        <v>34</v>
      </c>
      <c r="L307" s="101"/>
      <c r="M307" s="101"/>
      <c r="N307" s="101"/>
      <c r="O307" s="37"/>
      <c r="P307" s="39" t="s">
        <v>35</v>
      </c>
    </row>
    <row r="308" spans="2:16" ht="34.799999999999997" customHeight="1" x14ac:dyDescent="0.45">
      <c r="B308" s="67" t="s">
        <v>40</v>
      </c>
      <c r="C308" s="44"/>
      <c r="D308" s="109" t="str">
        <f>IF(H308&lt;&gt;"",D304+1,D304)</f>
        <v/>
      </c>
      <c r="E308" s="110"/>
      <c r="F308" s="87" t="str">
        <f t="array" ref="F308">IFERROR(INDEX(Kintoneデータ抽出!A:A, _xlfn.AGGREGATE(15, 6, ROW(Kintoneデータ抽出!$K$2:$K$5000) / ((Kintoneデータ抽出!$K$2:$K$5000="企業内")), ROW(A1))), "")</f>
        <v/>
      </c>
      <c r="G308" s="88" t="str">
        <f t="array" ref="G308">IFERROR(INDEX(Kintoneデータ抽出!D:D,_xlfn.AGGREGATE(15,6,ROW(Kintoneデータ抽出!$K$2:$K$5000)/((Kintoneデータ抽出!$K$2:$K$5000="企業内")),ROW(A1))),"")</f>
        <v/>
      </c>
      <c r="H308" s="87" t="str">
        <f t="array" ref="H308">IFERROR(INDEX(Kintoneデータ抽出!C:C, _xlfn.AGGREGATE(15, 6, ROW(Kintoneデータ抽出!$K$2:$K$5000) / ((Kintoneデータ抽出!$K$2:$K$5000="企業内")), ROW(A1))), "")</f>
        <v/>
      </c>
      <c r="I308" s="71" t="str">
        <f t="array" ref="I308">IFERROR(IF(INDEX(Kintoneデータ抽出!G:G, _xlfn.AGGREGATE(15, 6, ROW(Kintoneデータ抽出!$K$2:$K$5000) / ((Kintoneデータ抽出!$K$2:$K$5000="企業内")), ROW(A1)))&lt;&gt;"",INDEX(Kintoneデータ抽出!G:G, _xlfn.AGGREGATE(15, 6, ROW(Kintoneデータ抽出!$K$2:$K$5000) / ((Kintoneデータ抽出!$K$2:$K$5000="企業内")), ROW(A1)))&amp;"名",""), "")</f>
        <v/>
      </c>
      <c r="J308" s="72" t="str">
        <f t="array" ref="J308">IFERROR(IF(INDEX(Kintoneデータ抽出!E:E, _xlfn.AGGREGATE(15, 6, ROW(Kintoneデータ抽出!$K$2:$K$5000) / ((Kintoneデータ抽出!$K$2:$K$5000="企業内")), ROW(A1)))&lt;&gt;"",
YEAR(INDEX(Kintoneデータ抽出!E:E, _xlfn.AGGREGATE(15, 6, ROW(Kintoneデータ抽出!$K$2:$K$5000) / ((Kintoneデータ抽出!$K$2:$K$5000="企業内")), ROW(A1))))&amp;"年"
&amp;MONTH(INDEX(Kintoneデータ抽出!E:E, _xlfn.AGGREGATE(15, 6, ROW(Kintoneデータ抽出!$K$2:$K$5000) / ((Kintoneデータ抽出!$K$2:$K$5000="企業内")), ROW(A1))))&amp;"月"
&amp;DAY(INDEX(Kintoneデータ抽出!E:E, _xlfn.AGGREGATE(15, 6, ROW(Kintoneデータ抽出!$K$2:$K$5000) /((Kintoneデータ抽出!$K$2:$K$5000="企業内")), ROW(A1))))&amp;"日",""), "")</f>
        <v/>
      </c>
      <c r="K308" s="73" t="str" cm="1">
        <f t="array" ref="K308">IFERROR(IF(INDEX(Kintoneデータ抽出!F:F, _xlfn.AGGREGATE(15, 6, ROW(Kintoneデータ抽出!$K$2:$K$5000) / ((Kintoneデータ抽出!$K$2:$K$5000="企業内")), ROW(A1)))&lt;&gt;"",
VLOOKUP(INDEX(Kintoneデータ抽出!F:F, _xlfn.AGGREGATE(15, 6, ROW(Kintoneデータ抽出!$K$2:$K$5000) / ((Kintoneデータ抽出!$K$2:$K$5000="企業内")), ROW(A1))),基本開園日の表記!$A$2:$B$13,2,FALSE),""), "")</f>
        <v/>
      </c>
      <c r="L308" s="71" t="str">
        <f t="array" ref="L308">IFERROR(IF(INDEX(Kintoneデータ抽出!F:F, _xlfn.AGGREGATE(15, 6, ROW(Kintoneデータ抽出!$K$2:$K$5000) / ((Kintoneデータ抽出!$K$2:$K$5000="企業内")), ROW(A1)))&lt;&gt;"",
IF(COUNTIF(INDEX(Kintoneデータ抽出!F:F, _xlfn.AGGREGATE(15, 6, ROW(Kintoneデータ抽出!$K$2:$K$5000) / ((Kintoneデータ抽出!$K$2:$K$5000="企業内")), ROW(A1))),"*あり*"),"夜間",""),""), "")</f>
        <v/>
      </c>
      <c r="M308" s="71" t="str">
        <f t="array" ref="M308">IFERROR(IF(INDEX(Kintoneデータ抽出!I:I, _xlfn.AGGREGATE(15, 6, ROW(Kintoneデータ抽出!$K$2:$K$5000) / ((Kintoneデータ抽出!$K$2:$K$5000="企業内")), ROW(A1)))&lt;&gt;"",
IF(COUNTIF(INDEX(Kintoneデータ抽出!I:I, _xlfn.AGGREGATE(15, 6, ROW(Kintoneデータ抽出!$K$2:$K$5000) / ((Kintoneデータ抽出!$K$2:$K$5000="企業内")), ROW(A1))),"*あり*"),"学童",""),""), "")</f>
        <v/>
      </c>
      <c r="N308" s="71" t="str">
        <f t="array" ref="N308">IFERROR(IF(INDEX(Kintoneデータ抽出!H:H, _xlfn.AGGREGATE(15, 6, ROW(Kintoneデータ抽出!$K$2:$K$5000) / ((Kintoneデータ抽出!$K$2:$K$5000="企業内")), ROW(A1)))&lt;&gt;"",
IF(COUNTIF(INDEX(Kintoneデータ抽出!H:H, _xlfn.AGGREGATE(15, 6, ROW(Kintoneデータ抽出!$K$2:$K$5000) / ((Kintoneデータ抽出!$K$2:$K$5000="企業内")), ROW(A1))),"*あり*"),"病児",""),""), "")</f>
        <v/>
      </c>
      <c r="O308" s="71" t="str" cm="1">
        <f t="array" ref="O308">IFERROR(
IF(INDEX(Kintoneデータ抽出!M:M, _xlfn.AGGREGATE(15, 6, ROW(Kintoneデータ抽出!$K$2:$K$5000) / ((Kintoneデータ抽出!$K$2:$K$5000="企業内")), ROW(A1)))&lt;&gt;0,INDEX(Kintoneデータ抽出!M:M, _xlfn.AGGREGATE(15, 6, ROW(Kintoneデータ抽出!$K$2:$K$5000) / ((Kintoneデータ抽出!$K$2:$K$5000="企業内")), ROW(A1))),""), "")</f>
        <v/>
      </c>
      <c r="P308" s="74" t="str">
        <f t="array" ref="P308">IFERROR(IF(INDEX(Kintoneデータ抽出!L:L, _xlfn.AGGREGATE(15, 6, ROW(Kintoneデータ抽出!$K$2:$K$5000) / ((Kintoneデータ抽出!$K$2:$K$5000="企業内")), ROW(A1)))&lt;&gt;"",
IF(COUNTIF(INDEX(Kintoneデータ抽出!L:L, _xlfn.AGGREGATE(15, 6, ROW(Kintoneデータ抽出!$K$2:$K$5000) / ((Kintoneデータ抽出!$K$2:$K$5000="企業内")), ROW(A1))),"*企業主導型以外*"),"",
IF(COUNTIF(INDEX(Kintoneデータ抽出!L:L, _xlfn.AGGREGATE(15, 6, ROW(Kintoneデータ抽出!$K$2:$K$5000) / ((Kintoneデータ抽出!$K$2:$K$5000="企業内")), ROW(A1))),"*その他*"),"",
IF(COUNTIF(INDEX(Kintoneデータ抽出!L:L, _xlfn.AGGREGATE(15, 6, ROW(Kintoneデータ抽出!$K$2:$K$5000) / ((Kintoneデータ抽出!$K$2:$K$5000="企業内")), ROW(A1))),"*新制度*"),"新制度","企業主導型"))),""), "")</f>
        <v/>
      </c>
    </row>
    <row r="309" spans="2:16" ht="34.799999999999997" customHeight="1" x14ac:dyDescent="0.45">
      <c r="B309" s="45"/>
      <c r="C309" s="46"/>
      <c r="D309" s="98" t="str">
        <f t="shared" ref="D309:D340" si="6">IF(H309&lt;&gt;"",D308+1,D308)</f>
        <v/>
      </c>
      <c r="E309" s="99"/>
      <c r="F309" s="89" t="str">
        <f t="array" ref="F309">IFERROR(INDEX(Kintoneデータ抽出!A:A, _xlfn.AGGREGATE(15, 6, ROW(Kintoneデータ抽出!$K$2:$K$5000) / ((Kintoneデータ抽出!$K$2:$K$5000="企業内")), ROW(A2))), "")</f>
        <v/>
      </c>
      <c r="G309" s="90" t="str">
        <f t="array" ref="G309">IFERROR(INDEX(Kintoneデータ抽出!D:D,_xlfn.AGGREGATE(15,6,ROW(Kintoneデータ抽出!$K$2:$K$5000)/((Kintoneデータ抽出!$K$2:$K$5000="企業内")),ROW(A2))),"")</f>
        <v/>
      </c>
      <c r="H309" s="89" t="str">
        <f t="array" ref="H309">IFERROR(INDEX(Kintoneデータ抽出!C:C, _xlfn.AGGREGATE(15, 6, ROW(Kintoneデータ抽出!$K$2:$K$5000) / ((Kintoneデータ抽出!$K$2:$K$5000="企業内")), ROW(A2))), "")</f>
        <v/>
      </c>
      <c r="I309" s="75" t="str">
        <f t="array" ref="I309">IFERROR(IF(INDEX(Kintoneデータ抽出!G:G, _xlfn.AGGREGATE(15, 6, ROW(Kintoneデータ抽出!$K$2:$K$5000) / ((Kintoneデータ抽出!$K$2:$K$5000="企業内")), ROW(A2)))&lt;&gt;"",INDEX(Kintoneデータ抽出!G:G, _xlfn.AGGREGATE(15, 6, ROW(Kintoneデータ抽出!$K$2:$K$5000) / ((Kintoneデータ抽出!$K$2:$K$5000="企業内")), ROW(A2)))&amp;"名",""), "")</f>
        <v/>
      </c>
      <c r="J309" s="76" t="str">
        <f t="array" ref="J309">IFERROR(IF(INDEX(Kintoneデータ抽出!E:E, _xlfn.AGGREGATE(15, 6, ROW(Kintoneデータ抽出!$K$2:$K$5000) / ((Kintoneデータ抽出!$K$2:$K$5000="企業内")), ROW(A2)))&lt;&gt;"",
YEAR(INDEX(Kintoneデータ抽出!E:E, _xlfn.AGGREGATE(15, 6, ROW(Kintoneデータ抽出!$K$2:$K$5000) / ((Kintoneデータ抽出!$K$2:$K$5000="企業内")), ROW(A2))))&amp;"年"
&amp;MONTH(INDEX(Kintoneデータ抽出!E:E, _xlfn.AGGREGATE(15, 6, ROW(Kintoneデータ抽出!$K$2:$K$5000) / ((Kintoneデータ抽出!$K$2:$K$5000="企業内")), ROW(A2))))&amp;"月"
&amp;DAY(INDEX(Kintoneデータ抽出!E:E, _xlfn.AGGREGATE(15, 6, ROW(Kintoneデータ抽出!$K$2:$K$5000) /((Kintoneデータ抽出!$K$2:$K$5000="企業内")), ROW(A2))))&amp;"日",""), "")</f>
        <v/>
      </c>
      <c r="K309" s="77" t="str" cm="1">
        <f t="array" ref="K309">IFERROR(IF(INDEX(Kintoneデータ抽出!F:F, _xlfn.AGGREGATE(15, 6, ROW(Kintoneデータ抽出!$K$2:$K$5000) / ((Kintoneデータ抽出!$K$2:$K$5000="企業内")), ROW(A2)))&lt;&gt;"",
VLOOKUP(INDEX(Kintoneデータ抽出!F:F, _xlfn.AGGREGATE(15, 6, ROW(Kintoneデータ抽出!$K$2:$K$5000) / ((Kintoneデータ抽出!$K$2:$K$5000="企業内")), ROW(A2))),基本開園日の表記!$A$2:$B$13,2,FALSE),""), "")</f>
        <v/>
      </c>
      <c r="L309" s="75" t="str">
        <f t="array" ref="L309">IFERROR(IF(INDEX(Kintoneデータ抽出!F:F, _xlfn.AGGREGATE(15, 6, ROW(Kintoneデータ抽出!$K$2:$K$5000) / ((Kintoneデータ抽出!$K$2:$K$5000="企業内")), ROW(A2)))&lt;&gt;"",
IF(COUNTIF(INDEX(Kintoneデータ抽出!F:F, _xlfn.AGGREGATE(15, 6, ROW(Kintoneデータ抽出!$K$2:$K$5000) / ((Kintoneデータ抽出!$K$2:$K$5000="企業内")), ROW(A2))),"*あり*"),"夜間",""),""), "")</f>
        <v/>
      </c>
      <c r="M309" s="75" t="str">
        <f t="array" ref="M309">IFERROR(IF(INDEX(Kintoneデータ抽出!I:I, _xlfn.AGGREGATE(15, 6, ROW(Kintoneデータ抽出!$K$2:$K$5000) / ((Kintoneデータ抽出!$K$2:$K$5000="企業内")), ROW(A2)))&lt;&gt;"",
IF(COUNTIF(INDEX(Kintoneデータ抽出!I:I, _xlfn.AGGREGATE(15, 6, ROW(Kintoneデータ抽出!$K$2:$K$5000) / ((Kintoneデータ抽出!$K$2:$K$5000="企業内")), ROW(A2))),"*あり*"),"学童",""),""), "")</f>
        <v/>
      </c>
      <c r="N309" s="75" t="str">
        <f t="array" ref="N309">IFERROR(IF(INDEX(Kintoneデータ抽出!H:H, _xlfn.AGGREGATE(15, 6, ROW(Kintoneデータ抽出!$K$2:$K$5000) / ((Kintoneデータ抽出!$K$2:$K$5000="企業内")), ROW(A2)))&lt;&gt;"",
IF(COUNTIF(INDEX(Kintoneデータ抽出!H:H, _xlfn.AGGREGATE(15, 6, ROW(Kintoneデータ抽出!$K$2:$K$5000) / ((Kintoneデータ抽出!$K$2:$K$5000="企業内")), ROW(A2))),"*あり*"),"病児",""),""), "")</f>
        <v/>
      </c>
      <c r="O309" s="75" t="str" cm="1">
        <f t="array" ref="O309">IFERROR(
IF(INDEX(Kintoneデータ抽出!M:M, _xlfn.AGGREGATE(15, 6, ROW(Kintoneデータ抽出!$K$2:$K$5000) / ((Kintoneデータ抽出!$K$2:$K$5000="企業内")), ROW(A2)))&lt;&gt;0,INDEX(Kintoneデータ抽出!M:M, _xlfn.AGGREGATE(15, 6, ROW(Kintoneデータ抽出!$K$2:$K$5000) / ((Kintoneデータ抽出!$K$2:$K$5000="企業内")), ROW(A2))),""), "")</f>
        <v/>
      </c>
      <c r="P309" s="78" t="str">
        <f t="array" ref="P309">IFERROR(IF(INDEX(Kintoneデータ抽出!L:L, _xlfn.AGGREGATE(15, 6, ROW(Kintoneデータ抽出!$K$2:$K$5000) / ((Kintoneデータ抽出!$K$2:$K$5000="企業内")), ROW(A2)))&lt;&gt;"",
IF(COUNTIF(INDEX(Kintoneデータ抽出!L:L, _xlfn.AGGREGATE(15, 6, ROW(Kintoneデータ抽出!$K$2:$K$5000) / ((Kintoneデータ抽出!$K$2:$K$5000="企業内")), ROW(A2))),"*企業主導型以外*"),"",
IF(COUNTIF(INDEX(Kintoneデータ抽出!L:L, _xlfn.AGGREGATE(15, 6, ROW(Kintoneデータ抽出!$K$2:$K$5000) / ((Kintoneデータ抽出!$K$2:$K$5000="企業内")), ROW(A2))),"*その他*"),"",
IF(COUNTIF(INDEX(Kintoneデータ抽出!L:L, _xlfn.AGGREGATE(15, 6, ROW(Kintoneデータ抽出!$K$2:$K$5000) / ((Kintoneデータ抽出!$K$2:$K$5000="企業内")), ROW(A2))),"*新制度*"),"新制度","企業主導型"))),""), "")</f>
        <v/>
      </c>
    </row>
    <row r="310" spans="2:16" ht="34.799999999999997" customHeight="1" x14ac:dyDescent="0.45">
      <c r="B310" s="45"/>
      <c r="C310" s="46"/>
      <c r="D310" s="98" t="str">
        <f t="shared" si="6"/>
        <v/>
      </c>
      <c r="E310" s="99"/>
      <c r="F310" s="89" t="str">
        <f t="array" ref="F310">IFERROR(INDEX(Kintoneデータ抽出!A:A, _xlfn.AGGREGATE(15, 6, ROW(Kintoneデータ抽出!$K$2:$K$5000) / ((Kintoneデータ抽出!$K$2:$K$5000="企業内")), ROW(A3))), "")</f>
        <v/>
      </c>
      <c r="G310" s="90" t="str">
        <f t="array" ref="G310">IFERROR(INDEX(Kintoneデータ抽出!D:D,_xlfn.AGGREGATE(15,6,ROW(Kintoneデータ抽出!$K$2:$K$5000)/((Kintoneデータ抽出!$K$2:$K$5000="企業内")),ROW(A3))),"")</f>
        <v/>
      </c>
      <c r="H310" s="89" t="str">
        <f t="array" ref="H310">IFERROR(INDEX(Kintoneデータ抽出!C:C, _xlfn.AGGREGATE(15, 6, ROW(Kintoneデータ抽出!$K$2:$K$5000) / ((Kintoneデータ抽出!$K$2:$K$5000="企業内")), ROW(A3))), "")</f>
        <v/>
      </c>
      <c r="I310" s="75" t="str">
        <f t="array" ref="I310">IFERROR(IF(INDEX(Kintoneデータ抽出!G:G, _xlfn.AGGREGATE(15, 6, ROW(Kintoneデータ抽出!$K$2:$K$5000) / ((Kintoneデータ抽出!$K$2:$K$5000="企業内")), ROW(A3)))&lt;&gt;"",INDEX(Kintoneデータ抽出!G:G, _xlfn.AGGREGATE(15, 6, ROW(Kintoneデータ抽出!$K$2:$K$5000) / ((Kintoneデータ抽出!$K$2:$K$5000="企業内")), ROW(A3)))&amp;"名",""), "")</f>
        <v/>
      </c>
      <c r="J310" s="76" t="str">
        <f t="array" ref="J310">IFERROR(IF(INDEX(Kintoneデータ抽出!E:E, _xlfn.AGGREGATE(15, 6, ROW(Kintoneデータ抽出!$K$2:$K$5000) / ((Kintoneデータ抽出!$K$2:$K$5000="企業内")), ROW(A3)))&lt;&gt;"",
YEAR(INDEX(Kintoneデータ抽出!E:E, _xlfn.AGGREGATE(15, 6, ROW(Kintoneデータ抽出!$K$2:$K$5000) / ((Kintoneデータ抽出!$K$2:$K$5000="企業内")), ROW(A3))))&amp;"年"
&amp;MONTH(INDEX(Kintoneデータ抽出!E:E, _xlfn.AGGREGATE(15, 6, ROW(Kintoneデータ抽出!$K$2:$K$5000) / ((Kintoneデータ抽出!$K$2:$K$5000="企業内")), ROW(A3))))&amp;"月"
&amp;DAY(INDEX(Kintoneデータ抽出!E:E, _xlfn.AGGREGATE(15, 6, ROW(Kintoneデータ抽出!$K$2:$K$5000) /((Kintoneデータ抽出!$K$2:$K$5000="企業内")), ROW(A3))))&amp;"日",""), "")</f>
        <v/>
      </c>
      <c r="K310" s="77" t="str" cm="1">
        <f t="array" ref="K310">IFERROR(IF(INDEX(Kintoneデータ抽出!F:F, _xlfn.AGGREGATE(15, 6, ROW(Kintoneデータ抽出!$K$2:$K$5000) / ((Kintoneデータ抽出!$K$2:$K$5000="企業内")), ROW(A3)))&lt;&gt;"",
VLOOKUP(INDEX(Kintoneデータ抽出!F:F, _xlfn.AGGREGATE(15, 6, ROW(Kintoneデータ抽出!$K$2:$K$5000) / ((Kintoneデータ抽出!$K$2:$K$5000="企業内")), ROW(A3))),基本開園日の表記!$A$2:$B$13,2,FALSE),""), "")</f>
        <v/>
      </c>
      <c r="L310" s="75" t="str">
        <f t="array" ref="L310">IFERROR(IF(INDEX(Kintoneデータ抽出!F:F, _xlfn.AGGREGATE(15, 6, ROW(Kintoneデータ抽出!$K$2:$K$5000) / ((Kintoneデータ抽出!$K$2:$K$5000="企業内")), ROW(A3)))&lt;&gt;"",
IF(COUNTIF(INDEX(Kintoneデータ抽出!F:F, _xlfn.AGGREGATE(15, 6, ROW(Kintoneデータ抽出!$K$2:$K$5000) / ((Kintoneデータ抽出!$K$2:$K$5000="企業内")), ROW(A3))),"*あり*"),"夜間",""),""), "")</f>
        <v/>
      </c>
      <c r="M310" s="75" t="str">
        <f t="array" ref="M310">IFERROR(IF(INDEX(Kintoneデータ抽出!I:I, _xlfn.AGGREGATE(15, 6, ROW(Kintoneデータ抽出!$K$2:$K$5000) / ((Kintoneデータ抽出!$K$2:$K$5000="企業内")), ROW(A3)))&lt;&gt;"",
IF(COUNTIF(INDEX(Kintoneデータ抽出!I:I, _xlfn.AGGREGATE(15, 6, ROW(Kintoneデータ抽出!$K$2:$K$5000) / ((Kintoneデータ抽出!$K$2:$K$5000="企業内")), ROW(A3))),"*あり*"),"学童",""),""), "")</f>
        <v/>
      </c>
      <c r="N310" s="75" t="str">
        <f t="array" ref="N310">IFERROR(IF(INDEX(Kintoneデータ抽出!H:H, _xlfn.AGGREGATE(15, 6, ROW(Kintoneデータ抽出!$K$2:$K$5000) / ((Kintoneデータ抽出!$K$2:$K$5000="企業内")), ROW(A3)))&lt;&gt;"",
IF(COUNTIF(INDEX(Kintoneデータ抽出!H:H, _xlfn.AGGREGATE(15, 6, ROW(Kintoneデータ抽出!$K$2:$K$5000) / ((Kintoneデータ抽出!$K$2:$K$5000="企業内")), ROW(A3))),"*あり*"),"病児",""),""), "")</f>
        <v/>
      </c>
      <c r="O310" s="75" t="str" cm="1">
        <f t="array" ref="O310">IFERROR(
IF(INDEX(Kintoneデータ抽出!M:M, _xlfn.AGGREGATE(15, 6, ROW(Kintoneデータ抽出!$K$2:$K$5000) / ((Kintoneデータ抽出!$K$2:$K$5000="企業内")), ROW(A3)))&lt;&gt;0,INDEX(Kintoneデータ抽出!M:M, _xlfn.AGGREGATE(15, 6, ROW(Kintoneデータ抽出!$K$2:$K$5000) / ((Kintoneデータ抽出!$K$2:$K$5000="企業内")), ROW(A3))),""), "")</f>
        <v/>
      </c>
      <c r="P310" s="78" t="str">
        <f t="array" ref="P310">IFERROR(IF(INDEX(Kintoneデータ抽出!L:L, _xlfn.AGGREGATE(15, 6, ROW(Kintoneデータ抽出!$K$2:$K$5000) / ((Kintoneデータ抽出!$K$2:$K$5000="企業内")), ROW(A3)))&lt;&gt;"",
IF(COUNTIF(INDEX(Kintoneデータ抽出!L:L, _xlfn.AGGREGATE(15, 6, ROW(Kintoneデータ抽出!$K$2:$K$5000) / ((Kintoneデータ抽出!$K$2:$K$5000="企業内")), ROW(A3))),"*企業主導型以外*"),"",
IF(COUNTIF(INDEX(Kintoneデータ抽出!L:L, _xlfn.AGGREGATE(15, 6, ROW(Kintoneデータ抽出!$K$2:$K$5000) / ((Kintoneデータ抽出!$K$2:$K$5000="企業内")), ROW(A3))),"*その他*"),"",
IF(COUNTIF(INDEX(Kintoneデータ抽出!L:L, _xlfn.AGGREGATE(15, 6, ROW(Kintoneデータ抽出!$K$2:$K$5000) / ((Kintoneデータ抽出!$K$2:$K$5000="企業内")), ROW(A3))),"*新制度*"),"新制度","企業主導型"))),""), "")</f>
        <v/>
      </c>
    </row>
    <row r="311" spans="2:16" ht="34.799999999999997" customHeight="1" x14ac:dyDescent="0.45">
      <c r="B311" s="68" t="s">
        <v>47</v>
      </c>
      <c r="C311" s="46"/>
      <c r="D311" s="98" t="str">
        <f t="shared" si="6"/>
        <v/>
      </c>
      <c r="E311" s="99"/>
      <c r="F311" s="89" t="str">
        <f t="array" ref="F311">IFERROR(INDEX(Kintoneデータ抽出!A:A, _xlfn.AGGREGATE(15, 6, ROW(Kintoneデータ抽出!$K$2:$K$5000) / ((Kintoneデータ抽出!$K$2:$K$5000="企業内")), ROW(A4))), "")</f>
        <v/>
      </c>
      <c r="G311" s="90" t="str">
        <f t="array" ref="G311">IFERROR(INDEX(Kintoneデータ抽出!D:D,_xlfn.AGGREGATE(15,6,ROW(Kintoneデータ抽出!$K$2:$K$5000)/((Kintoneデータ抽出!$K$2:$K$5000="企業内")),ROW(A4))),"")</f>
        <v/>
      </c>
      <c r="H311" s="89" t="str">
        <f t="array" ref="H311">IFERROR(INDEX(Kintoneデータ抽出!C:C, _xlfn.AGGREGATE(15, 6, ROW(Kintoneデータ抽出!$K$2:$K$5000) / ((Kintoneデータ抽出!$K$2:$K$5000="企業内")), ROW(A4))), "")</f>
        <v/>
      </c>
      <c r="I311" s="75" t="str">
        <f t="array" ref="I311">IFERROR(IF(INDEX(Kintoneデータ抽出!G:G, _xlfn.AGGREGATE(15, 6, ROW(Kintoneデータ抽出!$K$2:$K$5000) / ((Kintoneデータ抽出!$K$2:$K$5000="企業内")), ROW(A4)))&lt;&gt;"",INDEX(Kintoneデータ抽出!G:G, _xlfn.AGGREGATE(15, 6, ROW(Kintoneデータ抽出!$K$2:$K$5000) / ((Kintoneデータ抽出!$K$2:$K$5000="企業内")), ROW(A4)))&amp;"名",""), "")</f>
        <v/>
      </c>
      <c r="J311" s="76" t="str">
        <f t="array" ref="J311">IFERROR(IF(INDEX(Kintoneデータ抽出!E:E, _xlfn.AGGREGATE(15, 6, ROW(Kintoneデータ抽出!$K$2:$K$5000) / ((Kintoneデータ抽出!$K$2:$K$5000="企業内")), ROW(A4)))&lt;&gt;"",
YEAR(INDEX(Kintoneデータ抽出!E:E, _xlfn.AGGREGATE(15, 6, ROW(Kintoneデータ抽出!$K$2:$K$5000) / ((Kintoneデータ抽出!$K$2:$K$5000="企業内")), ROW(A4))))&amp;"年"
&amp;MONTH(INDEX(Kintoneデータ抽出!E:E, _xlfn.AGGREGATE(15, 6, ROW(Kintoneデータ抽出!$K$2:$K$5000) / ((Kintoneデータ抽出!$K$2:$K$5000="企業内")), ROW(A4))))&amp;"月"
&amp;DAY(INDEX(Kintoneデータ抽出!E:E, _xlfn.AGGREGATE(15, 6, ROW(Kintoneデータ抽出!$K$2:$K$5000) /((Kintoneデータ抽出!$K$2:$K$5000="企業内")), ROW(A4))))&amp;"日",""), "")</f>
        <v/>
      </c>
      <c r="K311" s="77" t="str" cm="1">
        <f t="array" ref="K311">IFERROR(IF(INDEX(Kintoneデータ抽出!F:F, _xlfn.AGGREGATE(15, 6, ROW(Kintoneデータ抽出!$K$2:$K$5000) / ((Kintoneデータ抽出!$K$2:$K$5000="企業内")), ROW(A4)))&lt;&gt;"",
VLOOKUP(INDEX(Kintoneデータ抽出!F:F, _xlfn.AGGREGATE(15, 6, ROW(Kintoneデータ抽出!$K$2:$K$5000) / ((Kintoneデータ抽出!$K$2:$K$5000="企業内")), ROW(A4))),基本開園日の表記!$A$2:$B$13,2,FALSE),""), "")</f>
        <v/>
      </c>
      <c r="L311" s="75" t="str">
        <f t="array" ref="L311">IFERROR(IF(INDEX(Kintoneデータ抽出!F:F, _xlfn.AGGREGATE(15, 6, ROW(Kintoneデータ抽出!$K$2:$K$5000) / ((Kintoneデータ抽出!$K$2:$K$5000="企業内")), ROW(A4)))&lt;&gt;"",
IF(COUNTIF(INDEX(Kintoneデータ抽出!F:F, _xlfn.AGGREGATE(15, 6, ROW(Kintoneデータ抽出!$K$2:$K$5000) / ((Kintoneデータ抽出!$K$2:$K$5000="企業内")), ROW(A4))),"*あり*"),"夜間",""),""), "")</f>
        <v/>
      </c>
      <c r="M311" s="75" t="str">
        <f t="array" ref="M311">IFERROR(IF(INDEX(Kintoneデータ抽出!I:I, _xlfn.AGGREGATE(15, 6, ROW(Kintoneデータ抽出!$K$2:$K$5000) / ((Kintoneデータ抽出!$K$2:$K$5000="企業内")), ROW(A4)))&lt;&gt;"",
IF(COUNTIF(INDEX(Kintoneデータ抽出!I:I, _xlfn.AGGREGATE(15, 6, ROW(Kintoneデータ抽出!$K$2:$K$5000) / ((Kintoneデータ抽出!$K$2:$K$5000="企業内")), ROW(A4))),"*あり*"),"学童",""),""), "")</f>
        <v/>
      </c>
      <c r="N311" s="75" t="str">
        <f t="array" ref="N311">IFERROR(IF(INDEX(Kintoneデータ抽出!H:H, _xlfn.AGGREGATE(15, 6, ROW(Kintoneデータ抽出!$K$2:$K$5000) / ((Kintoneデータ抽出!$K$2:$K$5000="企業内")), ROW(A4)))&lt;&gt;"",
IF(COUNTIF(INDEX(Kintoneデータ抽出!H:H, _xlfn.AGGREGATE(15, 6, ROW(Kintoneデータ抽出!$K$2:$K$5000) / ((Kintoneデータ抽出!$K$2:$K$5000="企業内")), ROW(A4))),"*あり*"),"病児",""),""), "")</f>
        <v/>
      </c>
      <c r="O311" s="75" t="str" cm="1">
        <f t="array" ref="O311">IFERROR(
IF(INDEX(Kintoneデータ抽出!M:M, _xlfn.AGGREGATE(15, 6, ROW(Kintoneデータ抽出!$K$2:$K$5000) / ((Kintoneデータ抽出!$K$2:$K$5000="企業内")), ROW(A4)))&lt;&gt;0,INDEX(Kintoneデータ抽出!M:M, _xlfn.AGGREGATE(15, 6, ROW(Kintoneデータ抽出!$K$2:$K$5000) / ((Kintoneデータ抽出!$K$2:$K$5000="企業内")), ROW(A4))),""), "")</f>
        <v/>
      </c>
      <c r="P311" s="78" t="str">
        <f t="array" ref="P311">IFERROR(IF(INDEX(Kintoneデータ抽出!L:L, _xlfn.AGGREGATE(15, 6, ROW(Kintoneデータ抽出!$K$2:$K$5000) / ((Kintoneデータ抽出!$K$2:$K$5000="企業内")), ROW(A4)))&lt;&gt;"",
IF(COUNTIF(INDEX(Kintoneデータ抽出!L:L, _xlfn.AGGREGATE(15, 6, ROW(Kintoneデータ抽出!$K$2:$K$5000) / ((Kintoneデータ抽出!$K$2:$K$5000="企業内")), ROW(A4))),"*企業主導型以外*"),"",
IF(COUNTIF(INDEX(Kintoneデータ抽出!L:L, _xlfn.AGGREGATE(15, 6, ROW(Kintoneデータ抽出!$K$2:$K$5000) / ((Kintoneデータ抽出!$K$2:$K$5000="企業内")), ROW(A4))),"*その他*"),"",
IF(COUNTIF(INDEX(Kintoneデータ抽出!L:L, _xlfn.AGGREGATE(15, 6, ROW(Kintoneデータ抽出!$K$2:$K$5000) / ((Kintoneデータ抽出!$K$2:$K$5000="企業内")), ROW(A4))),"*新制度*"),"新制度","企業主導型"))),""), "")</f>
        <v/>
      </c>
    </row>
    <row r="312" spans="2:16" ht="34.799999999999997" customHeight="1" x14ac:dyDescent="0.45">
      <c r="B312" s="45"/>
      <c r="C312" s="46"/>
      <c r="D312" s="98" t="str">
        <f t="shared" si="6"/>
        <v/>
      </c>
      <c r="E312" s="99"/>
      <c r="F312" s="89" t="str">
        <f t="array" ref="F312">IFERROR(INDEX(Kintoneデータ抽出!A:A, _xlfn.AGGREGATE(15, 6, ROW(Kintoneデータ抽出!$K$2:$K$5000) / ((Kintoneデータ抽出!$K$2:$K$5000="企業内")), ROW(A5))), "")</f>
        <v/>
      </c>
      <c r="G312" s="90" t="str">
        <f t="array" ref="G312">IFERROR(INDEX(Kintoneデータ抽出!D:D,_xlfn.AGGREGATE(15,6,ROW(Kintoneデータ抽出!$K$2:$K$5000)/((Kintoneデータ抽出!$K$2:$K$5000="企業内")),ROW(A5))),"")</f>
        <v/>
      </c>
      <c r="H312" s="89" t="str">
        <f t="array" ref="H312">IFERROR(INDEX(Kintoneデータ抽出!C:C, _xlfn.AGGREGATE(15, 6, ROW(Kintoneデータ抽出!$K$2:$K$5000) / ((Kintoneデータ抽出!$K$2:$K$5000="企業内")), ROW(A5))), "")</f>
        <v/>
      </c>
      <c r="I312" s="75" t="str">
        <f t="array" ref="I312">IFERROR(IF(INDEX(Kintoneデータ抽出!G:G, _xlfn.AGGREGATE(15, 6, ROW(Kintoneデータ抽出!$K$2:$K$5000) / ((Kintoneデータ抽出!$K$2:$K$5000="企業内")), ROW(A5)))&lt;&gt;"",INDEX(Kintoneデータ抽出!G:G, _xlfn.AGGREGATE(15, 6, ROW(Kintoneデータ抽出!$K$2:$K$5000) / ((Kintoneデータ抽出!$K$2:$K$5000="企業内")), ROW(A5)))&amp;"名",""), "")</f>
        <v/>
      </c>
      <c r="J312" s="76" t="str">
        <f t="array" ref="J312">IFERROR(IF(INDEX(Kintoneデータ抽出!E:E, _xlfn.AGGREGATE(15, 6, ROW(Kintoneデータ抽出!$K$2:$K$5000) / ((Kintoneデータ抽出!$K$2:$K$5000="企業内")), ROW(A5)))&lt;&gt;"",
YEAR(INDEX(Kintoneデータ抽出!E:E, _xlfn.AGGREGATE(15, 6, ROW(Kintoneデータ抽出!$K$2:$K$5000) / ((Kintoneデータ抽出!$K$2:$K$5000="企業内")), ROW(A5))))&amp;"年"
&amp;MONTH(INDEX(Kintoneデータ抽出!E:E, _xlfn.AGGREGATE(15, 6, ROW(Kintoneデータ抽出!$K$2:$K$5000) / ((Kintoneデータ抽出!$K$2:$K$5000="企業内")), ROW(A5))))&amp;"月"
&amp;DAY(INDEX(Kintoneデータ抽出!E:E, _xlfn.AGGREGATE(15, 6, ROW(Kintoneデータ抽出!$K$2:$K$5000) /((Kintoneデータ抽出!$K$2:$K$5000="企業内")), ROW(A5))))&amp;"日",""), "")</f>
        <v/>
      </c>
      <c r="K312" s="77" t="str" cm="1">
        <f t="array" ref="K312">IFERROR(IF(INDEX(Kintoneデータ抽出!F:F, _xlfn.AGGREGATE(15, 6, ROW(Kintoneデータ抽出!$K$2:$K$5000) / ((Kintoneデータ抽出!$K$2:$K$5000="企業内")), ROW(A5)))&lt;&gt;"",
VLOOKUP(INDEX(Kintoneデータ抽出!F:F, _xlfn.AGGREGATE(15, 6, ROW(Kintoneデータ抽出!$K$2:$K$5000) / ((Kintoneデータ抽出!$K$2:$K$5000="企業内")), ROW(A5))),基本開園日の表記!$A$2:$B$13,2,FALSE),""), "")</f>
        <v/>
      </c>
      <c r="L312" s="75" t="str">
        <f t="array" ref="L312">IFERROR(IF(INDEX(Kintoneデータ抽出!F:F, _xlfn.AGGREGATE(15, 6, ROW(Kintoneデータ抽出!$K$2:$K$5000) / ((Kintoneデータ抽出!$K$2:$K$5000="企業内")), ROW(A5)))&lt;&gt;"",
IF(COUNTIF(INDEX(Kintoneデータ抽出!F:F, _xlfn.AGGREGATE(15, 6, ROW(Kintoneデータ抽出!$K$2:$K$5000) / ((Kintoneデータ抽出!$K$2:$K$5000="企業内")), ROW(A5))),"*あり*"),"夜間",""),""), "")</f>
        <v/>
      </c>
      <c r="M312" s="75" t="str">
        <f t="array" ref="M312">IFERROR(IF(INDEX(Kintoneデータ抽出!I:I, _xlfn.AGGREGATE(15, 6, ROW(Kintoneデータ抽出!$K$2:$K$5000) / ((Kintoneデータ抽出!$K$2:$K$5000="企業内")), ROW(A5)))&lt;&gt;"",
IF(COUNTIF(INDEX(Kintoneデータ抽出!I:I, _xlfn.AGGREGATE(15, 6, ROW(Kintoneデータ抽出!$K$2:$K$5000) / ((Kintoneデータ抽出!$K$2:$K$5000="企業内")), ROW(A5))),"*あり*"),"学童",""),""), "")</f>
        <v/>
      </c>
      <c r="N312" s="75" t="str">
        <f t="array" ref="N312">IFERROR(IF(INDEX(Kintoneデータ抽出!H:H, _xlfn.AGGREGATE(15, 6, ROW(Kintoneデータ抽出!$K$2:$K$5000) / ((Kintoneデータ抽出!$K$2:$K$5000="企業内")), ROW(A5)))&lt;&gt;"",
IF(COUNTIF(INDEX(Kintoneデータ抽出!H:H, _xlfn.AGGREGATE(15, 6, ROW(Kintoneデータ抽出!$K$2:$K$5000) / ((Kintoneデータ抽出!$K$2:$K$5000="企業内")), ROW(A5))),"*あり*"),"病児",""),""), "")</f>
        <v/>
      </c>
      <c r="O312" s="75" t="str" cm="1">
        <f t="array" ref="O312">IFERROR(
IF(INDEX(Kintoneデータ抽出!M:M, _xlfn.AGGREGATE(15, 6, ROW(Kintoneデータ抽出!$K$2:$K$5000) / ((Kintoneデータ抽出!$K$2:$K$5000="企業内")), ROW(A5)))&lt;&gt;0,INDEX(Kintoneデータ抽出!M:M, _xlfn.AGGREGATE(15, 6, ROW(Kintoneデータ抽出!$K$2:$K$5000) / ((Kintoneデータ抽出!$K$2:$K$5000="企業内")), ROW(A5))),""), "")</f>
        <v/>
      </c>
      <c r="P312" s="78" t="str">
        <f t="array" ref="P312">IFERROR(IF(INDEX(Kintoneデータ抽出!L:L, _xlfn.AGGREGATE(15, 6, ROW(Kintoneデータ抽出!$K$2:$K$5000) / ((Kintoneデータ抽出!$K$2:$K$5000="企業内")), ROW(A5)))&lt;&gt;"",
IF(COUNTIF(INDEX(Kintoneデータ抽出!L:L, _xlfn.AGGREGATE(15, 6, ROW(Kintoneデータ抽出!$K$2:$K$5000) / ((Kintoneデータ抽出!$K$2:$K$5000="企業内")), ROW(A5))),"*企業主導型以外*"),"",
IF(COUNTIF(INDEX(Kintoneデータ抽出!L:L, _xlfn.AGGREGATE(15, 6, ROW(Kintoneデータ抽出!$K$2:$K$5000) / ((Kintoneデータ抽出!$K$2:$K$5000="企業内")), ROW(A5))),"*その他*"),"",
IF(COUNTIF(INDEX(Kintoneデータ抽出!L:L, _xlfn.AGGREGATE(15, 6, ROW(Kintoneデータ抽出!$K$2:$K$5000) / ((Kintoneデータ抽出!$K$2:$K$5000="企業内")), ROW(A5))),"*新制度*"),"新制度","企業主導型"))),""), "")</f>
        <v/>
      </c>
    </row>
    <row r="313" spans="2:16" ht="34.799999999999997" customHeight="1" x14ac:dyDescent="0.45">
      <c r="B313" s="45"/>
      <c r="C313" s="46"/>
      <c r="D313" s="98" t="str">
        <f t="shared" si="6"/>
        <v/>
      </c>
      <c r="E313" s="99"/>
      <c r="F313" s="89" t="str">
        <f t="array" ref="F313">IFERROR(INDEX(Kintoneデータ抽出!A:A, _xlfn.AGGREGATE(15, 6, ROW(Kintoneデータ抽出!$K$2:$K$5000) / ((Kintoneデータ抽出!$K$2:$K$5000="企業内")), ROW(A6))), "")</f>
        <v/>
      </c>
      <c r="G313" s="90" t="str">
        <f t="array" ref="G313">IFERROR(INDEX(Kintoneデータ抽出!D:D,_xlfn.AGGREGATE(15,6,ROW(Kintoneデータ抽出!$K$2:$K$5000)/((Kintoneデータ抽出!$K$2:$K$5000="企業内")),ROW(A6))),"")</f>
        <v/>
      </c>
      <c r="H313" s="89" t="str">
        <f t="array" ref="H313">IFERROR(INDEX(Kintoneデータ抽出!C:C, _xlfn.AGGREGATE(15, 6, ROW(Kintoneデータ抽出!$K$2:$K$5000) / ((Kintoneデータ抽出!$K$2:$K$5000="企業内")), ROW(A6))), "")</f>
        <v/>
      </c>
      <c r="I313" s="75" t="str">
        <f t="array" ref="I313">IFERROR(IF(INDEX(Kintoneデータ抽出!G:G, _xlfn.AGGREGATE(15, 6, ROW(Kintoneデータ抽出!$K$2:$K$5000) / ((Kintoneデータ抽出!$K$2:$K$5000="企業内")), ROW(A6)))&lt;&gt;"",INDEX(Kintoneデータ抽出!G:G, _xlfn.AGGREGATE(15, 6, ROW(Kintoneデータ抽出!$K$2:$K$5000) / ((Kintoneデータ抽出!$K$2:$K$5000="企業内")), ROW(A6)))&amp;"名",""), "")</f>
        <v/>
      </c>
      <c r="J313" s="76" t="str">
        <f t="array" ref="J313">IFERROR(IF(INDEX(Kintoneデータ抽出!E:E, _xlfn.AGGREGATE(15, 6, ROW(Kintoneデータ抽出!$K$2:$K$5000) / ((Kintoneデータ抽出!$K$2:$K$5000="企業内")), ROW(A6)))&lt;&gt;"",
YEAR(INDEX(Kintoneデータ抽出!E:E, _xlfn.AGGREGATE(15, 6, ROW(Kintoneデータ抽出!$K$2:$K$5000) / ((Kintoneデータ抽出!$K$2:$K$5000="企業内")), ROW(A6))))&amp;"年"
&amp;MONTH(INDEX(Kintoneデータ抽出!E:E, _xlfn.AGGREGATE(15, 6, ROW(Kintoneデータ抽出!$K$2:$K$5000) / ((Kintoneデータ抽出!$K$2:$K$5000="企業内")), ROW(A6))))&amp;"月"
&amp;DAY(INDEX(Kintoneデータ抽出!E:E, _xlfn.AGGREGATE(15, 6, ROW(Kintoneデータ抽出!$K$2:$K$5000) /((Kintoneデータ抽出!$K$2:$K$5000="企業内")), ROW(A6))))&amp;"日",""), "")</f>
        <v/>
      </c>
      <c r="K313" s="77" t="str" cm="1">
        <f t="array" ref="K313">IFERROR(IF(INDEX(Kintoneデータ抽出!F:F, _xlfn.AGGREGATE(15, 6, ROW(Kintoneデータ抽出!$K$2:$K$5000) / ((Kintoneデータ抽出!$K$2:$K$5000="企業内")), ROW(A6)))&lt;&gt;"",
VLOOKUP(INDEX(Kintoneデータ抽出!F:F, _xlfn.AGGREGATE(15, 6, ROW(Kintoneデータ抽出!$K$2:$K$5000) / ((Kintoneデータ抽出!$K$2:$K$5000="企業内")), ROW(A6))),基本開園日の表記!$A$2:$B$13,2,FALSE),""), "")</f>
        <v/>
      </c>
      <c r="L313" s="75" t="str">
        <f t="array" ref="L313">IFERROR(IF(INDEX(Kintoneデータ抽出!F:F, _xlfn.AGGREGATE(15, 6, ROW(Kintoneデータ抽出!$K$2:$K$5000) / ((Kintoneデータ抽出!$K$2:$K$5000="企業内")), ROW(A6)))&lt;&gt;"",
IF(COUNTIF(INDEX(Kintoneデータ抽出!F:F, _xlfn.AGGREGATE(15, 6, ROW(Kintoneデータ抽出!$K$2:$K$5000) / ((Kintoneデータ抽出!$K$2:$K$5000="企業内")), ROW(A6))),"*あり*"),"夜間",""),""), "")</f>
        <v/>
      </c>
      <c r="M313" s="75" t="str">
        <f t="array" ref="M313">IFERROR(IF(INDEX(Kintoneデータ抽出!I:I, _xlfn.AGGREGATE(15, 6, ROW(Kintoneデータ抽出!$K$2:$K$5000) / ((Kintoneデータ抽出!$K$2:$K$5000="企業内")), ROW(A6)))&lt;&gt;"",
IF(COUNTIF(INDEX(Kintoneデータ抽出!I:I, _xlfn.AGGREGATE(15, 6, ROW(Kintoneデータ抽出!$K$2:$K$5000) / ((Kintoneデータ抽出!$K$2:$K$5000="企業内")), ROW(A6))),"*あり*"),"学童",""),""), "")</f>
        <v/>
      </c>
      <c r="N313" s="75" t="str">
        <f t="array" ref="N313">IFERROR(IF(INDEX(Kintoneデータ抽出!H:H, _xlfn.AGGREGATE(15, 6, ROW(Kintoneデータ抽出!$K$2:$K$5000) / ((Kintoneデータ抽出!$K$2:$K$5000="企業内")), ROW(A6)))&lt;&gt;"",
IF(COUNTIF(INDEX(Kintoneデータ抽出!H:H, _xlfn.AGGREGATE(15, 6, ROW(Kintoneデータ抽出!$K$2:$K$5000) / ((Kintoneデータ抽出!$K$2:$K$5000="企業内")), ROW(A6))),"*あり*"),"病児",""),""), "")</f>
        <v/>
      </c>
      <c r="O313" s="75" t="str" cm="1">
        <f t="array" ref="O313">IFERROR(
IF(INDEX(Kintoneデータ抽出!M:M, _xlfn.AGGREGATE(15, 6, ROW(Kintoneデータ抽出!$K$2:$K$5000) / ((Kintoneデータ抽出!$K$2:$K$5000="企業内")), ROW(A6)))&lt;&gt;0,INDEX(Kintoneデータ抽出!M:M, _xlfn.AGGREGATE(15, 6, ROW(Kintoneデータ抽出!$K$2:$K$5000) / ((Kintoneデータ抽出!$K$2:$K$5000="企業内")), ROW(A6))),""), "")</f>
        <v/>
      </c>
      <c r="P313" s="78" t="str">
        <f t="array" ref="P313">IFERROR(IF(INDEX(Kintoneデータ抽出!L:L, _xlfn.AGGREGATE(15, 6, ROW(Kintoneデータ抽出!$K$2:$K$5000) / ((Kintoneデータ抽出!$K$2:$K$5000="企業内")), ROW(A6)))&lt;&gt;"",
IF(COUNTIF(INDEX(Kintoneデータ抽出!L:L, _xlfn.AGGREGATE(15, 6, ROW(Kintoneデータ抽出!$K$2:$K$5000) / ((Kintoneデータ抽出!$K$2:$K$5000="企業内")), ROW(A6))),"*企業主導型以外*"),"",
IF(COUNTIF(INDEX(Kintoneデータ抽出!L:L, _xlfn.AGGREGATE(15, 6, ROW(Kintoneデータ抽出!$K$2:$K$5000) / ((Kintoneデータ抽出!$K$2:$K$5000="企業内")), ROW(A6))),"*その他*"),"",
IF(COUNTIF(INDEX(Kintoneデータ抽出!L:L, _xlfn.AGGREGATE(15, 6, ROW(Kintoneデータ抽出!$K$2:$K$5000) / ((Kintoneデータ抽出!$K$2:$K$5000="企業内")), ROW(A6))),"*新制度*"),"新制度","企業主導型"))),""), "")</f>
        <v/>
      </c>
    </row>
    <row r="314" spans="2:16" ht="34.799999999999997" customHeight="1" x14ac:dyDescent="0.45">
      <c r="B314" s="45"/>
      <c r="C314" s="46"/>
      <c r="D314" s="98" t="str">
        <f t="shared" si="6"/>
        <v/>
      </c>
      <c r="E314" s="99"/>
      <c r="F314" s="89" t="str">
        <f t="array" ref="F314">IFERROR(INDEX(Kintoneデータ抽出!A:A, _xlfn.AGGREGATE(15, 6, ROW(Kintoneデータ抽出!$K$2:$K$5000) / ((Kintoneデータ抽出!$K$2:$K$5000="企業内")), ROW(A7))), "")</f>
        <v/>
      </c>
      <c r="G314" s="90" t="str">
        <f t="array" ref="G314">IFERROR(INDEX(Kintoneデータ抽出!D:D,_xlfn.AGGREGATE(15,6,ROW(Kintoneデータ抽出!$K$2:$K$5000)/((Kintoneデータ抽出!$K$2:$K$5000="企業内")),ROW(A7))),"")</f>
        <v/>
      </c>
      <c r="H314" s="89" t="str">
        <f t="array" ref="H314">IFERROR(INDEX(Kintoneデータ抽出!C:C, _xlfn.AGGREGATE(15, 6, ROW(Kintoneデータ抽出!$K$2:$K$5000) / ((Kintoneデータ抽出!$K$2:$K$5000="企業内")), ROW(A7))), "")</f>
        <v/>
      </c>
      <c r="I314" s="75" t="str">
        <f t="array" ref="I314">IFERROR(IF(INDEX(Kintoneデータ抽出!G:G, _xlfn.AGGREGATE(15, 6, ROW(Kintoneデータ抽出!$K$2:$K$5000) / ((Kintoneデータ抽出!$K$2:$K$5000="企業内")), ROW(A7)))&lt;&gt;"",INDEX(Kintoneデータ抽出!G:G, _xlfn.AGGREGATE(15, 6, ROW(Kintoneデータ抽出!$K$2:$K$5000) / ((Kintoneデータ抽出!$K$2:$K$5000="企業内")), ROW(A7)))&amp;"名",""), "")</f>
        <v/>
      </c>
      <c r="J314" s="76" t="str">
        <f t="array" ref="J314">IFERROR(IF(INDEX(Kintoneデータ抽出!E:E, _xlfn.AGGREGATE(15, 6, ROW(Kintoneデータ抽出!$K$2:$K$5000) / ((Kintoneデータ抽出!$K$2:$K$5000="企業内")), ROW(A7)))&lt;&gt;"",
YEAR(INDEX(Kintoneデータ抽出!E:E, _xlfn.AGGREGATE(15, 6, ROW(Kintoneデータ抽出!$K$2:$K$5000) / ((Kintoneデータ抽出!$K$2:$K$5000="企業内")), ROW(A7))))&amp;"年"
&amp;MONTH(INDEX(Kintoneデータ抽出!E:E, _xlfn.AGGREGATE(15, 6, ROW(Kintoneデータ抽出!$K$2:$K$5000) / ((Kintoneデータ抽出!$K$2:$K$5000="企業内")), ROW(A7))))&amp;"月"
&amp;DAY(INDEX(Kintoneデータ抽出!E:E, _xlfn.AGGREGATE(15, 6, ROW(Kintoneデータ抽出!$K$2:$K$5000) /((Kintoneデータ抽出!$K$2:$K$5000="企業内")), ROW(A7))))&amp;"日",""), "")</f>
        <v/>
      </c>
      <c r="K314" s="77" t="str" cm="1">
        <f t="array" ref="K314">IFERROR(IF(INDEX(Kintoneデータ抽出!F:F, _xlfn.AGGREGATE(15, 6, ROW(Kintoneデータ抽出!$K$2:$K$5000) / ((Kintoneデータ抽出!$K$2:$K$5000="企業内")), ROW(A7)))&lt;&gt;"",
VLOOKUP(INDEX(Kintoneデータ抽出!F:F, _xlfn.AGGREGATE(15, 6, ROW(Kintoneデータ抽出!$K$2:$K$5000) / ((Kintoneデータ抽出!$K$2:$K$5000="企業内")), ROW(A7))),基本開園日の表記!$A$2:$B$13,2,FALSE),""), "")</f>
        <v/>
      </c>
      <c r="L314" s="75" t="str">
        <f t="array" ref="L314">IFERROR(IF(INDEX(Kintoneデータ抽出!F:F, _xlfn.AGGREGATE(15, 6, ROW(Kintoneデータ抽出!$K$2:$K$5000) / ((Kintoneデータ抽出!$K$2:$K$5000="企業内")), ROW(A7)))&lt;&gt;"",
IF(COUNTIF(INDEX(Kintoneデータ抽出!F:F, _xlfn.AGGREGATE(15, 6, ROW(Kintoneデータ抽出!$K$2:$K$5000) / ((Kintoneデータ抽出!$K$2:$K$5000="企業内")), ROW(A7))),"*あり*"),"夜間",""),""), "")</f>
        <v/>
      </c>
      <c r="M314" s="75" t="str">
        <f t="array" ref="M314">IFERROR(IF(INDEX(Kintoneデータ抽出!I:I, _xlfn.AGGREGATE(15, 6, ROW(Kintoneデータ抽出!$K$2:$K$5000) / ((Kintoneデータ抽出!$K$2:$K$5000="企業内")), ROW(A7)))&lt;&gt;"",
IF(COUNTIF(INDEX(Kintoneデータ抽出!I:I, _xlfn.AGGREGATE(15, 6, ROW(Kintoneデータ抽出!$K$2:$K$5000) / ((Kintoneデータ抽出!$K$2:$K$5000="企業内")), ROW(A7))),"*あり*"),"学童",""),""), "")</f>
        <v/>
      </c>
      <c r="N314" s="75" t="str">
        <f t="array" ref="N314">IFERROR(IF(INDEX(Kintoneデータ抽出!H:H, _xlfn.AGGREGATE(15, 6, ROW(Kintoneデータ抽出!$K$2:$K$5000) / ((Kintoneデータ抽出!$K$2:$K$5000="企業内")), ROW(A7)))&lt;&gt;"",
IF(COUNTIF(INDEX(Kintoneデータ抽出!H:H, _xlfn.AGGREGATE(15, 6, ROW(Kintoneデータ抽出!$K$2:$K$5000) / ((Kintoneデータ抽出!$K$2:$K$5000="企業内")), ROW(A7))),"*あり*"),"病児",""),""), "")</f>
        <v/>
      </c>
      <c r="O314" s="75" t="str" cm="1">
        <f t="array" ref="O314">IFERROR(
IF(INDEX(Kintoneデータ抽出!M:M, _xlfn.AGGREGATE(15, 6, ROW(Kintoneデータ抽出!$K$2:$K$5000) / ((Kintoneデータ抽出!$K$2:$K$5000="企業内")), ROW(A7)))&lt;&gt;0,INDEX(Kintoneデータ抽出!M:M, _xlfn.AGGREGATE(15, 6, ROW(Kintoneデータ抽出!$K$2:$K$5000) / ((Kintoneデータ抽出!$K$2:$K$5000="企業内")), ROW(A7))),""), "")</f>
        <v/>
      </c>
      <c r="P314" s="78" t="str">
        <f t="array" ref="P314">IFERROR(IF(INDEX(Kintoneデータ抽出!L:L, _xlfn.AGGREGATE(15, 6, ROW(Kintoneデータ抽出!$K$2:$K$5000) / ((Kintoneデータ抽出!$K$2:$K$5000="企業内")), ROW(A7)))&lt;&gt;"",
IF(COUNTIF(INDEX(Kintoneデータ抽出!L:L, _xlfn.AGGREGATE(15, 6, ROW(Kintoneデータ抽出!$K$2:$K$5000) / ((Kintoneデータ抽出!$K$2:$K$5000="企業内")), ROW(A7))),"*企業主導型以外*"),"",
IF(COUNTIF(INDEX(Kintoneデータ抽出!L:L, _xlfn.AGGREGATE(15, 6, ROW(Kintoneデータ抽出!$K$2:$K$5000) / ((Kintoneデータ抽出!$K$2:$K$5000="企業内")), ROW(A7))),"*その他*"),"",
IF(COUNTIF(INDEX(Kintoneデータ抽出!L:L, _xlfn.AGGREGATE(15, 6, ROW(Kintoneデータ抽出!$K$2:$K$5000) / ((Kintoneデータ抽出!$K$2:$K$5000="企業内")), ROW(A7))),"*新制度*"),"新制度","企業主導型"))),""), "")</f>
        <v/>
      </c>
    </row>
    <row r="315" spans="2:16" ht="34.799999999999997" customHeight="1" x14ac:dyDescent="0.45">
      <c r="B315" s="45"/>
      <c r="C315" s="46"/>
      <c r="D315" s="98" t="str">
        <f t="shared" si="6"/>
        <v/>
      </c>
      <c r="E315" s="99"/>
      <c r="F315" s="89" t="str">
        <f t="array" ref="F315">IFERROR(INDEX(Kintoneデータ抽出!A:A, _xlfn.AGGREGATE(15, 6, ROW(Kintoneデータ抽出!$K$2:$K$5000) / ((Kintoneデータ抽出!$K$2:$K$5000="企業内")), ROW(A8))), "")</f>
        <v/>
      </c>
      <c r="G315" s="90" t="str">
        <f t="array" ref="G315">IFERROR(INDEX(Kintoneデータ抽出!D:D,_xlfn.AGGREGATE(15,6,ROW(Kintoneデータ抽出!$K$2:$K$5000)/((Kintoneデータ抽出!$K$2:$K$5000="企業内")),ROW(A8))),"")</f>
        <v/>
      </c>
      <c r="H315" s="89" t="str">
        <f t="array" ref="H315">IFERROR(INDEX(Kintoneデータ抽出!C:C, _xlfn.AGGREGATE(15, 6, ROW(Kintoneデータ抽出!$K$2:$K$5000) / ((Kintoneデータ抽出!$K$2:$K$5000="企業内")), ROW(A8))), "")</f>
        <v/>
      </c>
      <c r="I315" s="75" t="str">
        <f t="array" ref="I315">IFERROR(IF(INDEX(Kintoneデータ抽出!G:G, _xlfn.AGGREGATE(15, 6, ROW(Kintoneデータ抽出!$K$2:$K$5000) / ((Kintoneデータ抽出!$K$2:$K$5000="企業内")), ROW(A8)))&lt;&gt;"",INDEX(Kintoneデータ抽出!G:G, _xlfn.AGGREGATE(15, 6, ROW(Kintoneデータ抽出!$K$2:$K$5000) / ((Kintoneデータ抽出!$K$2:$K$5000="企業内")), ROW(A8)))&amp;"名",""), "")</f>
        <v/>
      </c>
      <c r="J315" s="76" t="str">
        <f t="array" ref="J315">IFERROR(IF(INDEX(Kintoneデータ抽出!E:E, _xlfn.AGGREGATE(15, 6, ROW(Kintoneデータ抽出!$K$2:$K$5000) / ((Kintoneデータ抽出!$K$2:$K$5000="企業内")), ROW(A8)))&lt;&gt;"",
YEAR(INDEX(Kintoneデータ抽出!E:E, _xlfn.AGGREGATE(15, 6, ROW(Kintoneデータ抽出!$K$2:$K$5000) / ((Kintoneデータ抽出!$K$2:$K$5000="企業内")), ROW(A8))))&amp;"年"
&amp;MONTH(INDEX(Kintoneデータ抽出!E:E, _xlfn.AGGREGATE(15, 6, ROW(Kintoneデータ抽出!$K$2:$K$5000) / ((Kintoneデータ抽出!$K$2:$K$5000="企業内")), ROW(A8))))&amp;"月"
&amp;DAY(INDEX(Kintoneデータ抽出!E:E, _xlfn.AGGREGATE(15, 6, ROW(Kintoneデータ抽出!$K$2:$K$5000) /((Kintoneデータ抽出!$K$2:$K$5000="企業内")), ROW(A8))))&amp;"日",""), "")</f>
        <v/>
      </c>
      <c r="K315" s="77" t="str" cm="1">
        <f t="array" ref="K315">IFERROR(IF(INDEX(Kintoneデータ抽出!F:F, _xlfn.AGGREGATE(15, 6, ROW(Kintoneデータ抽出!$K$2:$K$5000) / ((Kintoneデータ抽出!$K$2:$K$5000="企業内")), ROW(A8)))&lt;&gt;"",
VLOOKUP(INDEX(Kintoneデータ抽出!F:F, _xlfn.AGGREGATE(15, 6, ROW(Kintoneデータ抽出!$K$2:$K$5000) / ((Kintoneデータ抽出!$K$2:$K$5000="企業内")), ROW(A8))),基本開園日の表記!$A$2:$B$13,2,FALSE),""), "")</f>
        <v/>
      </c>
      <c r="L315" s="75" t="str">
        <f t="array" ref="L315">IFERROR(IF(INDEX(Kintoneデータ抽出!F:F, _xlfn.AGGREGATE(15, 6, ROW(Kintoneデータ抽出!$K$2:$K$5000) / ((Kintoneデータ抽出!$K$2:$K$5000="企業内")), ROW(A8)))&lt;&gt;"",
IF(COUNTIF(INDEX(Kintoneデータ抽出!F:F, _xlfn.AGGREGATE(15, 6, ROW(Kintoneデータ抽出!$K$2:$K$5000) / ((Kintoneデータ抽出!$K$2:$K$5000="企業内")), ROW(A8))),"*あり*"),"夜間",""),""), "")</f>
        <v/>
      </c>
      <c r="M315" s="75" t="str">
        <f t="array" ref="M315">IFERROR(IF(INDEX(Kintoneデータ抽出!I:I, _xlfn.AGGREGATE(15, 6, ROW(Kintoneデータ抽出!$K$2:$K$5000) / ((Kintoneデータ抽出!$K$2:$K$5000="企業内")), ROW(A8)))&lt;&gt;"",
IF(COUNTIF(INDEX(Kintoneデータ抽出!I:I, _xlfn.AGGREGATE(15, 6, ROW(Kintoneデータ抽出!$K$2:$K$5000) / ((Kintoneデータ抽出!$K$2:$K$5000="企業内")), ROW(A8))),"*あり*"),"学童",""),""), "")</f>
        <v/>
      </c>
      <c r="N315" s="75" t="str">
        <f t="array" ref="N315">IFERROR(IF(INDEX(Kintoneデータ抽出!H:H, _xlfn.AGGREGATE(15, 6, ROW(Kintoneデータ抽出!$K$2:$K$5000) / ((Kintoneデータ抽出!$K$2:$K$5000="企業内")), ROW(A8)))&lt;&gt;"",
IF(COUNTIF(INDEX(Kintoneデータ抽出!H:H, _xlfn.AGGREGATE(15, 6, ROW(Kintoneデータ抽出!$K$2:$K$5000) / ((Kintoneデータ抽出!$K$2:$K$5000="企業内")), ROW(A8))),"*あり*"),"病児",""),""), "")</f>
        <v/>
      </c>
      <c r="O315" s="75" t="str" cm="1">
        <f t="array" ref="O315">IFERROR(
IF(INDEX(Kintoneデータ抽出!M:M, _xlfn.AGGREGATE(15, 6, ROW(Kintoneデータ抽出!$K$2:$K$5000) / ((Kintoneデータ抽出!$K$2:$K$5000="企業内")), ROW(A8)))&lt;&gt;0,INDEX(Kintoneデータ抽出!M:M, _xlfn.AGGREGATE(15, 6, ROW(Kintoneデータ抽出!$K$2:$K$5000) / ((Kintoneデータ抽出!$K$2:$K$5000="企業内")), ROW(A8))),""), "")</f>
        <v/>
      </c>
      <c r="P315" s="78" t="str">
        <f t="array" ref="P315">IFERROR(IF(INDEX(Kintoneデータ抽出!L:L, _xlfn.AGGREGATE(15, 6, ROW(Kintoneデータ抽出!$K$2:$K$5000) / ((Kintoneデータ抽出!$K$2:$K$5000="企業内")), ROW(A8)))&lt;&gt;"",
IF(COUNTIF(INDEX(Kintoneデータ抽出!L:L, _xlfn.AGGREGATE(15, 6, ROW(Kintoneデータ抽出!$K$2:$K$5000) / ((Kintoneデータ抽出!$K$2:$K$5000="企業内")), ROW(A8))),"*企業主導型以外*"),"",
IF(COUNTIF(INDEX(Kintoneデータ抽出!L:L, _xlfn.AGGREGATE(15, 6, ROW(Kintoneデータ抽出!$K$2:$K$5000) / ((Kintoneデータ抽出!$K$2:$K$5000="企業内")), ROW(A8))),"*その他*"),"",
IF(COUNTIF(INDEX(Kintoneデータ抽出!L:L, _xlfn.AGGREGATE(15, 6, ROW(Kintoneデータ抽出!$K$2:$K$5000) / ((Kintoneデータ抽出!$K$2:$K$5000="企業内")), ROW(A8))),"*新制度*"),"新制度","企業主導型"))),""), "")</f>
        <v/>
      </c>
    </row>
    <row r="316" spans="2:16" ht="34.799999999999997" customHeight="1" x14ac:dyDescent="0.45">
      <c r="B316" s="47"/>
      <c r="C316" s="48"/>
      <c r="D316" s="98" t="str">
        <f t="shared" si="6"/>
        <v/>
      </c>
      <c r="E316" s="99"/>
      <c r="F316" s="89" t="str">
        <f t="array" ref="F316">IFERROR(INDEX(Kintoneデータ抽出!A:A, _xlfn.AGGREGATE(15, 6, ROW(Kintoneデータ抽出!$K$2:$K$5000) / ((Kintoneデータ抽出!$K$2:$K$5000="企業内")), ROW(A9))), "")</f>
        <v/>
      </c>
      <c r="G316" s="90" t="str">
        <f t="array" ref="G316">IFERROR(INDEX(Kintoneデータ抽出!D:D,_xlfn.AGGREGATE(15,6,ROW(Kintoneデータ抽出!$K$2:$K$5000)/((Kintoneデータ抽出!$K$2:$K$5000="企業内")),ROW(A9))),"")</f>
        <v/>
      </c>
      <c r="H316" s="89" t="str">
        <f t="array" ref="H316">IFERROR(INDEX(Kintoneデータ抽出!C:C, _xlfn.AGGREGATE(15, 6, ROW(Kintoneデータ抽出!$K$2:$K$5000) / ((Kintoneデータ抽出!$K$2:$K$5000="企業内")), ROW(A9))), "")</f>
        <v/>
      </c>
      <c r="I316" s="75" t="str">
        <f t="array" ref="I316">IFERROR(IF(INDEX(Kintoneデータ抽出!G:G, _xlfn.AGGREGATE(15, 6, ROW(Kintoneデータ抽出!$K$2:$K$5000) / ((Kintoneデータ抽出!$K$2:$K$5000="企業内")), ROW(A9)))&lt;&gt;"",INDEX(Kintoneデータ抽出!G:G, _xlfn.AGGREGATE(15, 6, ROW(Kintoneデータ抽出!$K$2:$K$5000) / ((Kintoneデータ抽出!$K$2:$K$5000="企業内")), ROW(A9)))&amp;"名",""), "")</f>
        <v/>
      </c>
      <c r="J316" s="76" t="str">
        <f t="array" ref="J316">IFERROR(IF(INDEX(Kintoneデータ抽出!E:E, _xlfn.AGGREGATE(15, 6, ROW(Kintoneデータ抽出!$K$2:$K$5000) / ((Kintoneデータ抽出!$K$2:$K$5000="企業内")), ROW(A9)))&lt;&gt;"",
YEAR(INDEX(Kintoneデータ抽出!E:E, _xlfn.AGGREGATE(15, 6, ROW(Kintoneデータ抽出!$K$2:$K$5000) / ((Kintoneデータ抽出!$K$2:$K$5000="企業内")), ROW(A9))))&amp;"年"
&amp;MONTH(INDEX(Kintoneデータ抽出!E:E, _xlfn.AGGREGATE(15, 6, ROW(Kintoneデータ抽出!$K$2:$K$5000) / ((Kintoneデータ抽出!$K$2:$K$5000="企業内")), ROW(A9))))&amp;"月"
&amp;DAY(INDEX(Kintoneデータ抽出!E:E, _xlfn.AGGREGATE(15, 6, ROW(Kintoneデータ抽出!$K$2:$K$5000) /((Kintoneデータ抽出!$K$2:$K$5000="企業内")), ROW(A9))))&amp;"日",""), "")</f>
        <v/>
      </c>
      <c r="K316" s="77" t="str" cm="1">
        <f t="array" ref="K316">IFERROR(IF(INDEX(Kintoneデータ抽出!F:F, _xlfn.AGGREGATE(15, 6, ROW(Kintoneデータ抽出!$K$2:$K$5000) / ((Kintoneデータ抽出!$K$2:$K$5000="企業内")), ROW(A9)))&lt;&gt;"",
VLOOKUP(INDEX(Kintoneデータ抽出!F:F, _xlfn.AGGREGATE(15, 6, ROW(Kintoneデータ抽出!$K$2:$K$5000) / ((Kintoneデータ抽出!$K$2:$K$5000="企業内")), ROW(A9))),基本開園日の表記!$A$2:$B$13,2,FALSE),""), "")</f>
        <v/>
      </c>
      <c r="L316" s="75" t="str">
        <f t="array" ref="L316">IFERROR(IF(INDEX(Kintoneデータ抽出!F:F, _xlfn.AGGREGATE(15, 6, ROW(Kintoneデータ抽出!$K$2:$K$5000) / ((Kintoneデータ抽出!$K$2:$K$5000="企業内")), ROW(A9)))&lt;&gt;"",
IF(COUNTIF(INDEX(Kintoneデータ抽出!F:F, _xlfn.AGGREGATE(15, 6, ROW(Kintoneデータ抽出!$K$2:$K$5000) / ((Kintoneデータ抽出!$K$2:$K$5000="企業内")), ROW(A9))),"*あり*"),"夜間",""),""), "")</f>
        <v/>
      </c>
      <c r="M316" s="75" t="str">
        <f t="array" ref="M316">IFERROR(IF(INDEX(Kintoneデータ抽出!I:I, _xlfn.AGGREGATE(15, 6, ROW(Kintoneデータ抽出!$K$2:$K$5000) / ((Kintoneデータ抽出!$K$2:$K$5000="企業内")), ROW(A9)))&lt;&gt;"",
IF(COUNTIF(INDEX(Kintoneデータ抽出!I:I, _xlfn.AGGREGATE(15, 6, ROW(Kintoneデータ抽出!$K$2:$K$5000) / ((Kintoneデータ抽出!$K$2:$K$5000="企業内")), ROW(A9))),"*あり*"),"学童",""),""), "")</f>
        <v/>
      </c>
      <c r="N316" s="75" t="str">
        <f t="array" ref="N316">IFERROR(IF(INDEX(Kintoneデータ抽出!H:H, _xlfn.AGGREGATE(15, 6, ROW(Kintoneデータ抽出!$K$2:$K$5000) / ((Kintoneデータ抽出!$K$2:$K$5000="企業内")), ROW(A9)))&lt;&gt;"",
IF(COUNTIF(INDEX(Kintoneデータ抽出!H:H, _xlfn.AGGREGATE(15, 6, ROW(Kintoneデータ抽出!$K$2:$K$5000) / ((Kintoneデータ抽出!$K$2:$K$5000="企業内")), ROW(A9))),"*あり*"),"病児",""),""), "")</f>
        <v/>
      </c>
      <c r="O316" s="75" t="str" cm="1">
        <f t="array" ref="O316">IFERROR(
IF(INDEX(Kintoneデータ抽出!M:M, _xlfn.AGGREGATE(15, 6, ROW(Kintoneデータ抽出!$K$2:$K$5000) / ((Kintoneデータ抽出!$K$2:$K$5000="企業内")), ROW(A9)))&lt;&gt;0,INDEX(Kintoneデータ抽出!M:M, _xlfn.AGGREGATE(15, 6, ROW(Kintoneデータ抽出!$K$2:$K$5000) / ((Kintoneデータ抽出!$K$2:$K$5000="企業内")), ROW(A9))),""), "")</f>
        <v/>
      </c>
      <c r="P316" s="78" t="str">
        <f t="array" ref="P316">IFERROR(IF(INDEX(Kintoneデータ抽出!L:L, _xlfn.AGGREGATE(15, 6, ROW(Kintoneデータ抽出!$K$2:$K$5000) / ((Kintoneデータ抽出!$K$2:$K$5000="企業内")), ROW(A9)))&lt;&gt;"",
IF(COUNTIF(INDEX(Kintoneデータ抽出!L:L, _xlfn.AGGREGATE(15, 6, ROW(Kintoneデータ抽出!$K$2:$K$5000) / ((Kintoneデータ抽出!$K$2:$K$5000="企業内")), ROW(A9))),"*企業主導型以外*"),"",
IF(COUNTIF(INDEX(Kintoneデータ抽出!L:L, _xlfn.AGGREGATE(15, 6, ROW(Kintoneデータ抽出!$K$2:$K$5000) / ((Kintoneデータ抽出!$K$2:$K$5000="企業内")), ROW(A9))),"*その他*"),"",
IF(COUNTIF(INDEX(Kintoneデータ抽出!L:L, _xlfn.AGGREGATE(15, 6, ROW(Kintoneデータ抽出!$K$2:$K$5000) / ((Kintoneデータ抽出!$K$2:$K$5000="企業内")), ROW(A9))),"*新制度*"),"新制度","企業主導型"))),""), "")</f>
        <v/>
      </c>
    </row>
    <row r="317" spans="2:16" ht="34.799999999999997" customHeight="1" x14ac:dyDescent="0.45">
      <c r="B317" s="64" t="s">
        <v>37</v>
      </c>
      <c r="C317" s="50"/>
      <c r="D317" s="98" t="str">
        <f t="shared" si="6"/>
        <v/>
      </c>
      <c r="E317" s="99"/>
      <c r="F317" s="89" t="str">
        <f t="array" ref="F317">IFERROR(INDEX(Kintoneデータ抽出!A:A, _xlfn.AGGREGATE(15, 6, ROW(Kintoneデータ抽出!$K$2:$K$5000) / ((Kintoneデータ抽出!$K$2:$K$5000="企業内")), ROW(A10))), "")</f>
        <v/>
      </c>
      <c r="G317" s="90" t="str">
        <f t="array" ref="G317">IFERROR(INDEX(Kintoneデータ抽出!D:D,_xlfn.AGGREGATE(15,6,ROW(Kintoneデータ抽出!$K$2:$K$5000)/((Kintoneデータ抽出!$K$2:$K$5000="企業内")),ROW(A10))),"")</f>
        <v/>
      </c>
      <c r="H317" s="89" t="str">
        <f t="array" ref="H317">IFERROR(INDEX(Kintoneデータ抽出!C:C, _xlfn.AGGREGATE(15, 6, ROW(Kintoneデータ抽出!$K$2:$K$5000) / ((Kintoneデータ抽出!$K$2:$K$5000="企業内")), ROW(A10))), "")</f>
        <v/>
      </c>
      <c r="I317" s="75" t="str">
        <f t="array" ref="I317">IFERROR(IF(INDEX(Kintoneデータ抽出!G:G, _xlfn.AGGREGATE(15, 6, ROW(Kintoneデータ抽出!$K$2:$K$5000) / ((Kintoneデータ抽出!$K$2:$K$5000="企業内")), ROW(A10)))&lt;&gt;"",INDEX(Kintoneデータ抽出!G:G, _xlfn.AGGREGATE(15, 6, ROW(Kintoneデータ抽出!$K$2:$K$5000) / ((Kintoneデータ抽出!$K$2:$K$5000="企業内")), ROW(A10)))&amp;"名",""), "")</f>
        <v/>
      </c>
      <c r="J317" s="76" t="str">
        <f t="array" ref="J317">IFERROR(IF(INDEX(Kintoneデータ抽出!E:E, _xlfn.AGGREGATE(15, 6, ROW(Kintoneデータ抽出!$K$2:$K$5000) / ((Kintoneデータ抽出!$K$2:$K$5000="企業内")), ROW(A10)))&lt;&gt;"",
YEAR(INDEX(Kintoneデータ抽出!E:E, _xlfn.AGGREGATE(15, 6, ROW(Kintoneデータ抽出!$K$2:$K$5000) / ((Kintoneデータ抽出!$K$2:$K$5000="企業内")), ROW(A10))))&amp;"年"
&amp;MONTH(INDEX(Kintoneデータ抽出!E:E, _xlfn.AGGREGATE(15, 6, ROW(Kintoneデータ抽出!$K$2:$K$5000) / ((Kintoneデータ抽出!$K$2:$K$5000="企業内")), ROW(A10))))&amp;"月"
&amp;DAY(INDEX(Kintoneデータ抽出!E:E, _xlfn.AGGREGATE(15, 6, ROW(Kintoneデータ抽出!$K$2:$K$5000) /((Kintoneデータ抽出!$K$2:$K$5000="企業内")), ROW(A10))))&amp;"日",""), "")</f>
        <v/>
      </c>
      <c r="K317" s="77" t="str" cm="1">
        <f t="array" ref="K317">IFERROR(IF(INDEX(Kintoneデータ抽出!F:F, _xlfn.AGGREGATE(15, 6, ROW(Kintoneデータ抽出!$K$2:$K$5000) / ((Kintoneデータ抽出!$K$2:$K$5000="企業内")), ROW(A10)))&lt;&gt;"",
VLOOKUP(INDEX(Kintoneデータ抽出!F:F, _xlfn.AGGREGATE(15, 6, ROW(Kintoneデータ抽出!$K$2:$K$5000) / ((Kintoneデータ抽出!$K$2:$K$5000="企業内")), ROW(A10))),基本開園日の表記!$A$2:$B$13,2,FALSE),""), "")</f>
        <v/>
      </c>
      <c r="L317" s="75" t="str">
        <f t="array" ref="L317">IFERROR(IF(INDEX(Kintoneデータ抽出!F:F, _xlfn.AGGREGATE(15, 6, ROW(Kintoneデータ抽出!$K$2:$K$5000) / ((Kintoneデータ抽出!$K$2:$K$5000="企業内")), ROW(A10)))&lt;&gt;"",
IF(COUNTIF(INDEX(Kintoneデータ抽出!F:F, _xlfn.AGGREGATE(15, 6, ROW(Kintoneデータ抽出!$K$2:$K$5000) / ((Kintoneデータ抽出!$K$2:$K$5000="企業内")), ROW(A10))),"*あり*"),"夜間",""),""), "")</f>
        <v/>
      </c>
      <c r="M317" s="75" t="str">
        <f t="array" ref="M317">IFERROR(IF(INDEX(Kintoneデータ抽出!I:I, _xlfn.AGGREGATE(15, 6, ROW(Kintoneデータ抽出!$K$2:$K$5000) / ((Kintoneデータ抽出!$K$2:$K$5000="企業内")), ROW(A10)))&lt;&gt;"",
IF(COUNTIF(INDEX(Kintoneデータ抽出!I:I, _xlfn.AGGREGATE(15, 6, ROW(Kintoneデータ抽出!$K$2:$K$5000) / ((Kintoneデータ抽出!$K$2:$K$5000="企業内")), ROW(A10))),"*あり*"),"学童",""),""), "")</f>
        <v/>
      </c>
      <c r="N317" s="75" t="str">
        <f t="array" ref="N317">IFERROR(IF(INDEX(Kintoneデータ抽出!H:H, _xlfn.AGGREGATE(15, 6, ROW(Kintoneデータ抽出!$K$2:$K$5000) / ((Kintoneデータ抽出!$K$2:$K$5000="企業内")), ROW(A10)))&lt;&gt;"",
IF(COUNTIF(INDEX(Kintoneデータ抽出!H:H, _xlfn.AGGREGATE(15, 6, ROW(Kintoneデータ抽出!$K$2:$K$5000) / ((Kintoneデータ抽出!$K$2:$K$5000="企業内")), ROW(A10))),"*あり*"),"病児",""),""), "")</f>
        <v/>
      </c>
      <c r="O317" s="75" t="str" cm="1">
        <f t="array" ref="O317">IFERROR(
IF(INDEX(Kintoneデータ抽出!M:M, _xlfn.AGGREGATE(15, 6, ROW(Kintoneデータ抽出!$K$2:$K$5000) / ((Kintoneデータ抽出!$K$2:$K$5000="企業内")), ROW(A10)))&lt;&gt;0,INDEX(Kintoneデータ抽出!M:M, _xlfn.AGGREGATE(15, 6, ROW(Kintoneデータ抽出!$K$2:$K$5000) / ((Kintoneデータ抽出!$K$2:$K$5000="企業内")), ROW(A10))),""), "")</f>
        <v/>
      </c>
      <c r="P317" s="78" t="str">
        <f t="array" ref="P317">IFERROR(IF(INDEX(Kintoneデータ抽出!L:L, _xlfn.AGGREGATE(15, 6, ROW(Kintoneデータ抽出!$K$2:$K$5000) / ((Kintoneデータ抽出!$K$2:$K$5000="企業内")), ROW(A10)))&lt;&gt;"",
IF(COUNTIF(INDEX(Kintoneデータ抽出!L:L, _xlfn.AGGREGATE(15, 6, ROW(Kintoneデータ抽出!$K$2:$K$5000) / ((Kintoneデータ抽出!$K$2:$K$5000="企業内")), ROW(A10))),"*企業主導型以外*"),"",
IF(COUNTIF(INDEX(Kintoneデータ抽出!L:L, _xlfn.AGGREGATE(15, 6, ROW(Kintoneデータ抽出!$K$2:$K$5000) / ((Kintoneデータ抽出!$K$2:$K$5000="企業内")), ROW(A10))),"*その他*"),"",
IF(COUNTIF(INDEX(Kintoneデータ抽出!L:L, _xlfn.AGGREGATE(15, 6, ROW(Kintoneデータ抽出!$K$2:$K$5000) / ((Kintoneデータ抽出!$K$2:$K$5000="企業内")), ROW(A10))),"*新制度*"),"新制度","企業主導型"))),""), "")</f>
        <v/>
      </c>
    </row>
    <row r="318" spans="2:16" ht="34.799999999999997" customHeight="1" x14ac:dyDescent="0.45">
      <c r="B318" s="45"/>
      <c r="C318" s="46"/>
      <c r="D318" s="98" t="str">
        <f t="shared" si="6"/>
        <v/>
      </c>
      <c r="E318" s="99"/>
      <c r="F318" s="89" t="str">
        <f t="array" ref="F318">IFERROR(INDEX(Kintoneデータ抽出!A:A, _xlfn.AGGREGATE(15, 6, ROW(Kintoneデータ抽出!$K$2:$K$5000) / ((Kintoneデータ抽出!$K$2:$K$5000="企業内")), ROW(A11))), "")</f>
        <v/>
      </c>
      <c r="G318" s="90" t="str">
        <f t="array" ref="G318">IFERROR(INDEX(Kintoneデータ抽出!D:D,_xlfn.AGGREGATE(15,6,ROW(Kintoneデータ抽出!$K$2:$K$5000)/((Kintoneデータ抽出!$K$2:$K$5000="企業内")),ROW(A11))),"")</f>
        <v/>
      </c>
      <c r="H318" s="89" t="str">
        <f t="array" ref="H318">IFERROR(INDEX(Kintoneデータ抽出!C:C, _xlfn.AGGREGATE(15, 6, ROW(Kintoneデータ抽出!$K$2:$K$5000) / ((Kintoneデータ抽出!$K$2:$K$5000="企業内")), ROW(A11))), "")</f>
        <v/>
      </c>
      <c r="I318" s="75" t="str">
        <f t="array" ref="I318">IFERROR(IF(INDEX(Kintoneデータ抽出!G:G, _xlfn.AGGREGATE(15, 6, ROW(Kintoneデータ抽出!$K$2:$K$5000) / ((Kintoneデータ抽出!$K$2:$K$5000="企業内")), ROW(A11)))&lt;&gt;"",INDEX(Kintoneデータ抽出!G:G, _xlfn.AGGREGATE(15, 6, ROW(Kintoneデータ抽出!$K$2:$K$5000) / ((Kintoneデータ抽出!$K$2:$K$5000="企業内")), ROW(A11)))&amp;"名",""), "")</f>
        <v/>
      </c>
      <c r="J318" s="76" t="str">
        <f t="array" ref="J318">IFERROR(IF(INDEX(Kintoneデータ抽出!E:E, _xlfn.AGGREGATE(15, 6, ROW(Kintoneデータ抽出!$K$2:$K$5000) / ((Kintoneデータ抽出!$K$2:$K$5000="企業内")), ROW(A11)))&lt;&gt;"",
YEAR(INDEX(Kintoneデータ抽出!E:E, _xlfn.AGGREGATE(15, 6, ROW(Kintoneデータ抽出!$K$2:$K$5000) / ((Kintoneデータ抽出!$K$2:$K$5000="企業内")), ROW(A11))))&amp;"年"
&amp;MONTH(INDEX(Kintoneデータ抽出!E:E, _xlfn.AGGREGATE(15, 6, ROW(Kintoneデータ抽出!$K$2:$K$5000) / ((Kintoneデータ抽出!$K$2:$K$5000="企業内")), ROW(A11))))&amp;"月"
&amp;DAY(INDEX(Kintoneデータ抽出!E:E, _xlfn.AGGREGATE(15, 6, ROW(Kintoneデータ抽出!$K$2:$K$5000) /((Kintoneデータ抽出!$K$2:$K$5000="企業内")), ROW(A11))))&amp;"日",""), "")</f>
        <v/>
      </c>
      <c r="K318" s="77" t="str" cm="1">
        <f t="array" ref="K318">IFERROR(IF(INDEX(Kintoneデータ抽出!F:F, _xlfn.AGGREGATE(15, 6, ROW(Kintoneデータ抽出!$K$2:$K$5000) / ((Kintoneデータ抽出!$K$2:$K$5000="企業内")), ROW(A11)))&lt;&gt;"",
VLOOKUP(INDEX(Kintoneデータ抽出!F:F, _xlfn.AGGREGATE(15, 6, ROW(Kintoneデータ抽出!$K$2:$K$5000) / ((Kintoneデータ抽出!$K$2:$K$5000="企業内")), ROW(A11))),基本開園日の表記!$A$2:$B$13,2,FALSE),""), "")</f>
        <v/>
      </c>
      <c r="L318" s="75" t="str">
        <f t="array" ref="L318">IFERROR(IF(INDEX(Kintoneデータ抽出!F:F, _xlfn.AGGREGATE(15, 6, ROW(Kintoneデータ抽出!$K$2:$K$5000) / ((Kintoneデータ抽出!$K$2:$K$5000="企業内")), ROW(A11)))&lt;&gt;"",
IF(COUNTIF(INDEX(Kintoneデータ抽出!F:F, _xlfn.AGGREGATE(15, 6, ROW(Kintoneデータ抽出!$K$2:$K$5000) / ((Kintoneデータ抽出!$K$2:$K$5000="企業内")), ROW(A11))),"*あり*"),"夜間",""),""), "")</f>
        <v/>
      </c>
      <c r="M318" s="75" t="str">
        <f t="array" ref="M318">IFERROR(IF(INDEX(Kintoneデータ抽出!I:I, _xlfn.AGGREGATE(15, 6, ROW(Kintoneデータ抽出!$K$2:$K$5000) / ((Kintoneデータ抽出!$K$2:$K$5000="企業内")), ROW(A11)))&lt;&gt;"",
IF(COUNTIF(INDEX(Kintoneデータ抽出!I:I, _xlfn.AGGREGATE(15, 6, ROW(Kintoneデータ抽出!$K$2:$K$5000) / ((Kintoneデータ抽出!$K$2:$K$5000="企業内")), ROW(A11))),"*あり*"),"学童",""),""), "")</f>
        <v/>
      </c>
      <c r="N318" s="75" t="str">
        <f t="array" ref="N318">IFERROR(IF(INDEX(Kintoneデータ抽出!H:H, _xlfn.AGGREGATE(15, 6, ROW(Kintoneデータ抽出!$K$2:$K$5000) / ((Kintoneデータ抽出!$K$2:$K$5000="企業内")), ROW(A11)))&lt;&gt;"",
IF(COUNTIF(INDEX(Kintoneデータ抽出!H:H, _xlfn.AGGREGATE(15, 6, ROW(Kintoneデータ抽出!$K$2:$K$5000) / ((Kintoneデータ抽出!$K$2:$K$5000="企業内")), ROW(A11))),"*あり*"),"病児",""),""), "")</f>
        <v/>
      </c>
      <c r="O318" s="75" t="str" cm="1">
        <f t="array" ref="O318">IFERROR(
IF(INDEX(Kintoneデータ抽出!M:M, _xlfn.AGGREGATE(15, 6, ROW(Kintoneデータ抽出!$K$2:$K$5000) / ((Kintoneデータ抽出!$K$2:$K$5000="企業内")), ROW(A11)))&lt;&gt;0,INDEX(Kintoneデータ抽出!M:M, _xlfn.AGGREGATE(15, 6, ROW(Kintoneデータ抽出!$K$2:$K$5000) / ((Kintoneデータ抽出!$K$2:$K$5000="企業内")), ROW(A11))),""), "")</f>
        <v/>
      </c>
      <c r="P318" s="78" t="str">
        <f t="array" ref="P318">IFERROR(IF(INDEX(Kintoneデータ抽出!L:L, _xlfn.AGGREGATE(15, 6, ROW(Kintoneデータ抽出!$K$2:$K$5000) / ((Kintoneデータ抽出!$K$2:$K$5000="企業内")), ROW(A11)))&lt;&gt;"",
IF(COUNTIF(INDEX(Kintoneデータ抽出!L:L, _xlfn.AGGREGATE(15, 6, ROW(Kintoneデータ抽出!$K$2:$K$5000) / ((Kintoneデータ抽出!$K$2:$K$5000="企業内")), ROW(A11))),"*企業主導型以外*"),"",
IF(COUNTIF(INDEX(Kintoneデータ抽出!L:L, _xlfn.AGGREGATE(15, 6, ROW(Kintoneデータ抽出!$K$2:$K$5000) / ((Kintoneデータ抽出!$K$2:$K$5000="企業内")), ROW(A11))),"*その他*"),"",
IF(COUNTIF(INDEX(Kintoneデータ抽出!L:L, _xlfn.AGGREGATE(15, 6, ROW(Kintoneデータ抽出!$K$2:$K$5000) / ((Kintoneデータ抽出!$K$2:$K$5000="企業内")), ROW(A11))),"*新制度*"),"新制度","企業主導型"))),""), "")</f>
        <v/>
      </c>
    </row>
    <row r="319" spans="2:16" ht="34.799999999999997" customHeight="1" x14ac:dyDescent="0.45">
      <c r="B319" s="45"/>
      <c r="C319" s="46"/>
      <c r="D319" s="98" t="str">
        <f t="shared" si="6"/>
        <v/>
      </c>
      <c r="E319" s="99"/>
      <c r="F319" s="89" t="str">
        <f t="array" ref="F319">IFERROR(INDEX(Kintoneデータ抽出!A:A, _xlfn.AGGREGATE(15, 6, ROW(Kintoneデータ抽出!$K$2:$K$5000) / ((Kintoneデータ抽出!$K$2:$K$5000="企業内")), ROW(A12))), "")</f>
        <v/>
      </c>
      <c r="G319" s="90" t="str">
        <f t="array" ref="G319">IFERROR(INDEX(Kintoneデータ抽出!D:D,_xlfn.AGGREGATE(15,6,ROW(Kintoneデータ抽出!$K$2:$K$5000)/((Kintoneデータ抽出!$K$2:$K$5000="企業内")),ROW(A12))),"")</f>
        <v/>
      </c>
      <c r="H319" s="89" t="str">
        <f t="array" ref="H319">IFERROR(INDEX(Kintoneデータ抽出!C:C, _xlfn.AGGREGATE(15, 6, ROW(Kintoneデータ抽出!$K$2:$K$5000) / ((Kintoneデータ抽出!$K$2:$K$5000="企業内")), ROW(A12))), "")</f>
        <v/>
      </c>
      <c r="I319" s="75" t="str">
        <f t="array" ref="I319">IFERROR(IF(INDEX(Kintoneデータ抽出!G:G, _xlfn.AGGREGATE(15, 6, ROW(Kintoneデータ抽出!$K$2:$K$5000) / ((Kintoneデータ抽出!$K$2:$K$5000="企業内")), ROW(A12)))&lt;&gt;"",INDEX(Kintoneデータ抽出!G:G, _xlfn.AGGREGATE(15, 6, ROW(Kintoneデータ抽出!$K$2:$K$5000) / ((Kintoneデータ抽出!$K$2:$K$5000="企業内")), ROW(A12)))&amp;"名",""), "")</f>
        <v/>
      </c>
      <c r="J319" s="76" t="str">
        <f t="array" ref="J319">IFERROR(IF(INDEX(Kintoneデータ抽出!E:E, _xlfn.AGGREGATE(15, 6, ROW(Kintoneデータ抽出!$K$2:$K$5000) / ((Kintoneデータ抽出!$K$2:$K$5000="企業内")), ROW(A12)))&lt;&gt;"",
YEAR(INDEX(Kintoneデータ抽出!E:E, _xlfn.AGGREGATE(15, 6, ROW(Kintoneデータ抽出!$K$2:$K$5000) / ((Kintoneデータ抽出!$K$2:$K$5000="企業内")), ROW(A12))))&amp;"年"
&amp;MONTH(INDEX(Kintoneデータ抽出!E:E, _xlfn.AGGREGATE(15, 6, ROW(Kintoneデータ抽出!$K$2:$K$5000) / ((Kintoneデータ抽出!$K$2:$K$5000="企業内")), ROW(A12))))&amp;"月"
&amp;DAY(INDEX(Kintoneデータ抽出!E:E, _xlfn.AGGREGATE(15, 6, ROW(Kintoneデータ抽出!$K$2:$K$5000) /((Kintoneデータ抽出!$K$2:$K$5000="企業内")), ROW(A12))))&amp;"日",""), "")</f>
        <v/>
      </c>
      <c r="K319" s="77" t="str" cm="1">
        <f t="array" ref="K319">IFERROR(IF(INDEX(Kintoneデータ抽出!F:F, _xlfn.AGGREGATE(15, 6, ROW(Kintoneデータ抽出!$K$2:$K$5000) / ((Kintoneデータ抽出!$K$2:$K$5000="企業内")), ROW(A12)))&lt;&gt;"",
VLOOKUP(INDEX(Kintoneデータ抽出!F:F, _xlfn.AGGREGATE(15, 6, ROW(Kintoneデータ抽出!$K$2:$K$5000) / ((Kintoneデータ抽出!$K$2:$K$5000="企業内")), ROW(A12))),基本開園日の表記!$A$2:$B$13,2,FALSE),""), "")</f>
        <v/>
      </c>
      <c r="L319" s="75" t="str">
        <f t="array" ref="L319">IFERROR(IF(INDEX(Kintoneデータ抽出!F:F, _xlfn.AGGREGATE(15, 6, ROW(Kintoneデータ抽出!$K$2:$K$5000) / ((Kintoneデータ抽出!$K$2:$K$5000="企業内")), ROW(A12)))&lt;&gt;"",
IF(COUNTIF(INDEX(Kintoneデータ抽出!F:F, _xlfn.AGGREGATE(15, 6, ROW(Kintoneデータ抽出!$K$2:$K$5000) / ((Kintoneデータ抽出!$K$2:$K$5000="企業内")), ROW(A12))),"*あり*"),"夜間",""),""), "")</f>
        <v/>
      </c>
      <c r="M319" s="75" t="str">
        <f t="array" ref="M319">IFERROR(IF(INDEX(Kintoneデータ抽出!I:I, _xlfn.AGGREGATE(15, 6, ROW(Kintoneデータ抽出!$K$2:$K$5000) / ((Kintoneデータ抽出!$K$2:$K$5000="企業内")), ROW(A12)))&lt;&gt;"",
IF(COUNTIF(INDEX(Kintoneデータ抽出!I:I, _xlfn.AGGREGATE(15, 6, ROW(Kintoneデータ抽出!$K$2:$K$5000) / ((Kintoneデータ抽出!$K$2:$K$5000="企業内")), ROW(A12))),"*あり*"),"学童",""),""), "")</f>
        <v/>
      </c>
      <c r="N319" s="75" t="str">
        <f t="array" ref="N319">IFERROR(IF(INDEX(Kintoneデータ抽出!H:H, _xlfn.AGGREGATE(15, 6, ROW(Kintoneデータ抽出!$K$2:$K$5000) / ((Kintoneデータ抽出!$K$2:$K$5000="企業内")), ROW(A12)))&lt;&gt;"",
IF(COUNTIF(INDEX(Kintoneデータ抽出!H:H, _xlfn.AGGREGATE(15, 6, ROW(Kintoneデータ抽出!$K$2:$K$5000) / ((Kintoneデータ抽出!$K$2:$K$5000="企業内")), ROW(A12))),"*あり*"),"病児",""),""), "")</f>
        <v/>
      </c>
      <c r="O319" s="75" t="str" cm="1">
        <f t="array" ref="O319">IFERROR(
IF(INDEX(Kintoneデータ抽出!M:M, _xlfn.AGGREGATE(15, 6, ROW(Kintoneデータ抽出!$K$2:$K$5000) / ((Kintoneデータ抽出!$K$2:$K$5000="企業内")), ROW(A12)))&lt;&gt;0,INDEX(Kintoneデータ抽出!M:M, _xlfn.AGGREGATE(15, 6, ROW(Kintoneデータ抽出!$K$2:$K$5000) / ((Kintoneデータ抽出!$K$2:$K$5000="企業内")), ROW(A12))),""), "")</f>
        <v/>
      </c>
      <c r="P319" s="78" t="str">
        <f t="array" ref="P319">IFERROR(IF(INDEX(Kintoneデータ抽出!L:L, _xlfn.AGGREGATE(15, 6, ROW(Kintoneデータ抽出!$K$2:$K$5000) / ((Kintoneデータ抽出!$K$2:$K$5000="企業内")), ROW(A12)))&lt;&gt;"",
IF(COUNTIF(INDEX(Kintoneデータ抽出!L:L, _xlfn.AGGREGATE(15, 6, ROW(Kintoneデータ抽出!$K$2:$K$5000) / ((Kintoneデータ抽出!$K$2:$K$5000="企業内")), ROW(A12))),"*企業主導型以外*"),"",
IF(COUNTIF(INDEX(Kintoneデータ抽出!L:L, _xlfn.AGGREGATE(15, 6, ROW(Kintoneデータ抽出!$K$2:$K$5000) / ((Kintoneデータ抽出!$K$2:$K$5000="企業内")), ROW(A12))),"*その他*"),"",
IF(COUNTIF(INDEX(Kintoneデータ抽出!L:L, _xlfn.AGGREGATE(15, 6, ROW(Kintoneデータ抽出!$K$2:$K$5000) / ((Kintoneデータ抽出!$K$2:$K$5000="企業内")), ROW(A12))),"*新制度*"),"新制度","企業主導型"))),""), "")</f>
        <v/>
      </c>
    </row>
    <row r="320" spans="2:16" ht="34.799999999999997" customHeight="1" x14ac:dyDescent="0.45">
      <c r="B320" s="45"/>
      <c r="C320" s="46"/>
      <c r="D320" s="98" t="str">
        <f t="shared" si="6"/>
        <v/>
      </c>
      <c r="E320" s="99"/>
      <c r="F320" s="89" t="str">
        <f t="array" ref="F320">IFERROR(INDEX(Kintoneデータ抽出!A:A, _xlfn.AGGREGATE(15, 6, ROW(Kintoneデータ抽出!$K$2:$K$5000) / ((Kintoneデータ抽出!$K$2:$K$5000="企業内")), ROW(A13))), "")</f>
        <v/>
      </c>
      <c r="G320" s="90" t="str">
        <f t="array" ref="G320">IFERROR(INDEX(Kintoneデータ抽出!D:D,_xlfn.AGGREGATE(15,6,ROW(Kintoneデータ抽出!$K$2:$K$5000)/((Kintoneデータ抽出!$K$2:$K$5000="企業内")),ROW(A13))),"")</f>
        <v/>
      </c>
      <c r="H320" s="89" t="str">
        <f t="array" ref="H320">IFERROR(INDEX(Kintoneデータ抽出!C:C, _xlfn.AGGREGATE(15, 6, ROW(Kintoneデータ抽出!$K$2:$K$5000) / ((Kintoneデータ抽出!$K$2:$K$5000="企業内")), ROW(A13))), "")</f>
        <v/>
      </c>
      <c r="I320" s="75" t="str">
        <f t="array" ref="I320">IFERROR(IF(INDEX(Kintoneデータ抽出!G:G, _xlfn.AGGREGATE(15, 6, ROW(Kintoneデータ抽出!$K$2:$K$5000) / ((Kintoneデータ抽出!$K$2:$K$5000="企業内")), ROW(A13)))&lt;&gt;"",INDEX(Kintoneデータ抽出!G:G, _xlfn.AGGREGATE(15, 6, ROW(Kintoneデータ抽出!$K$2:$K$5000) / ((Kintoneデータ抽出!$K$2:$K$5000="企業内")), ROW(A13)))&amp;"名",""), "")</f>
        <v/>
      </c>
      <c r="J320" s="76" t="str">
        <f t="array" ref="J320">IFERROR(IF(INDEX(Kintoneデータ抽出!E:E, _xlfn.AGGREGATE(15, 6, ROW(Kintoneデータ抽出!$K$2:$K$5000) / ((Kintoneデータ抽出!$K$2:$K$5000="企業内")), ROW(A13)))&lt;&gt;"",
YEAR(INDEX(Kintoneデータ抽出!E:E, _xlfn.AGGREGATE(15, 6, ROW(Kintoneデータ抽出!$K$2:$K$5000) / ((Kintoneデータ抽出!$K$2:$K$5000="企業内")), ROW(A13))))&amp;"年"
&amp;MONTH(INDEX(Kintoneデータ抽出!E:E, _xlfn.AGGREGATE(15, 6, ROW(Kintoneデータ抽出!$K$2:$K$5000) / ((Kintoneデータ抽出!$K$2:$K$5000="企業内")), ROW(A13))))&amp;"月"
&amp;DAY(INDEX(Kintoneデータ抽出!E:E, _xlfn.AGGREGATE(15, 6, ROW(Kintoneデータ抽出!$K$2:$K$5000) /((Kintoneデータ抽出!$K$2:$K$5000="企業内")), ROW(A13))))&amp;"日",""), "")</f>
        <v/>
      </c>
      <c r="K320" s="77" t="str" cm="1">
        <f t="array" ref="K320">IFERROR(IF(INDEX(Kintoneデータ抽出!F:F, _xlfn.AGGREGATE(15, 6, ROW(Kintoneデータ抽出!$K$2:$K$5000) / ((Kintoneデータ抽出!$K$2:$K$5000="企業内")), ROW(A13)))&lt;&gt;"",
VLOOKUP(INDEX(Kintoneデータ抽出!F:F, _xlfn.AGGREGATE(15, 6, ROW(Kintoneデータ抽出!$K$2:$K$5000) / ((Kintoneデータ抽出!$K$2:$K$5000="企業内")), ROW(A13))),基本開園日の表記!$A$2:$B$13,2,FALSE),""), "")</f>
        <v/>
      </c>
      <c r="L320" s="75" t="str">
        <f t="array" ref="L320">IFERROR(IF(INDEX(Kintoneデータ抽出!F:F, _xlfn.AGGREGATE(15, 6, ROW(Kintoneデータ抽出!$K$2:$K$5000) / ((Kintoneデータ抽出!$K$2:$K$5000="企業内")), ROW(A13)))&lt;&gt;"",
IF(COUNTIF(INDEX(Kintoneデータ抽出!F:F, _xlfn.AGGREGATE(15, 6, ROW(Kintoneデータ抽出!$K$2:$K$5000) / ((Kintoneデータ抽出!$K$2:$K$5000="企業内")), ROW(A13))),"*あり*"),"夜間",""),""), "")</f>
        <v/>
      </c>
      <c r="M320" s="75" t="str">
        <f t="array" ref="M320">IFERROR(IF(INDEX(Kintoneデータ抽出!I:I, _xlfn.AGGREGATE(15, 6, ROW(Kintoneデータ抽出!$K$2:$K$5000) / ((Kintoneデータ抽出!$K$2:$K$5000="企業内")), ROW(A13)))&lt;&gt;"",
IF(COUNTIF(INDEX(Kintoneデータ抽出!I:I, _xlfn.AGGREGATE(15, 6, ROW(Kintoneデータ抽出!$K$2:$K$5000) / ((Kintoneデータ抽出!$K$2:$K$5000="企業内")), ROW(A13))),"*あり*"),"学童",""),""), "")</f>
        <v/>
      </c>
      <c r="N320" s="75" t="str">
        <f t="array" ref="N320">IFERROR(IF(INDEX(Kintoneデータ抽出!H:H, _xlfn.AGGREGATE(15, 6, ROW(Kintoneデータ抽出!$K$2:$K$5000) / ((Kintoneデータ抽出!$K$2:$K$5000="企業内")), ROW(A13)))&lt;&gt;"",
IF(COUNTIF(INDEX(Kintoneデータ抽出!H:H, _xlfn.AGGREGATE(15, 6, ROW(Kintoneデータ抽出!$K$2:$K$5000) / ((Kintoneデータ抽出!$K$2:$K$5000="企業内")), ROW(A13))),"*あり*"),"病児",""),""), "")</f>
        <v/>
      </c>
      <c r="O320" s="75" t="str" cm="1">
        <f t="array" ref="O320">IFERROR(
IF(INDEX(Kintoneデータ抽出!M:M, _xlfn.AGGREGATE(15, 6, ROW(Kintoneデータ抽出!$K$2:$K$5000) / ((Kintoneデータ抽出!$K$2:$K$5000="企業内")), ROW(A13)))&lt;&gt;0,INDEX(Kintoneデータ抽出!M:M, _xlfn.AGGREGATE(15, 6, ROW(Kintoneデータ抽出!$K$2:$K$5000) / ((Kintoneデータ抽出!$K$2:$K$5000="企業内")), ROW(A13))),""), "")</f>
        <v/>
      </c>
      <c r="P320" s="78" t="str">
        <f t="array" ref="P320">IFERROR(IF(INDEX(Kintoneデータ抽出!L:L, _xlfn.AGGREGATE(15, 6, ROW(Kintoneデータ抽出!$K$2:$K$5000) / ((Kintoneデータ抽出!$K$2:$K$5000="企業内")), ROW(A13)))&lt;&gt;"",
IF(COUNTIF(INDEX(Kintoneデータ抽出!L:L, _xlfn.AGGREGATE(15, 6, ROW(Kintoneデータ抽出!$K$2:$K$5000) / ((Kintoneデータ抽出!$K$2:$K$5000="企業内")), ROW(A13))),"*企業主導型以外*"),"",
IF(COUNTIF(INDEX(Kintoneデータ抽出!L:L, _xlfn.AGGREGATE(15, 6, ROW(Kintoneデータ抽出!$K$2:$K$5000) / ((Kintoneデータ抽出!$K$2:$K$5000="企業内")), ROW(A13))),"*その他*"),"",
IF(COUNTIF(INDEX(Kintoneデータ抽出!L:L, _xlfn.AGGREGATE(15, 6, ROW(Kintoneデータ抽出!$K$2:$K$5000) / ((Kintoneデータ抽出!$K$2:$K$5000="企業内")), ROW(A13))),"*新制度*"),"新制度","企業主導型"))),""), "")</f>
        <v/>
      </c>
    </row>
    <row r="321" spans="2:16" ht="34.799999999999997" customHeight="1" x14ac:dyDescent="0.45">
      <c r="B321" s="45"/>
      <c r="C321" s="46"/>
      <c r="D321" s="98" t="str">
        <f t="shared" si="6"/>
        <v/>
      </c>
      <c r="E321" s="99"/>
      <c r="F321" s="89" t="str">
        <f t="array" ref="F321">IFERROR(INDEX(Kintoneデータ抽出!A:A, _xlfn.AGGREGATE(15, 6, ROW(Kintoneデータ抽出!$K$2:$K$5000) / ((Kintoneデータ抽出!$K$2:$K$5000="企業内")), ROW(A14))), "")</f>
        <v/>
      </c>
      <c r="G321" s="90" t="str">
        <f t="array" ref="G321">IFERROR(INDEX(Kintoneデータ抽出!D:D,_xlfn.AGGREGATE(15,6,ROW(Kintoneデータ抽出!$K$2:$K$5000)/((Kintoneデータ抽出!$K$2:$K$5000="企業内")),ROW(A14))),"")</f>
        <v/>
      </c>
      <c r="H321" s="89" t="str">
        <f t="array" ref="H321">IFERROR(INDEX(Kintoneデータ抽出!C:C, _xlfn.AGGREGATE(15, 6, ROW(Kintoneデータ抽出!$K$2:$K$5000) / ((Kintoneデータ抽出!$K$2:$K$5000="企業内")), ROW(A14))), "")</f>
        <v/>
      </c>
      <c r="I321" s="75" t="str">
        <f t="array" ref="I321">IFERROR(IF(INDEX(Kintoneデータ抽出!G:G, _xlfn.AGGREGATE(15, 6, ROW(Kintoneデータ抽出!$K$2:$K$5000) / ((Kintoneデータ抽出!$K$2:$K$5000="企業内")), ROW(A14)))&lt;&gt;"",INDEX(Kintoneデータ抽出!G:G, _xlfn.AGGREGATE(15, 6, ROW(Kintoneデータ抽出!$K$2:$K$5000) / ((Kintoneデータ抽出!$K$2:$K$5000="企業内")), ROW(A14)))&amp;"名",""), "")</f>
        <v/>
      </c>
      <c r="J321" s="76" t="str">
        <f t="array" ref="J321">IFERROR(IF(INDEX(Kintoneデータ抽出!E:E, _xlfn.AGGREGATE(15, 6, ROW(Kintoneデータ抽出!$K$2:$K$5000) / ((Kintoneデータ抽出!$K$2:$K$5000="企業内")), ROW(A14)))&lt;&gt;"",
YEAR(INDEX(Kintoneデータ抽出!E:E, _xlfn.AGGREGATE(15, 6, ROW(Kintoneデータ抽出!$K$2:$K$5000) / ((Kintoneデータ抽出!$K$2:$K$5000="企業内")), ROW(A14))))&amp;"年"
&amp;MONTH(INDEX(Kintoneデータ抽出!E:E, _xlfn.AGGREGATE(15, 6, ROW(Kintoneデータ抽出!$K$2:$K$5000) / ((Kintoneデータ抽出!$K$2:$K$5000="企業内")), ROW(A14))))&amp;"月"
&amp;DAY(INDEX(Kintoneデータ抽出!E:E, _xlfn.AGGREGATE(15, 6, ROW(Kintoneデータ抽出!$K$2:$K$5000) /((Kintoneデータ抽出!$K$2:$K$5000="企業内")), ROW(A14))))&amp;"日",""), "")</f>
        <v/>
      </c>
      <c r="K321" s="77" t="str" cm="1">
        <f t="array" ref="K321">IFERROR(IF(INDEX(Kintoneデータ抽出!F:F, _xlfn.AGGREGATE(15, 6, ROW(Kintoneデータ抽出!$K$2:$K$5000) / ((Kintoneデータ抽出!$K$2:$K$5000="企業内")), ROW(A14)))&lt;&gt;"",
VLOOKUP(INDEX(Kintoneデータ抽出!F:F, _xlfn.AGGREGATE(15, 6, ROW(Kintoneデータ抽出!$K$2:$K$5000) / ((Kintoneデータ抽出!$K$2:$K$5000="企業内")), ROW(A14))),基本開園日の表記!$A$2:$B$13,2,FALSE),""), "")</f>
        <v/>
      </c>
      <c r="L321" s="75" t="str">
        <f t="array" ref="L321">IFERROR(IF(INDEX(Kintoneデータ抽出!F:F, _xlfn.AGGREGATE(15, 6, ROW(Kintoneデータ抽出!$K$2:$K$5000) / ((Kintoneデータ抽出!$K$2:$K$5000="企業内")), ROW(A14)))&lt;&gt;"",
IF(COUNTIF(INDEX(Kintoneデータ抽出!F:F, _xlfn.AGGREGATE(15, 6, ROW(Kintoneデータ抽出!$K$2:$K$5000) / ((Kintoneデータ抽出!$K$2:$K$5000="企業内")), ROW(A14))),"*あり*"),"夜間",""),""), "")</f>
        <v/>
      </c>
      <c r="M321" s="75" t="str">
        <f t="array" ref="M321">IFERROR(IF(INDEX(Kintoneデータ抽出!I:I, _xlfn.AGGREGATE(15, 6, ROW(Kintoneデータ抽出!$K$2:$K$5000) / ((Kintoneデータ抽出!$K$2:$K$5000="企業内")), ROW(A14)))&lt;&gt;"",
IF(COUNTIF(INDEX(Kintoneデータ抽出!I:I, _xlfn.AGGREGATE(15, 6, ROW(Kintoneデータ抽出!$K$2:$K$5000) / ((Kintoneデータ抽出!$K$2:$K$5000="企業内")), ROW(A14))),"*あり*"),"学童",""),""), "")</f>
        <v/>
      </c>
      <c r="N321" s="75" t="str">
        <f t="array" ref="N321">IFERROR(IF(INDEX(Kintoneデータ抽出!H:H, _xlfn.AGGREGATE(15, 6, ROW(Kintoneデータ抽出!$K$2:$K$5000) / ((Kintoneデータ抽出!$K$2:$K$5000="企業内")), ROW(A14)))&lt;&gt;"",
IF(COUNTIF(INDEX(Kintoneデータ抽出!H:H, _xlfn.AGGREGATE(15, 6, ROW(Kintoneデータ抽出!$K$2:$K$5000) / ((Kintoneデータ抽出!$K$2:$K$5000="企業内")), ROW(A14))),"*あり*"),"病児",""),""), "")</f>
        <v/>
      </c>
      <c r="O321" s="75" t="str" cm="1">
        <f t="array" ref="O321">IFERROR(
IF(INDEX(Kintoneデータ抽出!M:M, _xlfn.AGGREGATE(15, 6, ROW(Kintoneデータ抽出!$K$2:$K$5000) / ((Kintoneデータ抽出!$K$2:$K$5000="企業内")), ROW(A14)))&lt;&gt;0,INDEX(Kintoneデータ抽出!M:M, _xlfn.AGGREGATE(15, 6, ROW(Kintoneデータ抽出!$K$2:$K$5000) / ((Kintoneデータ抽出!$K$2:$K$5000="企業内")), ROW(A14))),""), "")</f>
        <v/>
      </c>
      <c r="P321" s="78" t="str">
        <f t="array" ref="P321">IFERROR(IF(INDEX(Kintoneデータ抽出!L:L, _xlfn.AGGREGATE(15, 6, ROW(Kintoneデータ抽出!$K$2:$K$5000) / ((Kintoneデータ抽出!$K$2:$K$5000="企業内")), ROW(A14)))&lt;&gt;"",
IF(COUNTIF(INDEX(Kintoneデータ抽出!L:L, _xlfn.AGGREGATE(15, 6, ROW(Kintoneデータ抽出!$K$2:$K$5000) / ((Kintoneデータ抽出!$K$2:$K$5000="企業内")), ROW(A14))),"*企業主導型以外*"),"",
IF(COUNTIF(INDEX(Kintoneデータ抽出!L:L, _xlfn.AGGREGATE(15, 6, ROW(Kintoneデータ抽出!$K$2:$K$5000) / ((Kintoneデータ抽出!$K$2:$K$5000="企業内")), ROW(A14))),"*その他*"),"",
IF(COUNTIF(INDEX(Kintoneデータ抽出!L:L, _xlfn.AGGREGATE(15, 6, ROW(Kintoneデータ抽出!$K$2:$K$5000) / ((Kintoneデータ抽出!$K$2:$K$5000="企業内")), ROW(A14))),"*新制度*"),"新制度","企業主導型"))),""), "")</f>
        <v/>
      </c>
    </row>
    <row r="322" spans="2:16" ht="34.799999999999997" customHeight="1" x14ac:dyDescent="0.45">
      <c r="B322" s="45"/>
      <c r="C322" s="46"/>
      <c r="D322" s="98" t="str">
        <f t="shared" si="6"/>
        <v/>
      </c>
      <c r="E322" s="99"/>
      <c r="F322" s="89" t="str">
        <f t="array" ref="F322">IFERROR(INDEX(Kintoneデータ抽出!A:A, _xlfn.AGGREGATE(15, 6, ROW(Kintoneデータ抽出!$K$2:$K$5000) / ((Kintoneデータ抽出!$K$2:$K$5000="企業内")), ROW(A15))), "")</f>
        <v/>
      </c>
      <c r="G322" s="90" t="str">
        <f t="array" ref="G322">IFERROR(INDEX(Kintoneデータ抽出!D:D,_xlfn.AGGREGATE(15,6,ROW(Kintoneデータ抽出!$K$2:$K$5000)/((Kintoneデータ抽出!$K$2:$K$5000="企業内")),ROW(A15))),"")</f>
        <v/>
      </c>
      <c r="H322" s="89" t="str">
        <f t="array" ref="H322">IFERROR(INDEX(Kintoneデータ抽出!C:C, _xlfn.AGGREGATE(15, 6, ROW(Kintoneデータ抽出!$K$2:$K$5000) / ((Kintoneデータ抽出!$K$2:$K$5000="企業内")), ROW(A15))), "")</f>
        <v/>
      </c>
      <c r="I322" s="75" t="str">
        <f t="array" ref="I322">IFERROR(IF(INDEX(Kintoneデータ抽出!G:G, _xlfn.AGGREGATE(15, 6, ROW(Kintoneデータ抽出!$K$2:$K$5000) / ((Kintoneデータ抽出!$K$2:$K$5000="企業内")), ROW(A15)))&lt;&gt;"",INDEX(Kintoneデータ抽出!G:G, _xlfn.AGGREGATE(15, 6, ROW(Kintoneデータ抽出!$K$2:$K$5000) / ((Kintoneデータ抽出!$K$2:$K$5000="企業内")), ROW(A15)))&amp;"名",""), "")</f>
        <v/>
      </c>
      <c r="J322" s="76" t="str">
        <f t="array" ref="J322">IFERROR(IF(INDEX(Kintoneデータ抽出!E:E, _xlfn.AGGREGATE(15, 6, ROW(Kintoneデータ抽出!$K$2:$K$5000) / ((Kintoneデータ抽出!$K$2:$K$5000="企業内")), ROW(A15)))&lt;&gt;"",
YEAR(INDEX(Kintoneデータ抽出!E:E, _xlfn.AGGREGATE(15, 6, ROW(Kintoneデータ抽出!$K$2:$K$5000) / ((Kintoneデータ抽出!$K$2:$K$5000="企業内")), ROW(A15))))&amp;"年"
&amp;MONTH(INDEX(Kintoneデータ抽出!E:E, _xlfn.AGGREGATE(15, 6, ROW(Kintoneデータ抽出!$K$2:$K$5000) / ((Kintoneデータ抽出!$K$2:$K$5000="企業内")), ROW(A15))))&amp;"月"
&amp;DAY(INDEX(Kintoneデータ抽出!E:E, _xlfn.AGGREGATE(15, 6, ROW(Kintoneデータ抽出!$K$2:$K$5000) /((Kintoneデータ抽出!$K$2:$K$5000="企業内")), ROW(A15))))&amp;"日",""), "")</f>
        <v/>
      </c>
      <c r="K322" s="77" t="str" cm="1">
        <f t="array" ref="K322">IFERROR(IF(INDEX(Kintoneデータ抽出!F:F, _xlfn.AGGREGATE(15, 6, ROW(Kintoneデータ抽出!$K$2:$K$5000) / ((Kintoneデータ抽出!$K$2:$K$5000="企業内")), ROW(A15)))&lt;&gt;"",
VLOOKUP(INDEX(Kintoneデータ抽出!F:F, _xlfn.AGGREGATE(15, 6, ROW(Kintoneデータ抽出!$K$2:$K$5000) / ((Kintoneデータ抽出!$K$2:$K$5000="企業内")), ROW(A15))),基本開園日の表記!$A$2:$B$13,2,FALSE),""), "")</f>
        <v/>
      </c>
      <c r="L322" s="75" t="str">
        <f t="array" ref="L322">IFERROR(IF(INDEX(Kintoneデータ抽出!F:F, _xlfn.AGGREGATE(15, 6, ROW(Kintoneデータ抽出!$K$2:$K$5000) / ((Kintoneデータ抽出!$K$2:$K$5000="企業内")), ROW(A15)))&lt;&gt;"",
IF(COUNTIF(INDEX(Kintoneデータ抽出!F:F, _xlfn.AGGREGATE(15, 6, ROW(Kintoneデータ抽出!$K$2:$K$5000) / ((Kintoneデータ抽出!$K$2:$K$5000="企業内")), ROW(A15))),"*あり*"),"夜間",""),""), "")</f>
        <v/>
      </c>
      <c r="M322" s="75" t="str">
        <f t="array" ref="M322">IFERROR(IF(INDEX(Kintoneデータ抽出!I:I, _xlfn.AGGREGATE(15, 6, ROW(Kintoneデータ抽出!$K$2:$K$5000) / ((Kintoneデータ抽出!$K$2:$K$5000="企業内")), ROW(A15)))&lt;&gt;"",
IF(COUNTIF(INDEX(Kintoneデータ抽出!I:I, _xlfn.AGGREGATE(15, 6, ROW(Kintoneデータ抽出!$K$2:$K$5000) / ((Kintoneデータ抽出!$K$2:$K$5000="企業内")), ROW(A15))),"*あり*"),"学童",""),""), "")</f>
        <v/>
      </c>
      <c r="N322" s="75" t="str">
        <f t="array" ref="N322">IFERROR(IF(INDEX(Kintoneデータ抽出!H:H, _xlfn.AGGREGATE(15, 6, ROW(Kintoneデータ抽出!$K$2:$K$5000) / ((Kintoneデータ抽出!$K$2:$K$5000="企業内")), ROW(A15)))&lt;&gt;"",
IF(COUNTIF(INDEX(Kintoneデータ抽出!H:H, _xlfn.AGGREGATE(15, 6, ROW(Kintoneデータ抽出!$K$2:$K$5000) / ((Kintoneデータ抽出!$K$2:$K$5000="企業内")), ROW(A15))),"*あり*"),"病児",""),""), "")</f>
        <v/>
      </c>
      <c r="O322" s="75" t="str" cm="1">
        <f t="array" ref="O322">IFERROR(
IF(INDEX(Kintoneデータ抽出!M:M, _xlfn.AGGREGATE(15, 6, ROW(Kintoneデータ抽出!$K$2:$K$5000) / ((Kintoneデータ抽出!$K$2:$K$5000="企業内")), ROW(A15)))&lt;&gt;0,INDEX(Kintoneデータ抽出!M:M, _xlfn.AGGREGATE(15, 6, ROW(Kintoneデータ抽出!$K$2:$K$5000) / ((Kintoneデータ抽出!$K$2:$K$5000="企業内")), ROW(A15))),""), "")</f>
        <v/>
      </c>
      <c r="P322" s="78" t="str">
        <f t="array" ref="P322">IFERROR(IF(INDEX(Kintoneデータ抽出!L:L, _xlfn.AGGREGATE(15, 6, ROW(Kintoneデータ抽出!$K$2:$K$5000) / ((Kintoneデータ抽出!$K$2:$K$5000="企業内")), ROW(A15)))&lt;&gt;"",
IF(COUNTIF(INDEX(Kintoneデータ抽出!L:L, _xlfn.AGGREGATE(15, 6, ROW(Kintoneデータ抽出!$K$2:$K$5000) / ((Kintoneデータ抽出!$K$2:$K$5000="企業内")), ROW(A15))),"*企業主導型以外*"),"",
IF(COUNTIF(INDEX(Kintoneデータ抽出!L:L, _xlfn.AGGREGATE(15, 6, ROW(Kintoneデータ抽出!$K$2:$K$5000) / ((Kintoneデータ抽出!$K$2:$K$5000="企業内")), ROW(A15))),"*その他*"),"",
IF(COUNTIF(INDEX(Kintoneデータ抽出!L:L, _xlfn.AGGREGATE(15, 6, ROW(Kintoneデータ抽出!$K$2:$K$5000) / ((Kintoneデータ抽出!$K$2:$K$5000="企業内")), ROW(A15))),"*新制度*"),"新制度","企業主導型"))),""), "")</f>
        <v/>
      </c>
    </row>
    <row r="323" spans="2:16" ht="34.799999999999997" customHeight="1" x14ac:dyDescent="0.45">
      <c r="B323" s="45"/>
      <c r="C323" s="46"/>
      <c r="D323" s="98" t="str">
        <f t="shared" si="6"/>
        <v/>
      </c>
      <c r="E323" s="99"/>
      <c r="F323" s="89" t="str">
        <f t="array" ref="F323">IFERROR(INDEX(Kintoneデータ抽出!A:A, _xlfn.AGGREGATE(15, 6, ROW(Kintoneデータ抽出!$K$2:$K$5000) / ((Kintoneデータ抽出!$K$2:$K$5000="企業内")), ROW(A16))), "")</f>
        <v/>
      </c>
      <c r="G323" s="90" t="str">
        <f t="array" ref="G323">IFERROR(INDEX(Kintoneデータ抽出!D:D,_xlfn.AGGREGATE(15,6,ROW(Kintoneデータ抽出!$K$2:$K$5000)/((Kintoneデータ抽出!$K$2:$K$5000="企業内")),ROW(A16))),"")</f>
        <v/>
      </c>
      <c r="H323" s="89" t="str">
        <f t="array" ref="H323">IFERROR(INDEX(Kintoneデータ抽出!C:C, _xlfn.AGGREGATE(15, 6, ROW(Kintoneデータ抽出!$K$2:$K$5000) / ((Kintoneデータ抽出!$K$2:$K$5000="企業内")), ROW(A16))), "")</f>
        <v/>
      </c>
      <c r="I323" s="75" t="str">
        <f t="array" ref="I323">IFERROR(IF(INDEX(Kintoneデータ抽出!G:G, _xlfn.AGGREGATE(15, 6, ROW(Kintoneデータ抽出!$K$2:$K$5000) / ((Kintoneデータ抽出!$K$2:$K$5000="企業内")), ROW(A16)))&lt;&gt;"",INDEX(Kintoneデータ抽出!G:G, _xlfn.AGGREGATE(15, 6, ROW(Kintoneデータ抽出!$K$2:$K$5000) / ((Kintoneデータ抽出!$K$2:$K$5000="企業内")), ROW(A16)))&amp;"名",""), "")</f>
        <v/>
      </c>
      <c r="J323" s="76" t="str">
        <f t="array" ref="J323">IFERROR(IF(INDEX(Kintoneデータ抽出!E:E, _xlfn.AGGREGATE(15, 6, ROW(Kintoneデータ抽出!$K$2:$K$5000) / ((Kintoneデータ抽出!$K$2:$K$5000="企業内")), ROW(A16)))&lt;&gt;"",
YEAR(INDEX(Kintoneデータ抽出!E:E, _xlfn.AGGREGATE(15, 6, ROW(Kintoneデータ抽出!$K$2:$K$5000) / ((Kintoneデータ抽出!$K$2:$K$5000="企業内")), ROW(A16))))&amp;"年"
&amp;MONTH(INDEX(Kintoneデータ抽出!E:E, _xlfn.AGGREGATE(15, 6, ROW(Kintoneデータ抽出!$K$2:$K$5000) / ((Kintoneデータ抽出!$K$2:$K$5000="企業内")), ROW(A16))))&amp;"月"
&amp;DAY(INDEX(Kintoneデータ抽出!E:E, _xlfn.AGGREGATE(15, 6, ROW(Kintoneデータ抽出!$K$2:$K$5000) /((Kintoneデータ抽出!$K$2:$K$5000="企業内")), ROW(A16))))&amp;"日",""), "")</f>
        <v/>
      </c>
      <c r="K323" s="77" t="str" cm="1">
        <f t="array" ref="K323">IFERROR(IF(INDEX(Kintoneデータ抽出!F:F, _xlfn.AGGREGATE(15, 6, ROW(Kintoneデータ抽出!$K$2:$K$5000) / ((Kintoneデータ抽出!$K$2:$K$5000="企業内")), ROW(A16)))&lt;&gt;"",
VLOOKUP(INDEX(Kintoneデータ抽出!F:F, _xlfn.AGGREGATE(15, 6, ROW(Kintoneデータ抽出!$K$2:$K$5000) / ((Kintoneデータ抽出!$K$2:$K$5000="企業内")), ROW(A16))),基本開園日の表記!$A$2:$B$13,2,FALSE),""), "")</f>
        <v/>
      </c>
      <c r="L323" s="75" t="str">
        <f t="array" ref="L323">IFERROR(IF(INDEX(Kintoneデータ抽出!F:F, _xlfn.AGGREGATE(15, 6, ROW(Kintoneデータ抽出!$K$2:$K$5000) / ((Kintoneデータ抽出!$K$2:$K$5000="企業内")), ROW(A16)))&lt;&gt;"",
IF(COUNTIF(INDEX(Kintoneデータ抽出!F:F, _xlfn.AGGREGATE(15, 6, ROW(Kintoneデータ抽出!$K$2:$K$5000) / ((Kintoneデータ抽出!$K$2:$K$5000="企業内")), ROW(A16))),"*あり*"),"夜間",""),""), "")</f>
        <v/>
      </c>
      <c r="M323" s="75" t="str">
        <f t="array" ref="M323">IFERROR(IF(INDEX(Kintoneデータ抽出!I:I, _xlfn.AGGREGATE(15, 6, ROW(Kintoneデータ抽出!$K$2:$K$5000) / ((Kintoneデータ抽出!$K$2:$K$5000="企業内")), ROW(A16)))&lt;&gt;"",
IF(COUNTIF(INDEX(Kintoneデータ抽出!I:I, _xlfn.AGGREGATE(15, 6, ROW(Kintoneデータ抽出!$K$2:$K$5000) / ((Kintoneデータ抽出!$K$2:$K$5000="企業内")), ROW(A16))),"*あり*"),"学童",""),""), "")</f>
        <v/>
      </c>
      <c r="N323" s="75" t="str">
        <f t="array" ref="N323">IFERROR(IF(INDEX(Kintoneデータ抽出!H:H, _xlfn.AGGREGATE(15, 6, ROW(Kintoneデータ抽出!$K$2:$K$5000) / ((Kintoneデータ抽出!$K$2:$K$5000="企業内")), ROW(A16)))&lt;&gt;"",
IF(COUNTIF(INDEX(Kintoneデータ抽出!H:H, _xlfn.AGGREGATE(15, 6, ROW(Kintoneデータ抽出!$K$2:$K$5000) / ((Kintoneデータ抽出!$K$2:$K$5000="企業内")), ROW(A16))),"*あり*"),"病児",""),""), "")</f>
        <v/>
      </c>
      <c r="O323" s="75" t="str" cm="1">
        <f t="array" ref="O323">IFERROR(
IF(INDEX(Kintoneデータ抽出!M:M, _xlfn.AGGREGATE(15, 6, ROW(Kintoneデータ抽出!$K$2:$K$5000) / ((Kintoneデータ抽出!$K$2:$K$5000="企業内")), ROW(A16)))&lt;&gt;0,INDEX(Kintoneデータ抽出!M:M, _xlfn.AGGREGATE(15, 6, ROW(Kintoneデータ抽出!$K$2:$K$5000) / ((Kintoneデータ抽出!$K$2:$K$5000="企業内")), ROW(A16))),""), "")</f>
        <v/>
      </c>
      <c r="P323" s="78" t="str">
        <f t="array" ref="P323">IFERROR(IF(INDEX(Kintoneデータ抽出!L:L, _xlfn.AGGREGATE(15, 6, ROW(Kintoneデータ抽出!$K$2:$K$5000) / ((Kintoneデータ抽出!$K$2:$K$5000="企業内")), ROW(A16)))&lt;&gt;"",
IF(COUNTIF(INDEX(Kintoneデータ抽出!L:L, _xlfn.AGGREGATE(15, 6, ROW(Kintoneデータ抽出!$K$2:$K$5000) / ((Kintoneデータ抽出!$K$2:$K$5000="企業内")), ROW(A16))),"*企業主導型以外*"),"",
IF(COUNTIF(INDEX(Kintoneデータ抽出!L:L, _xlfn.AGGREGATE(15, 6, ROW(Kintoneデータ抽出!$K$2:$K$5000) / ((Kintoneデータ抽出!$K$2:$K$5000="企業内")), ROW(A16))),"*その他*"),"",
IF(COUNTIF(INDEX(Kintoneデータ抽出!L:L, _xlfn.AGGREGATE(15, 6, ROW(Kintoneデータ抽出!$K$2:$K$5000) / ((Kintoneデータ抽出!$K$2:$K$5000="企業内")), ROW(A16))),"*新制度*"),"新制度","企業主導型"))),""), "")</f>
        <v/>
      </c>
    </row>
    <row r="324" spans="2:16" ht="34.799999999999997" customHeight="1" x14ac:dyDescent="0.45">
      <c r="B324" s="45"/>
      <c r="C324" s="46"/>
      <c r="D324" s="98" t="str">
        <f t="shared" si="6"/>
        <v/>
      </c>
      <c r="E324" s="99"/>
      <c r="F324" s="89" t="str">
        <f t="array" ref="F324">IFERROR(INDEX(Kintoneデータ抽出!A:A, _xlfn.AGGREGATE(15, 6, ROW(Kintoneデータ抽出!$K$2:$K$5000) / ((Kintoneデータ抽出!$K$2:$K$5000="企業内")), ROW(A17))), "")</f>
        <v/>
      </c>
      <c r="G324" s="90" t="str">
        <f t="array" ref="G324">IFERROR(INDEX(Kintoneデータ抽出!D:D,_xlfn.AGGREGATE(15,6,ROW(Kintoneデータ抽出!$K$2:$K$5000)/((Kintoneデータ抽出!$K$2:$K$5000="企業内")),ROW(A17))),"")</f>
        <v/>
      </c>
      <c r="H324" s="89" t="str">
        <f t="array" ref="H324">IFERROR(INDEX(Kintoneデータ抽出!C:C, _xlfn.AGGREGATE(15, 6, ROW(Kintoneデータ抽出!$K$2:$K$5000) / ((Kintoneデータ抽出!$K$2:$K$5000="企業内")), ROW(A17))), "")</f>
        <v/>
      </c>
      <c r="I324" s="75" t="str">
        <f t="array" ref="I324">IFERROR(IF(INDEX(Kintoneデータ抽出!G:G, _xlfn.AGGREGATE(15, 6, ROW(Kintoneデータ抽出!$K$2:$K$5000) / ((Kintoneデータ抽出!$K$2:$K$5000="企業内")), ROW(A17)))&lt;&gt;"",INDEX(Kintoneデータ抽出!G:G, _xlfn.AGGREGATE(15, 6, ROW(Kintoneデータ抽出!$K$2:$K$5000) / ((Kintoneデータ抽出!$K$2:$K$5000="企業内")), ROW(A17)))&amp;"名",""), "")</f>
        <v/>
      </c>
      <c r="J324" s="76" t="str">
        <f t="array" ref="J324">IFERROR(IF(INDEX(Kintoneデータ抽出!E:E, _xlfn.AGGREGATE(15, 6, ROW(Kintoneデータ抽出!$K$2:$K$5000) / ((Kintoneデータ抽出!$K$2:$K$5000="企業内")), ROW(A17)))&lt;&gt;"",
YEAR(INDEX(Kintoneデータ抽出!E:E, _xlfn.AGGREGATE(15, 6, ROW(Kintoneデータ抽出!$K$2:$K$5000) / ((Kintoneデータ抽出!$K$2:$K$5000="企業内")), ROW(A17))))&amp;"年"
&amp;MONTH(INDEX(Kintoneデータ抽出!E:E, _xlfn.AGGREGATE(15, 6, ROW(Kintoneデータ抽出!$K$2:$K$5000) / ((Kintoneデータ抽出!$K$2:$K$5000="企業内")), ROW(A17))))&amp;"月"
&amp;DAY(INDEX(Kintoneデータ抽出!E:E, _xlfn.AGGREGATE(15, 6, ROW(Kintoneデータ抽出!$K$2:$K$5000) /((Kintoneデータ抽出!$K$2:$K$5000="企業内")), ROW(A17))))&amp;"日",""), "")</f>
        <v/>
      </c>
      <c r="K324" s="77" t="str" cm="1">
        <f t="array" ref="K324">IFERROR(IF(INDEX(Kintoneデータ抽出!F:F, _xlfn.AGGREGATE(15, 6, ROW(Kintoneデータ抽出!$K$2:$K$5000) / ((Kintoneデータ抽出!$K$2:$K$5000="企業内")), ROW(A17)))&lt;&gt;"",
VLOOKUP(INDEX(Kintoneデータ抽出!F:F, _xlfn.AGGREGATE(15, 6, ROW(Kintoneデータ抽出!$K$2:$K$5000) / ((Kintoneデータ抽出!$K$2:$K$5000="企業内")), ROW(A17))),基本開園日の表記!$A$2:$B$13,2,FALSE),""), "")</f>
        <v/>
      </c>
      <c r="L324" s="75" t="str">
        <f t="array" ref="L324">IFERROR(IF(INDEX(Kintoneデータ抽出!F:F, _xlfn.AGGREGATE(15, 6, ROW(Kintoneデータ抽出!$K$2:$K$5000) / ((Kintoneデータ抽出!$K$2:$K$5000="企業内")), ROW(A17)))&lt;&gt;"",
IF(COUNTIF(INDEX(Kintoneデータ抽出!F:F, _xlfn.AGGREGATE(15, 6, ROW(Kintoneデータ抽出!$K$2:$K$5000) / ((Kintoneデータ抽出!$K$2:$K$5000="企業内")), ROW(A17))),"*あり*"),"夜間",""),""), "")</f>
        <v/>
      </c>
      <c r="M324" s="75" t="str">
        <f t="array" ref="M324">IFERROR(IF(INDEX(Kintoneデータ抽出!I:I, _xlfn.AGGREGATE(15, 6, ROW(Kintoneデータ抽出!$K$2:$K$5000) / ((Kintoneデータ抽出!$K$2:$K$5000="企業内")), ROW(A17)))&lt;&gt;"",
IF(COUNTIF(INDEX(Kintoneデータ抽出!I:I, _xlfn.AGGREGATE(15, 6, ROW(Kintoneデータ抽出!$K$2:$K$5000) / ((Kintoneデータ抽出!$K$2:$K$5000="企業内")), ROW(A17))),"*あり*"),"学童",""),""), "")</f>
        <v/>
      </c>
      <c r="N324" s="75" t="str">
        <f t="array" ref="N324">IFERROR(IF(INDEX(Kintoneデータ抽出!H:H, _xlfn.AGGREGATE(15, 6, ROW(Kintoneデータ抽出!$K$2:$K$5000) / ((Kintoneデータ抽出!$K$2:$K$5000="企業内")), ROW(A17)))&lt;&gt;"",
IF(COUNTIF(INDEX(Kintoneデータ抽出!H:H, _xlfn.AGGREGATE(15, 6, ROW(Kintoneデータ抽出!$K$2:$K$5000) / ((Kintoneデータ抽出!$K$2:$K$5000="企業内")), ROW(A17))),"*あり*"),"病児",""),""), "")</f>
        <v/>
      </c>
      <c r="O324" s="75" t="str" cm="1">
        <f t="array" ref="O324">IFERROR(
IF(INDEX(Kintoneデータ抽出!M:M, _xlfn.AGGREGATE(15, 6, ROW(Kintoneデータ抽出!$K$2:$K$5000) / ((Kintoneデータ抽出!$K$2:$K$5000="企業内")), ROW(A17)))&lt;&gt;0,INDEX(Kintoneデータ抽出!M:M, _xlfn.AGGREGATE(15, 6, ROW(Kintoneデータ抽出!$K$2:$K$5000) / ((Kintoneデータ抽出!$K$2:$K$5000="企業内")), ROW(A17))),""), "")</f>
        <v/>
      </c>
      <c r="P324" s="78" t="str">
        <f t="array" ref="P324">IFERROR(IF(INDEX(Kintoneデータ抽出!L:L, _xlfn.AGGREGATE(15, 6, ROW(Kintoneデータ抽出!$K$2:$K$5000) / ((Kintoneデータ抽出!$K$2:$K$5000="企業内")), ROW(A17)))&lt;&gt;"",
IF(COUNTIF(INDEX(Kintoneデータ抽出!L:L, _xlfn.AGGREGATE(15, 6, ROW(Kintoneデータ抽出!$K$2:$K$5000) / ((Kintoneデータ抽出!$K$2:$K$5000="企業内")), ROW(A17))),"*企業主導型以外*"),"",
IF(COUNTIF(INDEX(Kintoneデータ抽出!L:L, _xlfn.AGGREGATE(15, 6, ROW(Kintoneデータ抽出!$K$2:$K$5000) / ((Kintoneデータ抽出!$K$2:$K$5000="企業内")), ROW(A17))),"*その他*"),"",
IF(COUNTIF(INDEX(Kintoneデータ抽出!L:L, _xlfn.AGGREGATE(15, 6, ROW(Kintoneデータ抽出!$K$2:$K$5000) / ((Kintoneデータ抽出!$K$2:$K$5000="企業内")), ROW(A17))),"*新制度*"),"新制度","企業主導型"))),""), "")</f>
        <v/>
      </c>
    </row>
    <row r="325" spans="2:16" ht="34.799999999999997" customHeight="1" x14ac:dyDescent="0.45">
      <c r="B325" s="45"/>
      <c r="C325" s="46"/>
      <c r="D325" s="98" t="str">
        <f t="shared" si="6"/>
        <v/>
      </c>
      <c r="E325" s="99"/>
      <c r="F325" s="89" t="str">
        <f t="array" ref="F325">IFERROR(INDEX(Kintoneデータ抽出!A:A, _xlfn.AGGREGATE(15, 6, ROW(Kintoneデータ抽出!$K$2:$K$5000) / ((Kintoneデータ抽出!$K$2:$K$5000="企業内")), ROW(A18))), "")</f>
        <v/>
      </c>
      <c r="G325" s="90" t="str">
        <f t="array" ref="G325">IFERROR(INDEX(Kintoneデータ抽出!D:D,_xlfn.AGGREGATE(15,6,ROW(Kintoneデータ抽出!$K$2:$K$5000)/((Kintoneデータ抽出!$K$2:$K$5000="企業内")),ROW(A18))),"")</f>
        <v/>
      </c>
      <c r="H325" s="89" t="str">
        <f t="array" ref="H325">IFERROR(INDEX(Kintoneデータ抽出!C:C, _xlfn.AGGREGATE(15, 6, ROW(Kintoneデータ抽出!$K$2:$K$5000) / ((Kintoneデータ抽出!$K$2:$K$5000="企業内")), ROW(A18))), "")</f>
        <v/>
      </c>
      <c r="I325" s="75" t="str">
        <f t="array" ref="I325">IFERROR(IF(INDEX(Kintoneデータ抽出!G:G, _xlfn.AGGREGATE(15, 6, ROW(Kintoneデータ抽出!$K$2:$K$5000) / ((Kintoneデータ抽出!$K$2:$K$5000="企業内")), ROW(A18)))&lt;&gt;"",INDEX(Kintoneデータ抽出!G:G, _xlfn.AGGREGATE(15, 6, ROW(Kintoneデータ抽出!$K$2:$K$5000) / ((Kintoneデータ抽出!$K$2:$K$5000="企業内")), ROW(A18)))&amp;"名",""), "")</f>
        <v/>
      </c>
      <c r="J325" s="76" t="str">
        <f t="array" ref="J325">IFERROR(IF(INDEX(Kintoneデータ抽出!E:E, _xlfn.AGGREGATE(15, 6, ROW(Kintoneデータ抽出!$K$2:$K$5000) / ((Kintoneデータ抽出!$K$2:$K$5000="企業内")), ROW(A18)))&lt;&gt;"",
YEAR(INDEX(Kintoneデータ抽出!E:E, _xlfn.AGGREGATE(15, 6, ROW(Kintoneデータ抽出!$K$2:$K$5000) / ((Kintoneデータ抽出!$K$2:$K$5000="企業内")), ROW(A18))))&amp;"年"
&amp;MONTH(INDEX(Kintoneデータ抽出!E:E, _xlfn.AGGREGATE(15, 6, ROW(Kintoneデータ抽出!$K$2:$K$5000) / ((Kintoneデータ抽出!$K$2:$K$5000="企業内")), ROW(A18))))&amp;"月"
&amp;DAY(INDEX(Kintoneデータ抽出!E:E, _xlfn.AGGREGATE(15, 6, ROW(Kintoneデータ抽出!$K$2:$K$5000) /((Kintoneデータ抽出!$K$2:$K$5000="企業内")), ROW(A18))))&amp;"日",""), "")</f>
        <v/>
      </c>
      <c r="K325" s="77" t="str" cm="1">
        <f t="array" ref="K325">IFERROR(IF(INDEX(Kintoneデータ抽出!F:F, _xlfn.AGGREGATE(15, 6, ROW(Kintoneデータ抽出!$K$2:$K$5000) / ((Kintoneデータ抽出!$K$2:$K$5000="企業内")), ROW(A18)))&lt;&gt;"",
VLOOKUP(INDEX(Kintoneデータ抽出!F:F, _xlfn.AGGREGATE(15, 6, ROW(Kintoneデータ抽出!$K$2:$K$5000) / ((Kintoneデータ抽出!$K$2:$K$5000="企業内")), ROW(A18))),基本開園日の表記!$A$2:$B$13,2,FALSE),""), "")</f>
        <v/>
      </c>
      <c r="L325" s="75" t="str">
        <f t="array" ref="L325">IFERROR(IF(INDEX(Kintoneデータ抽出!F:F, _xlfn.AGGREGATE(15, 6, ROW(Kintoneデータ抽出!$K$2:$K$5000) / ((Kintoneデータ抽出!$K$2:$K$5000="企業内")), ROW(A18)))&lt;&gt;"",
IF(COUNTIF(INDEX(Kintoneデータ抽出!F:F, _xlfn.AGGREGATE(15, 6, ROW(Kintoneデータ抽出!$K$2:$K$5000) / ((Kintoneデータ抽出!$K$2:$K$5000="企業内")), ROW(A18))),"*あり*"),"夜間",""),""), "")</f>
        <v/>
      </c>
      <c r="M325" s="75" t="str">
        <f t="array" ref="M325">IFERROR(IF(INDEX(Kintoneデータ抽出!I:I, _xlfn.AGGREGATE(15, 6, ROW(Kintoneデータ抽出!$K$2:$K$5000) / ((Kintoneデータ抽出!$K$2:$K$5000="企業内")), ROW(A18)))&lt;&gt;"",
IF(COUNTIF(INDEX(Kintoneデータ抽出!I:I, _xlfn.AGGREGATE(15, 6, ROW(Kintoneデータ抽出!$K$2:$K$5000) / ((Kintoneデータ抽出!$K$2:$K$5000="企業内")), ROW(A18))),"*あり*"),"学童",""),""), "")</f>
        <v/>
      </c>
      <c r="N325" s="75" t="str">
        <f t="array" ref="N325">IFERROR(IF(INDEX(Kintoneデータ抽出!H:H, _xlfn.AGGREGATE(15, 6, ROW(Kintoneデータ抽出!$K$2:$K$5000) / ((Kintoneデータ抽出!$K$2:$K$5000="企業内")), ROW(A18)))&lt;&gt;"",
IF(COUNTIF(INDEX(Kintoneデータ抽出!H:H, _xlfn.AGGREGATE(15, 6, ROW(Kintoneデータ抽出!$K$2:$K$5000) / ((Kintoneデータ抽出!$K$2:$K$5000="企業内")), ROW(A18))),"*あり*"),"病児",""),""), "")</f>
        <v/>
      </c>
      <c r="O325" s="75" t="str" cm="1">
        <f t="array" ref="O325">IFERROR(
IF(INDEX(Kintoneデータ抽出!M:M, _xlfn.AGGREGATE(15, 6, ROW(Kintoneデータ抽出!$K$2:$K$5000) / ((Kintoneデータ抽出!$K$2:$K$5000="企業内")), ROW(A18)))&lt;&gt;0,INDEX(Kintoneデータ抽出!M:M, _xlfn.AGGREGATE(15, 6, ROW(Kintoneデータ抽出!$K$2:$K$5000) / ((Kintoneデータ抽出!$K$2:$K$5000="企業内")), ROW(A18))),""), "")</f>
        <v/>
      </c>
      <c r="P325" s="78" t="str">
        <f t="array" ref="P325">IFERROR(IF(INDEX(Kintoneデータ抽出!L:L, _xlfn.AGGREGATE(15, 6, ROW(Kintoneデータ抽出!$K$2:$K$5000) / ((Kintoneデータ抽出!$K$2:$K$5000="企業内")), ROW(A18)))&lt;&gt;"",
IF(COUNTIF(INDEX(Kintoneデータ抽出!L:L, _xlfn.AGGREGATE(15, 6, ROW(Kintoneデータ抽出!$K$2:$K$5000) / ((Kintoneデータ抽出!$K$2:$K$5000="企業内")), ROW(A18))),"*企業主導型以外*"),"",
IF(COUNTIF(INDEX(Kintoneデータ抽出!L:L, _xlfn.AGGREGATE(15, 6, ROW(Kintoneデータ抽出!$K$2:$K$5000) / ((Kintoneデータ抽出!$K$2:$K$5000="企業内")), ROW(A18))),"*その他*"),"",
IF(COUNTIF(INDEX(Kintoneデータ抽出!L:L, _xlfn.AGGREGATE(15, 6, ROW(Kintoneデータ抽出!$K$2:$K$5000) / ((Kintoneデータ抽出!$K$2:$K$5000="企業内")), ROW(A18))),"*新制度*"),"新制度","企業主導型"))),""), "")</f>
        <v/>
      </c>
    </row>
    <row r="326" spans="2:16" ht="34.799999999999997" customHeight="1" x14ac:dyDescent="0.45">
      <c r="B326" s="45"/>
      <c r="C326" s="46"/>
      <c r="D326" s="98" t="str">
        <f t="shared" si="6"/>
        <v/>
      </c>
      <c r="E326" s="99"/>
      <c r="F326" s="89" t="str">
        <f t="array" ref="F326">IFERROR(INDEX(Kintoneデータ抽出!A:A, _xlfn.AGGREGATE(15, 6, ROW(Kintoneデータ抽出!$K$2:$K$5000) / ((Kintoneデータ抽出!$K$2:$K$5000="企業内")), ROW(A19))), "")</f>
        <v/>
      </c>
      <c r="G326" s="90" t="str">
        <f t="array" ref="G326">IFERROR(INDEX(Kintoneデータ抽出!D:D,_xlfn.AGGREGATE(15,6,ROW(Kintoneデータ抽出!$K$2:$K$5000)/((Kintoneデータ抽出!$K$2:$K$5000="企業内")),ROW(A19))),"")</f>
        <v/>
      </c>
      <c r="H326" s="89" t="str">
        <f t="array" ref="H326">IFERROR(INDEX(Kintoneデータ抽出!C:C, _xlfn.AGGREGATE(15, 6, ROW(Kintoneデータ抽出!$K$2:$K$5000) / ((Kintoneデータ抽出!$K$2:$K$5000="企業内")), ROW(A19))), "")</f>
        <v/>
      </c>
      <c r="I326" s="75" t="str">
        <f t="array" ref="I326">IFERROR(IF(INDEX(Kintoneデータ抽出!G:G, _xlfn.AGGREGATE(15, 6, ROW(Kintoneデータ抽出!$K$2:$K$5000) / ((Kintoneデータ抽出!$K$2:$K$5000="企業内")), ROW(A19)))&lt;&gt;"",INDEX(Kintoneデータ抽出!G:G, _xlfn.AGGREGATE(15, 6, ROW(Kintoneデータ抽出!$K$2:$K$5000) / ((Kintoneデータ抽出!$K$2:$K$5000="企業内")), ROW(A19)))&amp;"名",""), "")</f>
        <v/>
      </c>
      <c r="J326" s="76" t="str">
        <f t="array" ref="J326">IFERROR(IF(INDEX(Kintoneデータ抽出!E:E, _xlfn.AGGREGATE(15, 6, ROW(Kintoneデータ抽出!$K$2:$K$5000) / ((Kintoneデータ抽出!$K$2:$K$5000="企業内")), ROW(A19)))&lt;&gt;"",
YEAR(INDEX(Kintoneデータ抽出!E:E, _xlfn.AGGREGATE(15, 6, ROW(Kintoneデータ抽出!$K$2:$K$5000) / ((Kintoneデータ抽出!$K$2:$K$5000="企業内")), ROW(A19))))&amp;"年"
&amp;MONTH(INDEX(Kintoneデータ抽出!E:E, _xlfn.AGGREGATE(15, 6, ROW(Kintoneデータ抽出!$K$2:$K$5000) / ((Kintoneデータ抽出!$K$2:$K$5000="企業内")), ROW(A19))))&amp;"月"
&amp;DAY(INDEX(Kintoneデータ抽出!E:E, _xlfn.AGGREGATE(15, 6, ROW(Kintoneデータ抽出!$K$2:$K$5000) /((Kintoneデータ抽出!$K$2:$K$5000="企業内")), ROW(A19))))&amp;"日",""), "")</f>
        <v/>
      </c>
      <c r="K326" s="77" t="str" cm="1">
        <f t="array" ref="K326">IFERROR(IF(INDEX(Kintoneデータ抽出!F:F, _xlfn.AGGREGATE(15, 6, ROW(Kintoneデータ抽出!$K$2:$K$5000) / ((Kintoneデータ抽出!$K$2:$K$5000="企業内")), ROW(A19)))&lt;&gt;"",
VLOOKUP(INDEX(Kintoneデータ抽出!F:F, _xlfn.AGGREGATE(15, 6, ROW(Kintoneデータ抽出!$K$2:$K$5000) / ((Kintoneデータ抽出!$K$2:$K$5000="企業内")), ROW(A19))),基本開園日の表記!$A$2:$B$13,2,FALSE),""), "")</f>
        <v/>
      </c>
      <c r="L326" s="75" t="str">
        <f t="array" ref="L326">IFERROR(IF(INDEX(Kintoneデータ抽出!F:F, _xlfn.AGGREGATE(15, 6, ROW(Kintoneデータ抽出!$K$2:$K$5000) / ((Kintoneデータ抽出!$K$2:$K$5000="企業内")), ROW(A19)))&lt;&gt;"",
IF(COUNTIF(INDEX(Kintoneデータ抽出!F:F, _xlfn.AGGREGATE(15, 6, ROW(Kintoneデータ抽出!$K$2:$K$5000) / ((Kintoneデータ抽出!$K$2:$K$5000="企業内")), ROW(A19))),"*あり*"),"夜間",""),""), "")</f>
        <v/>
      </c>
      <c r="M326" s="75" t="str">
        <f t="array" ref="M326">IFERROR(IF(INDEX(Kintoneデータ抽出!I:I, _xlfn.AGGREGATE(15, 6, ROW(Kintoneデータ抽出!$K$2:$K$5000) / ((Kintoneデータ抽出!$K$2:$K$5000="企業内")), ROW(A19)))&lt;&gt;"",
IF(COUNTIF(INDEX(Kintoneデータ抽出!I:I, _xlfn.AGGREGATE(15, 6, ROW(Kintoneデータ抽出!$K$2:$K$5000) / ((Kintoneデータ抽出!$K$2:$K$5000="企業内")), ROW(A19))),"*あり*"),"学童",""),""), "")</f>
        <v/>
      </c>
      <c r="N326" s="75" t="str">
        <f t="array" ref="N326">IFERROR(IF(INDEX(Kintoneデータ抽出!H:H, _xlfn.AGGREGATE(15, 6, ROW(Kintoneデータ抽出!$K$2:$K$5000) / ((Kintoneデータ抽出!$K$2:$K$5000="企業内")), ROW(A19)))&lt;&gt;"",
IF(COUNTIF(INDEX(Kintoneデータ抽出!H:H, _xlfn.AGGREGATE(15, 6, ROW(Kintoneデータ抽出!$K$2:$K$5000) / ((Kintoneデータ抽出!$K$2:$K$5000="企業内")), ROW(A19))),"*あり*"),"病児",""),""), "")</f>
        <v/>
      </c>
      <c r="O326" s="75" t="str" cm="1">
        <f t="array" ref="O326">IFERROR(
IF(INDEX(Kintoneデータ抽出!M:M, _xlfn.AGGREGATE(15, 6, ROW(Kintoneデータ抽出!$K$2:$K$5000) / ((Kintoneデータ抽出!$K$2:$K$5000="企業内")), ROW(A19)))&lt;&gt;0,INDEX(Kintoneデータ抽出!M:M, _xlfn.AGGREGATE(15, 6, ROW(Kintoneデータ抽出!$K$2:$K$5000) / ((Kintoneデータ抽出!$K$2:$K$5000="企業内")), ROW(A19))),""), "")</f>
        <v/>
      </c>
      <c r="P326" s="78" t="str">
        <f t="array" ref="P326">IFERROR(IF(INDEX(Kintoneデータ抽出!L:L, _xlfn.AGGREGATE(15, 6, ROW(Kintoneデータ抽出!$K$2:$K$5000) / ((Kintoneデータ抽出!$K$2:$K$5000="企業内")), ROW(A19)))&lt;&gt;"",
IF(COUNTIF(INDEX(Kintoneデータ抽出!L:L, _xlfn.AGGREGATE(15, 6, ROW(Kintoneデータ抽出!$K$2:$K$5000) / ((Kintoneデータ抽出!$K$2:$K$5000="企業内")), ROW(A19))),"*企業主導型以外*"),"",
IF(COUNTIF(INDEX(Kintoneデータ抽出!L:L, _xlfn.AGGREGATE(15, 6, ROW(Kintoneデータ抽出!$K$2:$K$5000) / ((Kintoneデータ抽出!$K$2:$K$5000="企業内")), ROW(A19))),"*その他*"),"",
IF(COUNTIF(INDEX(Kintoneデータ抽出!L:L, _xlfn.AGGREGATE(15, 6, ROW(Kintoneデータ抽出!$K$2:$K$5000) / ((Kintoneデータ抽出!$K$2:$K$5000="企業内")), ROW(A19))),"*新制度*"),"新制度","企業主導型"))),""), "")</f>
        <v/>
      </c>
    </row>
    <row r="327" spans="2:16" ht="34.799999999999997" customHeight="1" x14ac:dyDescent="0.45">
      <c r="B327" s="45"/>
      <c r="C327" s="46"/>
      <c r="D327" s="98" t="str">
        <f t="shared" si="6"/>
        <v/>
      </c>
      <c r="E327" s="99"/>
      <c r="F327" s="89" t="str">
        <f t="array" ref="F327">IFERROR(INDEX(Kintoneデータ抽出!A:A, _xlfn.AGGREGATE(15, 6, ROW(Kintoneデータ抽出!$K$2:$K$5000) / ((Kintoneデータ抽出!$K$2:$K$5000="企業内")), ROW(A20))), "")</f>
        <v/>
      </c>
      <c r="G327" s="90" t="str">
        <f t="array" ref="G327">IFERROR(INDEX(Kintoneデータ抽出!D:D,_xlfn.AGGREGATE(15,6,ROW(Kintoneデータ抽出!$K$2:$K$5000)/((Kintoneデータ抽出!$K$2:$K$5000="企業内")),ROW(A20))),"")</f>
        <v/>
      </c>
      <c r="H327" s="89" t="str">
        <f t="array" ref="H327">IFERROR(INDEX(Kintoneデータ抽出!C:C, _xlfn.AGGREGATE(15, 6, ROW(Kintoneデータ抽出!$K$2:$K$5000) / ((Kintoneデータ抽出!$K$2:$K$5000="企業内")), ROW(A20))), "")</f>
        <v/>
      </c>
      <c r="I327" s="75" t="str">
        <f t="array" ref="I327">IFERROR(IF(INDEX(Kintoneデータ抽出!G:G, _xlfn.AGGREGATE(15, 6, ROW(Kintoneデータ抽出!$K$2:$K$5000) / ((Kintoneデータ抽出!$K$2:$K$5000="企業内")), ROW(A20)))&lt;&gt;"",INDEX(Kintoneデータ抽出!G:G, _xlfn.AGGREGATE(15, 6, ROW(Kintoneデータ抽出!$K$2:$K$5000) / ((Kintoneデータ抽出!$K$2:$K$5000="企業内")), ROW(A20)))&amp;"名",""), "")</f>
        <v/>
      </c>
      <c r="J327" s="76" t="str">
        <f t="array" ref="J327">IFERROR(IF(INDEX(Kintoneデータ抽出!E:E, _xlfn.AGGREGATE(15, 6, ROW(Kintoneデータ抽出!$K$2:$K$5000) / ((Kintoneデータ抽出!$K$2:$K$5000="企業内")), ROW(A20)))&lt;&gt;"",
YEAR(INDEX(Kintoneデータ抽出!E:E, _xlfn.AGGREGATE(15, 6, ROW(Kintoneデータ抽出!$K$2:$K$5000) / ((Kintoneデータ抽出!$K$2:$K$5000="企業内")), ROW(A20))))&amp;"年"
&amp;MONTH(INDEX(Kintoneデータ抽出!E:E, _xlfn.AGGREGATE(15, 6, ROW(Kintoneデータ抽出!$K$2:$K$5000) / ((Kintoneデータ抽出!$K$2:$K$5000="企業内")), ROW(A20))))&amp;"月"
&amp;DAY(INDEX(Kintoneデータ抽出!E:E, _xlfn.AGGREGATE(15, 6, ROW(Kintoneデータ抽出!$K$2:$K$5000) /((Kintoneデータ抽出!$K$2:$K$5000="企業内")), ROW(A20))))&amp;"日",""), "")</f>
        <v/>
      </c>
      <c r="K327" s="77" t="str" cm="1">
        <f t="array" ref="K327">IFERROR(IF(INDEX(Kintoneデータ抽出!F:F, _xlfn.AGGREGATE(15, 6, ROW(Kintoneデータ抽出!$K$2:$K$5000) / ((Kintoneデータ抽出!$K$2:$K$5000="企業内")), ROW(A20)))&lt;&gt;"",
VLOOKUP(INDEX(Kintoneデータ抽出!F:F, _xlfn.AGGREGATE(15, 6, ROW(Kintoneデータ抽出!$K$2:$K$5000) / ((Kintoneデータ抽出!$K$2:$K$5000="企業内")), ROW(A20))),基本開園日の表記!$A$2:$B$13,2,FALSE),""), "")</f>
        <v/>
      </c>
      <c r="L327" s="75" t="str">
        <f t="array" ref="L327">IFERROR(IF(INDEX(Kintoneデータ抽出!F:F, _xlfn.AGGREGATE(15, 6, ROW(Kintoneデータ抽出!$K$2:$K$5000) / ((Kintoneデータ抽出!$K$2:$K$5000="企業内")), ROW(A20)))&lt;&gt;"",
IF(COUNTIF(INDEX(Kintoneデータ抽出!F:F, _xlfn.AGGREGATE(15, 6, ROW(Kintoneデータ抽出!$K$2:$K$5000) / ((Kintoneデータ抽出!$K$2:$K$5000="企業内")), ROW(A20))),"*あり*"),"夜間",""),""), "")</f>
        <v/>
      </c>
      <c r="M327" s="75" t="str">
        <f t="array" ref="M327">IFERROR(IF(INDEX(Kintoneデータ抽出!I:I, _xlfn.AGGREGATE(15, 6, ROW(Kintoneデータ抽出!$K$2:$K$5000) / ((Kintoneデータ抽出!$K$2:$K$5000="企業内")), ROW(A20)))&lt;&gt;"",
IF(COUNTIF(INDEX(Kintoneデータ抽出!I:I, _xlfn.AGGREGATE(15, 6, ROW(Kintoneデータ抽出!$K$2:$K$5000) / ((Kintoneデータ抽出!$K$2:$K$5000="企業内")), ROW(A20))),"*あり*"),"学童",""),""), "")</f>
        <v/>
      </c>
      <c r="N327" s="75" t="str">
        <f t="array" ref="N327">IFERROR(IF(INDEX(Kintoneデータ抽出!H:H, _xlfn.AGGREGATE(15, 6, ROW(Kintoneデータ抽出!$K$2:$K$5000) / ((Kintoneデータ抽出!$K$2:$K$5000="企業内")), ROW(A20)))&lt;&gt;"",
IF(COUNTIF(INDEX(Kintoneデータ抽出!H:H, _xlfn.AGGREGATE(15, 6, ROW(Kintoneデータ抽出!$K$2:$K$5000) / ((Kintoneデータ抽出!$K$2:$K$5000="企業内")), ROW(A20))),"*あり*"),"病児",""),""), "")</f>
        <v/>
      </c>
      <c r="O327" s="75" t="str" cm="1">
        <f t="array" ref="O327">IFERROR(
IF(INDEX(Kintoneデータ抽出!M:M, _xlfn.AGGREGATE(15, 6, ROW(Kintoneデータ抽出!$K$2:$K$5000) / ((Kintoneデータ抽出!$K$2:$K$5000="企業内")), ROW(A20)))&lt;&gt;0,INDEX(Kintoneデータ抽出!M:M, _xlfn.AGGREGATE(15, 6, ROW(Kintoneデータ抽出!$K$2:$K$5000) / ((Kintoneデータ抽出!$K$2:$K$5000="企業内")), ROW(A20))),""), "")</f>
        <v/>
      </c>
      <c r="P327" s="78" t="str">
        <f t="array" ref="P327">IFERROR(IF(INDEX(Kintoneデータ抽出!L:L, _xlfn.AGGREGATE(15, 6, ROW(Kintoneデータ抽出!$K$2:$K$5000) / ((Kintoneデータ抽出!$K$2:$K$5000="企業内")), ROW(A20)))&lt;&gt;"",
IF(COUNTIF(INDEX(Kintoneデータ抽出!L:L, _xlfn.AGGREGATE(15, 6, ROW(Kintoneデータ抽出!$K$2:$K$5000) / ((Kintoneデータ抽出!$K$2:$K$5000="企業内")), ROW(A20))),"*企業主導型以外*"),"",
IF(COUNTIF(INDEX(Kintoneデータ抽出!L:L, _xlfn.AGGREGATE(15, 6, ROW(Kintoneデータ抽出!$K$2:$K$5000) / ((Kintoneデータ抽出!$K$2:$K$5000="企業内")), ROW(A20))),"*その他*"),"",
IF(COUNTIF(INDEX(Kintoneデータ抽出!L:L, _xlfn.AGGREGATE(15, 6, ROW(Kintoneデータ抽出!$K$2:$K$5000) / ((Kintoneデータ抽出!$K$2:$K$5000="企業内")), ROW(A20))),"*新制度*"),"新制度","企業主導型"))),""), "")</f>
        <v/>
      </c>
    </row>
    <row r="328" spans="2:16" ht="34.799999999999997" customHeight="1" x14ac:dyDescent="0.45">
      <c r="B328" s="45"/>
      <c r="C328" s="46"/>
      <c r="D328" s="98" t="str">
        <f t="shared" si="6"/>
        <v/>
      </c>
      <c r="E328" s="99"/>
      <c r="F328" s="89" t="str">
        <f t="array" ref="F328">IFERROR(INDEX(Kintoneデータ抽出!A:A, _xlfn.AGGREGATE(15, 6, ROW(Kintoneデータ抽出!$K$2:$K$5000) / ((Kintoneデータ抽出!$K$2:$K$5000="企業内")), ROW(A21))), "")</f>
        <v/>
      </c>
      <c r="G328" s="90" t="str">
        <f t="array" ref="G328">IFERROR(INDEX(Kintoneデータ抽出!D:D,_xlfn.AGGREGATE(15,6,ROW(Kintoneデータ抽出!$K$2:$K$5000)/((Kintoneデータ抽出!$K$2:$K$5000="企業内")),ROW(A21))),"")</f>
        <v/>
      </c>
      <c r="H328" s="89" t="str">
        <f t="array" ref="H328">IFERROR(INDEX(Kintoneデータ抽出!C:C, _xlfn.AGGREGATE(15, 6, ROW(Kintoneデータ抽出!$K$2:$K$5000) / ((Kintoneデータ抽出!$K$2:$K$5000="企業内")), ROW(A21))), "")</f>
        <v/>
      </c>
      <c r="I328" s="75" t="str">
        <f t="array" ref="I328">IFERROR(IF(INDEX(Kintoneデータ抽出!G:G, _xlfn.AGGREGATE(15, 6, ROW(Kintoneデータ抽出!$K$2:$K$5000) / ((Kintoneデータ抽出!$K$2:$K$5000="企業内")), ROW(A21)))&lt;&gt;"",INDEX(Kintoneデータ抽出!G:G, _xlfn.AGGREGATE(15, 6, ROW(Kintoneデータ抽出!$K$2:$K$5000) / ((Kintoneデータ抽出!$K$2:$K$5000="企業内")), ROW(A21)))&amp;"名",""), "")</f>
        <v/>
      </c>
      <c r="J328" s="76" t="str">
        <f t="array" ref="J328">IFERROR(IF(INDEX(Kintoneデータ抽出!E:E, _xlfn.AGGREGATE(15, 6, ROW(Kintoneデータ抽出!$K$2:$K$5000) / ((Kintoneデータ抽出!$K$2:$K$5000="企業内")), ROW(A21)))&lt;&gt;"",
YEAR(INDEX(Kintoneデータ抽出!E:E, _xlfn.AGGREGATE(15, 6, ROW(Kintoneデータ抽出!$K$2:$K$5000) / ((Kintoneデータ抽出!$K$2:$K$5000="企業内")), ROW(A21))))&amp;"年"
&amp;MONTH(INDEX(Kintoneデータ抽出!E:E, _xlfn.AGGREGATE(15, 6, ROW(Kintoneデータ抽出!$K$2:$K$5000) / ((Kintoneデータ抽出!$K$2:$K$5000="企業内")), ROW(A21))))&amp;"月"
&amp;DAY(INDEX(Kintoneデータ抽出!E:E, _xlfn.AGGREGATE(15, 6, ROW(Kintoneデータ抽出!$K$2:$K$5000) /((Kintoneデータ抽出!$K$2:$K$5000="企業内")), ROW(A21))))&amp;"日",""), "")</f>
        <v/>
      </c>
      <c r="K328" s="77" t="str" cm="1">
        <f t="array" ref="K328">IFERROR(IF(INDEX(Kintoneデータ抽出!F:F, _xlfn.AGGREGATE(15, 6, ROW(Kintoneデータ抽出!$K$2:$K$5000) / ((Kintoneデータ抽出!$K$2:$K$5000="企業内")), ROW(A21)))&lt;&gt;"",
VLOOKUP(INDEX(Kintoneデータ抽出!F:F, _xlfn.AGGREGATE(15, 6, ROW(Kintoneデータ抽出!$K$2:$K$5000) / ((Kintoneデータ抽出!$K$2:$K$5000="企業内")), ROW(A21))),基本開園日の表記!$A$2:$B$13,2,FALSE),""), "")</f>
        <v/>
      </c>
      <c r="L328" s="75" t="str">
        <f t="array" ref="L328">IFERROR(IF(INDEX(Kintoneデータ抽出!F:F, _xlfn.AGGREGATE(15, 6, ROW(Kintoneデータ抽出!$K$2:$K$5000) / ((Kintoneデータ抽出!$K$2:$K$5000="企業内")), ROW(A21)))&lt;&gt;"",
IF(COUNTIF(INDEX(Kintoneデータ抽出!F:F, _xlfn.AGGREGATE(15, 6, ROW(Kintoneデータ抽出!$K$2:$K$5000) / ((Kintoneデータ抽出!$K$2:$K$5000="企業内")), ROW(A21))),"*あり*"),"夜間",""),""), "")</f>
        <v/>
      </c>
      <c r="M328" s="75" t="str">
        <f t="array" ref="M328">IFERROR(IF(INDEX(Kintoneデータ抽出!I:I, _xlfn.AGGREGATE(15, 6, ROW(Kintoneデータ抽出!$K$2:$K$5000) / ((Kintoneデータ抽出!$K$2:$K$5000="企業内")), ROW(A21)))&lt;&gt;"",
IF(COUNTIF(INDEX(Kintoneデータ抽出!I:I, _xlfn.AGGREGATE(15, 6, ROW(Kintoneデータ抽出!$K$2:$K$5000) / ((Kintoneデータ抽出!$K$2:$K$5000="企業内")), ROW(A21))),"*あり*"),"学童",""),""), "")</f>
        <v/>
      </c>
      <c r="N328" s="75" t="str">
        <f t="array" ref="N328">IFERROR(IF(INDEX(Kintoneデータ抽出!H:H, _xlfn.AGGREGATE(15, 6, ROW(Kintoneデータ抽出!$K$2:$K$5000) / ((Kintoneデータ抽出!$K$2:$K$5000="企業内")), ROW(A21)))&lt;&gt;"",
IF(COUNTIF(INDEX(Kintoneデータ抽出!H:H, _xlfn.AGGREGATE(15, 6, ROW(Kintoneデータ抽出!$K$2:$K$5000) / ((Kintoneデータ抽出!$K$2:$K$5000="企業内")), ROW(A21))),"*あり*"),"病児",""),""), "")</f>
        <v/>
      </c>
      <c r="O328" s="75" t="str" cm="1">
        <f t="array" ref="O328">IFERROR(
IF(INDEX(Kintoneデータ抽出!M:M, _xlfn.AGGREGATE(15, 6, ROW(Kintoneデータ抽出!$K$2:$K$5000) / ((Kintoneデータ抽出!$K$2:$K$5000="企業内")), ROW(A21)))&lt;&gt;0,INDEX(Kintoneデータ抽出!M:M, _xlfn.AGGREGATE(15, 6, ROW(Kintoneデータ抽出!$K$2:$K$5000) / ((Kintoneデータ抽出!$K$2:$K$5000="企業内")), ROW(A21))),""), "")</f>
        <v/>
      </c>
      <c r="P328" s="78" t="str">
        <f t="array" ref="P328">IFERROR(IF(INDEX(Kintoneデータ抽出!L:L, _xlfn.AGGREGATE(15, 6, ROW(Kintoneデータ抽出!$K$2:$K$5000) / ((Kintoneデータ抽出!$K$2:$K$5000="企業内")), ROW(A21)))&lt;&gt;"",
IF(COUNTIF(INDEX(Kintoneデータ抽出!L:L, _xlfn.AGGREGATE(15, 6, ROW(Kintoneデータ抽出!$K$2:$K$5000) / ((Kintoneデータ抽出!$K$2:$K$5000="企業内")), ROW(A21))),"*企業主導型以外*"),"",
IF(COUNTIF(INDEX(Kintoneデータ抽出!L:L, _xlfn.AGGREGATE(15, 6, ROW(Kintoneデータ抽出!$K$2:$K$5000) / ((Kintoneデータ抽出!$K$2:$K$5000="企業内")), ROW(A21))),"*その他*"),"",
IF(COUNTIF(INDEX(Kintoneデータ抽出!L:L, _xlfn.AGGREGATE(15, 6, ROW(Kintoneデータ抽出!$K$2:$K$5000) / ((Kintoneデータ抽出!$K$2:$K$5000="企業内")), ROW(A21))),"*新制度*"),"新制度","企業主導型"))),""), "")</f>
        <v/>
      </c>
    </row>
    <row r="329" spans="2:16" ht="34.799999999999997" customHeight="1" x14ac:dyDescent="0.45">
      <c r="B329" s="45"/>
      <c r="C329" s="46"/>
      <c r="D329" s="98" t="str">
        <f t="shared" si="6"/>
        <v/>
      </c>
      <c r="E329" s="99"/>
      <c r="F329" s="89" t="str">
        <f t="array" ref="F329">IFERROR(INDEX(Kintoneデータ抽出!A:A, _xlfn.AGGREGATE(15, 6, ROW(Kintoneデータ抽出!$K$2:$K$5000) / ((Kintoneデータ抽出!$K$2:$K$5000="企業内")), ROW(A22))), "")</f>
        <v/>
      </c>
      <c r="G329" s="90" t="str">
        <f t="array" ref="G329">IFERROR(INDEX(Kintoneデータ抽出!D:D,_xlfn.AGGREGATE(15,6,ROW(Kintoneデータ抽出!$K$2:$K$5000)/((Kintoneデータ抽出!$K$2:$K$5000="企業内")),ROW(A22))),"")</f>
        <v/>
      </c>
      <c r="H329" s="89" t="str">
        <f t="array" ref="H329">IFERROR(INDEX(Kintoneデータ抽出!C:C, _xlfn.AGGREGATE(15, 6, ROW(Kintoneデータ抽出!$K$2:$K$5000) / ((Kintoneデータ抽出!$K$2:$K$5000="企業内")), ROW(A22))), "")</f>
        <v/>
      </c>
      <c r="I329" s="75" t="str">
        <f t="array" ref="I329">IFERROR(IF(INDEX(Kintoneデータ抽出!G:G, _xlfn.AGGREGATE(15, 6, ROW(Kintoneデータ抽出!$K$2:$K$5000) / ((Kintoneデータ抽出!$K$2:$K$5000="企業内")), ROW(A22)))&lt;&gt;"",INDEX(Kintoneデータ抽出!G:G, _xlfn.AGGREGATE(15, 6, ROW(Kintoneデータ抽出!$K$2:$K$5000) / ((Kintoneデータ抽出!$K$2:$K$5000="企業内")), ROW(A22)))&amp;"名",""), "")</f>
        <v/>
      </c>
      <c r="J329" s="76" t="str">
        <f t="array" ref="J329">IFERROR(IF(INDEX(Kintoneデータ抽出!E:E, _xlfn.AGGREGATE(15, 6, ROW(Kintoneデータ抽出!$K$2:$K$5000) / ((Kintoneデータ抽出!$K$2:$K$5000="企業内")), ROW(A22)))&lt;&gt;"",
YEAR(INDEX(Kintoneデータ抽出!E:E, _xlfn.AGGREGATE(15, 6, ROW(Kintoneデータ抽出!$K$2:$K$5000) / ((Kintoneデータ抽出!$K$2:$K$5000="企業内")), ROW(A22))))&amp;"年"
&amp;MONTH(INDEX(Kintoneデータ抽出!E:E, _xlfn.AGGREGATE(15, 6, ROW(Kintoneデータ抽出!$K$2:$K$5000) / ((Kintoneデータ抽出!$K$2:$K$5000="企業内")), ROW(A22))))&amp;"月"
&amp;DAY(INDEX(Kintoneデータ抽出!E:E, _xlfn.AGGREGATE(15, 6, ROW(Kintoneデータ抽出!$K$2:$K$5000) /((Kintoneデータ抽出!$K$2:$K$5000="企業内")), ROW(A22))))&amp;"日",""), "")</f>
        <v/>
      </c>
      <c r="K329" s="77" t="str" cm="1">
        <f t="array" ref="K329">IFERROR(IF(INDEX(Kintoneデータ抽出!F:F, _xlfn.AGGREGATE(15, 6, ROW(Kintoneデータ抽出!$K$2:$K$5000) / ((Kintoneデータ抽出!$K$2:$K$5000="企業内")), ROW(A22)))&lt;&gt;"",
VLOOKUP(INDEX(Kintoneデータ抽出!F:F, _xlfn.AGGREGATE(15, 6, ROW(Kintoneデータ抽出!$K$2:$K$5000) / ((Kintoneデータ抽出!$K$2:$K$5000="企業内")), ROW(A22))),基本開園日の表記!$A$2:$B$13,2,FALSE),""), "")</f>
        <v/>
      </c>
      <c r="L329" s="75" t="str">
        <f t="array" ref="L329">IFERROR(IF(INDEX(Kintoneデータ抽出!F:F, _xlfn.AGGREGATE(15, 6, ROW(Kintoneデータ抽出!$K$2:$K$5000) / ((Kintoneデータ抽出!$K$2:$K$5000="企業内")), ROW(A22)))&lt;&gt;"",
IF(COUNTIF(INDEX(Kintoneデータ抽出!F:F, _xlfn.AGGREGATE(15, 6, ROW(Kintoneデータ抽出!$K$2:$K$5000) / ((Kintoneデータ抽出!$K$2:$K$5000="企業内")), ROW(A22))),"*あり*"),"夜間",""),""), "")</f>
        <v/>
      </c>
      <c r="M329" s="75" t="str">
        <f t="array" ref="M329">IFERROR(IF(INDEX(Kintoneデータ抽出!I:I, _xlfn.AGGREGATE(15, 6, ROW(Kintoneデータ抽出!$K$2:$K$5000) / ((Kintoneデータ抽出!$K$2:$K$5000="企業内")), ROW(A22)))&lt;&gt;"",
IF(COUNTIF(INDEX(Kintoneデータ抽出!I:I, _xlfn.AGGREGATE(15, 6, ROW(Kintoneデータ抽出!$K$2:$K$5000) / ((Kintoneデータ抽出!$K$2:$K$5000="企業内")), ROW(A22))),"*あり*"),"学童",""),""), "")</f>
        <v/>
      </c>
      <c r="N329" s="75" t="str">
        <f t="array" ref="N329">IFERROR(IF(INDEX(Kintoneデータ抽出!H:H, _xlfn.AGGREGATE(15, 6, ROW(Kintoneデータ抽出!$K$2:$K$5000) / ((Kintoneデータ抽出!$K$2:$K$5000="企業内")), ROW(A22)))&lt;&gt;"",
IF(COUNTIF(INDEX(Kintoneデータ抽出!H:H, _xlfn.AGGREGATE(15, 6, ROW(Kintoneデータ抽出!$K$2:$K$5000) / ((Kintoneデータ抽出!$K$2:$K$5000="企業内")), ROW(A22))),"*あり*"),"病児",""),""), "")</f>
        <v/>
      </c>
      <c r="O329" s="75" t="str" cm="1">
        <f t="array" ref="O329">IFERROR(
IF(INDEX(Kintoneデータ抽出!M:M, _xlfn.AGGREGATE(15, 6, ROW(Kintoneデータ抽出!$K$2:$K$5000) / ((Kintoneデータ抽出!$K$2:$K$5000="企業内")), ROW(A22)))&lt;&gt;0,INDEX(Kintoneデータ抽出!M:M, _xlfn.AGGREGATE(15, 6, ROW(Kintoneデータ抽出!$K$2:$K$5000) / ((Kintoneデータ抽出!$K$2:$K$5000="企業内")), ROW(A22))),""), "")</f>
        <v/>
      </c>
      <c r="P329" s="78" t="str">
        <f t="array" ref="P329">IFERROR(IF(INDEX(Kintoneデータ抽出!L:L, _xlfn.AGGREGATE(15, 6, ROW(Kintoneデータ抽出!$K$2:$K$5000) / ((Kintoneデータ抽出!$K$2:$K$5000="企業内")), ROW(A22)))&lt;&gt;"",
IF(COUNTIF(INDEX(Kintoneデータ抽出!L:L, _xlfn.AGGREGATE(15, 6, ROW(Kintoneデータ抽出!$K$2:$K$5000) / ((Kintoneデータ抽出!$K$2:$K$5000="企業内")), ROW(A22))),"*企業主導型以外*"),"",
IF(COUNTIF(INDEX(Kintoneデータ抽出!L:L, _xlfn.AGGREGATE(15, 6, ROW(Kintoneデータ抽出!$K$2:$K$5000) / ((Kintoneデータ抽出!$K$2:$K$5000="企業内")), ROW(A22))),"*その他*"),"",
IF(COUNTIF(INDEX(Kintoneデータ抽出!L:L, _xlfn.AGGREGATE(15, 6, ROW(Kintoneデータ抽出!$K$2:$K$5000) / ((Kintoneデータ抽出!$K$2:$K$5000="企業内")), ROW(A22))),"*新制度*"),"新制度","企業主導型"))),""), "")</f>
        <v/>
      </c>
    </row>
    <row r="330" spans="2:16" ht="34.799999999999997" customHeight="1" x14ac:dyDescent="0.45">
      <c r="B330" s="45"/>
      <c r="C330" s="46"/>
      <c r="D330" s="98" t="str">
        <f t="shared" si="6"/>
        <v/>
      </c>
      <c r="E330" s="99"/>
      <c r="F330" s="89" t="str">
        <f t="array" ref="F330">IFERROR(INDEX(Kintoneデータ抽出!A:A, _xlfn.AGGREGATE(15, 6, ROW(Kintoneデータ抽出!$K$2:$K$5000) / ((Kintoneデータ抽出!$K$2:$K$5000="企業内")), ROW(A23))), "")</f>
        <v/>
      </c>
      <c r="G330" s="90" t="str">
        <f t="array" ref="G330">IFERROR(INDEX(Kintoneデータ抽出!D:D,_xlfn.AGGREGATE(15,6,ROW(Kintoneデータ抽出!$K$2:$K$5000)/((Kintoneデータ抽出!$K$2:$K$5000="企業内")),ROW(A23))),"")</f>
        <v/>
      </c>
      <c r="H330" s="89" t="str">
        <f t="array" ref="H330">IFERROR(INDEX(Kintoneデータ抽出!C:C, _xlfn.AGGREGATE(15, 6, ROW(Kintoneデータ抽出!$K$2:$K$5000) / ((Kintoneデータ抽出!$K$2:$K$5000="企業内")), ROW(A23))), "")</f>
        <v/>
      </c>
      <c r="I330" s="75" t="str">
        <f t="array" ref="I330">IFERROR(IF(INDEX(Kintoneデータ抽出!G:G, _xlfn.AGGREGATE(15, 6, ROW(Kintoneデータ抽出!$K$2:$K$5000) / ((Kintoneデータ抽出!$K$2:$K$5000="企業内")), ROW(A23)))&lt;&gt;"",INDEX(Kintoneデータ抽出!G:G, _xlfn.AGGREGATE(15, 6, ROW(Kintoneデータ抽出!$K$2:$K$5000) / ((Kintoneデータ抽出!$K$2:$K$5000="企業内")), ROW(A23)))&amp;"名",""), "")</f>
        <v/>
      </c>
      <c r="J330" s="76" t="str">
        <f t="array" ref="J330">IFERROR(IF(INDEX(Kintoneデータ抽出!E:E, _xlfn.AGGREGATE(15, 6, ROW(Kintoneデータ抽出!$K$2:$K$5000) / ((Kintoneデータ抽出!$K$2:$K$5000="企業内")), ROW(A23)))&lt;&gt;"",
YEAR(INDEX(Kintoneデータ抽出!E:E, _xlfn.AGGREGATE(15, 6, ROW(Kintoneデータ抽出!$K$2:$K$5000) / ((Kintoneデータ抽出!$K$2:$K$5000="企業内")), ROW(A23))))&amp;"年"
&amp;MONTH(INDEX(Kintoneデータ抽出!E:E, _xlfn.AGGREGATE(15, 6, ROW(Kintoneデータ抽出!$K$2:$K$5000) / ((Kintoneデータ抽出!$K$2:$K$5000="企業内")), ROW(A23))))&amp;"月"
&amp;DAY(INDEX(Kintoneデータ抽出!E:E, _xlfn.AGGREGATE(15, 6, ROW(Kintoneデータ抽出!$K$2:$K$5000) /((Kintoneデータ抽出!$K$2:$K$5000="企業内")), ROW(A23))))&amp;"日",""), "")</f>
        <v/>
      </c>
      <c r="K330" s="77" t="str" cm="1">
        <f t="array" ref="K330">IFERROR(IF(INDEX(Kintoneデータ抽出!F:F, _xlfn.AGGREGATE(15, 6, ROW(Kintoneデータ抽出!$K$2:$K$5000) / ((Kintoneデータ抽出!$K$2:$K$5000="企業内")), ROW(A23)))&lt;&gt;"",
VLOOKUP(INDEX(Kintoneデータ抽出!F:F, _xlfn.AGGREGATE(15, 6, ROW(Kintoneデータ抽出!$K$2:$K$5000) / ((Kintoneデータ抽出!$K$2:$K$5000="企業内")), ROW(A23))),基本開園日の表記!$A$2:$B$13,2,FALSE),""), "")</f>
        <v/>
      </c>
      <c r="L330" s="75" t="str">
        <f t="array" ref="L330">IFERROR(IF(INDEX(Kintoneデータ抽出!F:F, _xlfn.AGGREGATE(15, 6, ROW(Kintoneデータ抽出!$K$2:$K$5000) / ((Kintoneデータ抽出!$K$2:$K$5000="企業内")), ROW(A23)))&lt;&gt;"",
IF(COUNTIF(INDEX(Kintoneデータ抽出!F:F, _xlfn.AGGREGATE(15, 6, ROW(Kintoneデータ抽出!$K$2:$K$5000) / ((Kintoneデータ抽出!$K$2:$K$5000="企業内")), ROW(A23))),"*あり*"),"夜間",""),""), "")</f>
        <v/>
      </c>
      <c r="M330" s="75" t="str">
        <f t="array" ref="M330">IFERROR(IF(INDEX(Kintoneデータ抽出!I:I, _xlfn.AGGREGATE(15, 6, ROW(Kintoneデータ抽出!$K$2:$K$5000) / ((Kintoneデータ抽出!$K$2:$K$5000="企業内")), ROW(A23)))&lt;&gt;"",
IF(COUNTIF(INDEX(Kintoneデータ抽出!I:I, _xlfn.AGGREGATE(15, 6, ROW(Kintoneデータ抽出!$K$2:$K$5000) / ((Kintoneデータ抽出!$K$2:$K$5000="企業内")), ROW(A23))),"*あり*"),"学童",""),""), "")</f>
        <v/>
      </c>
      <c r="N330" s="75" t="str">
        <f t="array" ref="N330">IFERROR(IF(INDEX(Kintoneデータ抽出!H:H, _xlfn.AGGREGATE(15, 6, ROW(Kintoneデータ抽出!$K$2:$K$5000) / ((Kintoneデータ抽出!$K$2:$K$5000="企業内")), ROW(A23)))&lt;&gt;"",
IF(COUNTIF(INDEX(Kintoneデータ抽出!H:H, _xlfn.AGGREGATE(15, 6, ROW(Kintoneデータ抽出!$K$2:$K$5000) / ((Kintoneデータ抽出!$K$2:$K$5000="企業内")), ROW(A23))),"*あり*"),"病児",""),""), "")</f>
        <v/>
      </c>
      <c r="O330" s="75" t="str" cm="1">
        <f t="array" ref="O330">IFERROR(
IF(INDEX(Kintoneデータ抽出!M:M, _xlfn.AGGREGATE(15, 6, ROW(Kintoneデータ抽出!$K$2:$K$5000) / ((Kintoneデータ抽出!$K$2:$K$5000="企業内")), ROW(A23)))&lt;&gt;0,INDEX(Kintoneデータ抽出!M:M, _xlfn.AGGREGATE(15, 6, ROW(Kintoneデータ抽出!$K$2:$K$5000) / ((Kintoneデータ抽出!$K$2:$K$5000="企業内")), ROW(A23))),""), "")</f>
        <v/>
      </c>
      <c r="P330" s="78" t="str">
        <f t="array" ref="P330">IFERROR(IF(INDEX(Kintoneデータ抽出!L:L, _xlfn.AGGREGATE(15, 6, ROW(Kintoneデータ抽出!$K$2:$K$5000) / ((Kintoneデータ抽出!$K$2:$K$5000="企業内")), ROW(A23)))&lt;&gt;"",
IF(COUNTIF(INDEX(Kintoneデータ抽出!L:L, _xlfn.AGGREGATE(15, 6, ROW(Kintoneデータ抽出!$K$2:$K$5000) / ((Kintoneデータ抽出!$K$2:$K$5000="企業内")), ROW(A23))),"*企業主導型以外*"),"",
IF(COUNTIF(INDEX(Kintoneデータ抽出!L:L, _xlfn.AGGREGATE(15, 6, ROW(Kintoneデータ抽出!$K$2:$K$5000) / ((Kintoneデータ抽出!$K$2:$K$5000="企業内")), ROW(A23))),"*その他*"),"",
IF(COUNTIF(INDEX(Kintoneデータ抽出!L:L, _xlfn.AGGREGATE(15, 6, ROW(Kintoneデータ抽出!$K$2:$K$5000) / ((Kintoneデータ抽出!$K$2:$K$5000="企業内")), ROW(A23))),"*新制度*"),"新制度","企業主導型"))),""), "")</f>
        <v/>
      </c>
    </row>
    <row r="331" spans="2:16" ht="34.799999999999997" customHeight="1" x14ac:dyDescent="0.45">
      <c r="B331" s="45"/>
      <c r="C331" s="46"/>
      <c r="D331" s="98" t="str">
        <f t="shared" si="6"/>
        <v/>
      </c>
      <c r="E331" s="99"/>
      <c r="F331" s="89" t="str">
        <f t="array" ref="F331">IFERROR(INDEX(Kintoneデータ抽出!A:A, _xlfn.AGGREGATE(15, 6, ROW(Kintoneデータ抽出!$K$2:$K$5000) / ((Kintoneデータ抽出!$K$2:$K$5000="企業内")), ROW(A24))), "")</f>
        <v/>
      </c>
      <c r="G331" s="90" t="str">
        <f t="array" ref="G331">IFERROR(INDEX(Kintoneデータ抽出!D:D,_xlfn.AGGREGATE(15,6,ROW(Kintoneデータ抽出!$K$2:$K$5000)/((Kintoneデータ抽出!$K$2:$K$5000="企業内")),ROW(A24))),"")</f>
        <v/>
      </c>
      <c r="H331" s="89" t="str">
        <f t="array" ref="H331">IFERROR(INDEX(Kintoneデータ抽出!C:C, _xlfn.AGGREGATE(15, 6, ROW(Kintoneデータ抽出!$K$2:$K$5000) / ((Kintoneデータ抽出!$K$2:$K$5000="企業内")), ROW(A24))), "")</f>
        <v/>
      </c>
      <c r="I331" s="75" t="str">
        <f t="array" ref="I331">IFERROR(IF(INDEX(Kintoneデータ抽出!G:G, _xlfn.AGGREGATE(15, 6, ROW(Kintoneデータ抽出!$K$2:$K$5000) / ((Kintoneデータ抽出!$K$2:$K$5000="企業内")), ROW(A24)))&lt;&gt;"",INDEX(Kintoneデータ抽出!G:G, _xlfn.AGGREGATE(15, 6, ROW(Kintoneデータ抽出!$K$2:$K$5000) / ((Kintoneデータ抽出!$K$2:$K$5000="企業内")), ROW(A24)))&amp;"名",""), "")</f>
        <v/>
      </c>
      <c r="J331" s="76" t="str">
        <f t="array" ref="J331">IFERROR(IF(INDEX(Kintoneデータ抽出!E:E, _xlfn.AGGREGATE(15, 6, ROW(Kintoneデータ抽出!$K$2:$K$5000) / ((Kintoneデータ抽出!$K$2:$K$5000="企業内")), ROW(A24)))&lt;&gt;"",
YEAR(INDEX(Kintoneデータ抽出!E:E, _xlfn.AGGREGATE(15, 6, ROW(Kintoneデータ抽出!$K$2:$K$5000) / ((Kintoneデータ抽出!$K$2:$K$5000="企業内")), ROW(A24))))&amp;"年"
&amp;MONTH(INDEX(Kintoneデータ抽出!E:E, _xlfn.AGGREGATE(15, 6, ROW(Kintoneデータ抽出!$K$2:$K$5000) / ((Kintoneデータ抽出!$K$2:$K$5000="企業内")), ROW(A24))))&amp;"月"
&amp;DAY(INDEX(Kintoneデータ抽出!E:E, _xlfn.AGGREGATE(15, 6, ROW(Kintoneデータ抽出!$K$2:$K$5000) /((Kintoneデータ抽出!$K$2:$K$5000="企業内")), ROW(A24))))&amp;"日",""), "")</f>
        <v/>
      </c>
      <c r="K331" s="77" t="str" cm="1">
        <f t="array" ref="K331">IFERROR(IF(INDEX(Kintoneデータ抽出!F:F, _xlfn.AGGREGATE(15, 6, ROW(Kintoneデータ抽出!$K$2:$K$5000) / ((Kintoneデータ抽出!$K$2:$K$5000="企業内")), ROW(A24)))&lt;&gt;"",
VLOOKUP(INDEX(Kintoneデータ抽出!F:F, _xlfn.AGGREGATE(15, 6, ROW(Kintoneデータ抽出!$K$2:$K$5000) / ((Kintoneデータ抽出!$K$2:$K$5000="企業内")), ROW(A24))),基本開園日の表記!$A$2:$B$13,2,FALSE),""), "")</f>
        <v/>
      </c>
      <c r="L331" s="75" t="str">
        <f t="array" ref="L331">IFERROR(IF(INDEX(Kintoneデータ抽出!F:F, _xlfn.AGGREGATE(15, 6, ROW(Kintoneデータ抽出!$K$2:$K$5000) / ((Kintoneデータ抽出!$K$2:$K$5000="企業内")), ROW(A24)))&lt;&gt;"",
IF(COUNTIF(INDEX(Kintoneデータ抽出!F:F, _xlfn.AGGREGATE(15, 6, ROW(Kintoneデータ抽出!$K$2:$K$5000) / ((Kintoneデータ抽出!$K$2:$K$5000="企業内")), ROW(A24))),"*あり*"),"夜間",""),""), "")</f>
        <v/>
      </c>
      <c r="M331" s="75" t="str">
        <f t="array" ref="M331">IFERROR(IF(INDEX(Kintoneデータ抽出!I:I, _xlfn.AGGREGATE(15, 6, ROW(Kintoneデータ抽出!$K$2:$K$5000) / ((Kintoneデータ抽出!$K$2:$K$5000="企業内")), ROW(A24)))&lt;&gt;"",
IF(COUNTIF(INDEX(Kintoneデータ抽出!I:I, _xlfn.AGGREGATE(15, 6, ROW(Kintoneデータ抽出!$K$2:$K$5000) / ((Kintoneデータ抽出!$K$2:$K$5000="企業内")), ROW(A24))),"*あり*"),"学童",""),""), "")</f>
        <v/>
      </c>
      <c r="N331" s="75" t="str">
        <f t="array" ref="N331">IFERROR(IF(INDEX(Kintoneデータ抽出!H:H, _xlfn.AGGREGATE(15, 6, ROW(Kintoneデータ抽出!$K$2:$K$5000) / ((Kintoneデータ抽出!$K$2:$K$5000="企業内")), ROW(A24)))&lt;&gt;"",
IF(COUNTIF(INDEX(Kintoneデータ抽出!H:H, _xlfn.AGGREGATE(15, 6, ROW(Kintoneデータ抽出!$K$2:$K$5000) / ((Kintoneデータ抽出!$K$2:$K$5000="企業内")), ROW(A24))),"*あり*"),"病児",""),""), "")</f>
        <v/>
      </c>
      <c r="O331" s="75" t="str" cm="1">
        <f t="array" ref="O331">IFERROR(
IF(INDEX(Kintoneデータ抽出!M:M, _xlfn.AGGREGATE(15, 6, ROW(Kintoneデータ抽出!$K$2:$K$5000) / ((Kintoneデータ抽出!$K$2:$K$5000="企業内")), ROW(A24)))&lt;&gt;0,INDEX(Kintoneデータ抽出!M:M, _xlfn.AGGREGATE(15, 6, ROW(Kintoneデータ抽出!$K$2:$K$5000) / ((Kintoneデータ抽出!$K$2:$K$5000="企業内")), ROW(A24))),""), "")</f>
        <v/>
      </c>
      <c r="P331" s="78" t="str">
        <f t="array" ref="P331">IFERROR(IF(INDEX(Kintoneデータ抽出!L:L, _xlfn.AGGREGATE(15, 6, ROW(Kintoneデータ抽出!$K$2:$K$5000) / ((Kintoneデータ抽出!$K$2:$K$5000="企業内")), ROW(A24)))&lt;&gt;"",
IF(COUNTIF(INDEX(Kintoneデータ抽出!L:L, _xlfn.AGGREGATE(15, 6, ROW(Kintoneデータ抽出!$K$2:$K$5000) / ((Kintoneデータ抽出!$K$2:$K$5000="企業内")), ROW(A24))),"*企業主導型以外*"),"",
IF(COUNTIF(INDEX(Kintoneデータ抽出!L:L, _xlfn.AGGREGATE(15, 6, ROW(Kintoneデータ抽出!$K$2:$K$5000) / ((Kintoneデータ抽出!$K$2:$K$5000="企業内")), ROW(A24))),"*その他*"),"",
IF(COUNTIF(INDEX(Kintoneデータ抽出!L:L, _xlfn.AGGREGATE(15, 6, ROW(Kintoneデータ抽出!$K$2:$K$5000) / ((Kintoneデータ抽出!$K$2:$K$5000="企業内")), ROW(A24))),"*新制度*"),"新制度","企業主導型"))),""), "")</f>
        <v/>
      </c>
    </row>
    <row r="332" spans="2:16" ht="34.799999999999997" customHeight="1" x14ac:dyDescent="0.45">
      <c r="B332" s="45"/>
      <c r="C332" s="46"/>
      <c r="D332" s="98" t="str">
        <f t="shared" si="6"/>
        <v/>
      </c>
      <c r="E332" s="99"/>
      <c r="F332" s="89" t="str">
        <f t="array" ref="F332">IFERROR(INDEX(Kintoneデータ抽出!A:A, _xlfn.AGGREGATE(15, 6, ROW(Kintoneデータ抽出!$K$2:$K$5000) / ((Kintoneデータ抽出!$K$2:$K$5000="企業内")), ROW(A25))), "")</f>
        <v/>
      </c>
      <c r="G332" s="90" t="str">
        <f t="array" ref="G332">IFERROR(INDEX(Kintoneデータ抽出!D:D,_xlfn.AGGREGATE(15,6,ROW(Kintoneデータ抽出!$K$2:$K$5000)/((Kintoneデータ抽出!$K$2:$K$5000="企業内")),ROW(A25))),"")</f>
        <v/>
      </c>
      <c r="H332" s="89" t="str">
        <f t="array" ref="H332">IFERROR(INDEX(Kintoneデータ抽出!C:C, _xlfn.AGGREGATE(15, 6, ROW(Kintoneデータ抽出!$K$2:$K$5000) / ((Kintoneデータ抽出!$K$2:$K$5000="企業内")), ROW(A25))), "")</f>
        <v/>
      </c>
      <c r="I332" s="75" t="str">
        <f t="array" ref="I332">IFERROR(IF(INDEX(Kintoneデータ抽出!G:G, _xlfn.AGGREGATE(15, 6, ROW(Kintoneデータ抽出!$K$2:$K$5000) / ((Kintoneデータ抽出!$K$2:$K$5000="企業内")), ROW(A25)))&lt;&gt;"",INDEX(Kintoneデータ抽出!G:G, _xlfn.AGGREGATE(15, 6, ROW(Kintoneデータ抽出!$K$2:$K$5000) / ((Kintoneデータ抽出!$K$2:$K$5000="企業内")), ROW(A25)))&amp;"名",""), "")</f>
        <v/>
      </c>
      <c r="J332" s="76" t="str">
        <f t="array" ref="J332">IFERROR(IF(INDEX(Kintoneデータ抽出!E:E, _xlfn.AGGREGATE(15, 6, ROW(Kintoneデータ抽出!$K$2:$K$5000) / ((Kintoneデータ抽出!$K$2:$K$5000="企業内")), ROW(A25)))&lt;&gt;"",
YEAR(INDEX(Kintoneデータ抽出!E:E, _xlfn.AGGREGATE(15, 6, ROW(Kintoneデータ抽出!$K$2:$K$5000) / ((Kintoneデータ抽出!$K$2:$K$5000="企業内")), ROW(A25))))&amp;"年"
&amp;MONTH(INDEX(Kintoneデータ抽出!E:E, _xlfn.AGGREGATE(15, 6, ROW(Kintoneデータ抽出!$K$2:$K$5000) / ((Kintoneデータ抽出!$K$2:$K$5000="企業内")), ROW(A25))))&amp;"月"
&amp;DAY(INDEX(Kintoneデータ抽出!E:E, _xlfn.AGGREGATE(15, 6, ROW(Kintoneデータ抽出!$K$2:$K$5000) /((Kintoneデータ抽出!$K$2:$K$5000="企業内")), ROW(A25))))&amp;"日",""), "")</f>
        <v/>
      </c>
      <c r="K332" s="77" t="str" cm="1">
        <f t="array" ref="K332">IFERROR(IF(INDEX(Kintoneデータ抽出!F:F, _xlfn.AGGREGATE(15, 6, ROW(Kintoneデータ抽出!$K$2:$K$5000) / ((Kintoneデータ抽出!$K$2:$K$5000="企業内")), ROW(A25)))&lt;&gt;"",
VLOOKUP(INDEX(Kintoneデータ抽出!F:F, _xlfn.AGGREGATE(15, 6, ROW(Kintoneデータ抽出!$K$2:$K$5000) / ((Kintoneデータ抽出!$K$2:$K$5000="企業内")), ROW(A25))),基本開園日の表記!$A$2:$B$13,2,FALSE),""), "")</f>
        <v/>
      </c>
      <c r="L332" s="75" t="str">
        <f t="array" ref="L332">IFERROR(IF(INDEX(Kintoneデータ抽出!F:F, _xlfn.AGGREGATE(15, 6, ROW(Kintoneデータ抽出!$K$2:$K$5000) / ((Kintoneデータ抽出!$K$2:$K$5000="企業内")), ROW(A25)))&lt;&gt;"",
IF(COUNTIF(INDEX(Kintoneデータ抽出!F:F, _xlfn.AGGREGATE(15, 6, ROW(Kintoneデータ抽出!$K$2:$K$5000) / ((Kintoneデータ抽出!$K$2:$K$5000="企業内")), ROW(A25))),"*あり*"),"夜間",""),""), "")</f>
        <v/>
      </c>
      <c r="M332" s="75" t="str">
        <f t="array" ref="M332">IFERROR(IF(INDEX(Kintoneデータ抽出!I:I, _xlfn.AGGREGATE(15, 6, ROW(Kintoneデータ抽出!$K$2:$K$5000) / ((Kintoneデータ抽出!$K$2:$K$5000="企業内")), ROW(A25)))&lt;&gt;"",
IF(COUNTIF(INDEX(Kintoneデータ抽出!I:I, _xlfn.AGGREGATE(15, 6, ROW(Kintoneデータ抽出!$K$2:$K$5000) / ((Kintoneデータ抽出!$K$2:$K$5000="企業内")), ROW(A25))),"*あり*"),"学童",""),""), "")</f>
        <v/>
      </c>
      <c r="N332" s="75" t="str">
        <f t="array" ref="N332">IFERROR(IF(INDEX(Kintoneデータ抽出!H:H, _xlfn.AGGREGATE(15, 6, ROW(Kintoneデータ抽出!$K$2:$K$5000) / ((Kintoneデータ抽出!$K$2:$K$5000="企業内")), ROW(A25)))&lt;&gt;"",
IF(COUNTIF(INDEX(Kintoneデータ抽出!H:H, _xlfn.AGGREGATE(15, 6, ROW(Kintoneデータ抽出!$K$2:$K$5000) / ((Kintoneデータ抽出!$K$2:$K$5000="企業内")), ROW(A25))),"*あり*"),"病児",""),""), "")</f>
        <v/>
      </c>
      <c r="O332" s="75" t="str" cm="1">
        <f t="array" ref="O332">IFERROR(
IF(INDEX(Kintoneデータ抽出!M:M, _xlfn.AGGREGATE(15, 6, ROW(Kintoneデータ抽出!$K$2:$K$5000) / ((Kintoneデータ抽出!$K$2:$K$5000="企業内")), ROW(A25)))&lt;&gt;0,INDEX(Kintoneデータ抽出!M:M, _xlfn.AGGREGATE(15, 6, ROW(Kintoneデータ抽出!$K$2:$K$5000) / ((Kintoneデータ抽出!$K$2:$K$5000="企業内")), ROW(A25))),""), "")</f>
        <v/>
      </c>
      <c r="P332" s="78" t="str">
        <f t="array" ref="P332">IFERROR(IF(INDEX(Kintoneデータ抽出!L:L, _xlfn.AGGREGATE(15, 6, ROW(Kintoneデータ抽出!$K$2:$K$5000) / ((Kintoneデータ抽出!$K$2:$K$5000="企業内")), ROW(A25)))&lt;&gt;"",
IF(COUNTIF(INDEX(Kintoneデータ抽出!L:L, _xlfn.AGGREGATE(15, 6, ROW(Kintoneデータ抽出!$K$2:$K$5000) / ((Kintoneデータ抽出!$K$2:$K$5000="企業内")), ROW(A25))),"*企業主導型以外*"),"",
IF(COUNTIF(INDEX(Kintoneデータ抽出!L:L, _xlfn.AGGREGATE(15, 6, ROW(Kintoneデータ抽出!$K$2:$K$5000) / ((Kintoneデータ抽出!$K$2:$K$5000="企業内")), ROW(A25))),"*その他*"),"",
IF(COUNTIF(INDEX(Kintoneデータ抽出!L:L, _xlfn.AGGREGATE(15, 6, ROW(Kintoneデータ抽出!$K$2:$K$5000) / ((Kintoneデータ抽出!$K$2:$K$5000="企業内")), ROW(A25))),"*新制度*"),"新制度","企業主導型"))),""), "")</f>
        <v/>
      </c>
    </row>
    <row r="333" spans="2:16" ht="34.799999999999997" customHeight="1" x14ac:dyDescent="0.45">
      <c r="B333" s="45"/>
      <c r="C333" s="46"/>
      <c r="D333" s="98" t="str">
        <f t="shared" si="6"/>
        <v/>
      </c>
      <c r="E333" s="99"/>
      <c r="F333" s="89" t="str">
        <f t="array" ref="F333">IFERROR(INDEX(Kintoneデータ抽出!A:A, _xlfn.AGGREGATE(15, 6, ROW(Kintoneデータ抽出!$K$2:$K$5000) / ((Kintoneデータ抽出!$K$2:$K$5000="企業内")), ROW(A26))), "")</f>
        <v/>
      </c>
      <c r="G333" s="90" t="str">
        <f t="array" ref="G333">IFERROR(INDEX(Kintoneデータ抽出!D:D,_xlfn.AGGREGATE(15,6,ROW(Kintoneデータ抽出!$K$2:$K$5000)/((Kintoneデータ抽出!$K$2:$K$5000="企業内")),ROW(A26))),"")</f>
        <v/>
      </c>
      <c r="H333" s="89" t="str">
        <f t="array" ref="H333">IFERROR(INDEX(Kintoneデータ抽出!C:C, _xlfn.AGGREGATE(15, 6, ROW(Kintoneデータ抽出!$K$2:$K$5000) / ((Kintoneデータ抽出!$K$2:$K$5000="企業内")), ROW(A26))), "")</f>
        <v/>
      </c>
      <c r="I333" s="75" t="str">
        <f t="array" ref="I333">IFERROR(IF(INDEX(Kintoneデータ抽出!G:G, _xlfn.AGGREGATE(15, 6, ROW(Kintoneデータ抽出!$K$2:$K$5000) / ((Kintoneデータ抽出!$K$2:$K$5000="企業内")), ROW(A26)))&lt;&gt;"",INDEX(Kintoneデータ抽出!G:G, _xlfn.AGGREGATE(15, 6, ROW(Kintoneデータ抽出!$K$2:$K$5000) / ((Kintoneデータ抽出!$K$2:$K$5000="企業内")), ROW(A26)))&amp;"名",""), "")</f>
        <v/>
      </c>
      <c r="J333" s="76" t="str">
        <f t="array" ref="J333">IFERROR(IF(INDEX(Kintoneデータ抽出!E:E, _xlfn.AGGREGATE(15, 6, ROW(Kintoneデータ抽出!$K$2:$K$5000) / ((Kintoneデータ抽出!$K$2:$K$5000="企業内")), ROW(A26)))&lt;&gt;"",
YEAR(INDEX(Kintoneデータ抽出!E:E, _xlfn.AGGREGATE(15, 6, ROW(Kintoneデータ抽出!$K$2:$K$5000) / ((Kintoneデータ抽出!$K$2:$K$5000="企業内")), ROW(A26))))&amp;"年"
&amp;MONTH(INDEX(Kintoneデータ抽出!E:E, _xlfn.AGGREGATE(15, 6, ROW(Kintoneデータ抽出!$K$2:$K$5000) / ((Kintoneデータ抽出!$K$2:$K$5000="企業内")), ROW(A26))))&amp;"月"
&amp;DAY(INDEX(Kintoneデータ抽出!E:E, _xlfn.AGGREGATE(15, 6, ROW(Kintoneデータ抽出!$K$2:$K$5000) /((Kintoneデータ抽出!$K$2:$K$5000="企業内")), ROW(A26))))&amp;"日",""), "")</f>
        <v/>
      </c>
      <c r="K333" s="77" t="str" cm="1">
        <f t="array" ref="K333">IFERROR(IF(INDEX(Kintoneデータ抽出!F:F, _xlfn.AGGREGATE(15, 6, ROW(Kintoneデータ抽出!$K$2:$K$5000) / ((Kintoneデータ抽出!$K$2:$K$5000="企業内")), ROW(A26)))&lt;&gt;"",
VLOOKUP(INDEX(Kintoneデータ抽出!F:F, _xlfn.AGGREGATE(15, 6, ROW(Kintoneデータ抽出!$K$2:$K$5000) / ((Kintoneデータ抽出!$K$2:$K$5000="企業内")), ROW(A26))),基本開園日の表記!$A$2:$B$13,2,FALSE),""), "")</f>
        <v/>
      </c>
      <c r="L333" s="75" t="str">
        <f t="array" ref="L333">IFERROR(IF(INDEX(Kintoneデータ抽出!F:F, _xlfn.AGGREGATE(15, 6, ROW(Kintoneデータ抽出!$K$2:$K$5000) / ((Kintoneデータ抽出!$K$2:$K$5000="企業内")), ROW(A26)))&lt;&gt;"",
IF(COUNTIF(INDEX(Kintoneデータ抽出!F:F, _xlfn.AGGREGATE(15, 6, ROW(Kintoneデータ抽出!$K$2:$K$5000) / ((Kintoneデータ抽出!$K$2:$K$5000="企業内")), ROW(A26))),"*あり*"),"夜間",""),""), "")</f>
        <v/>
      </c>
      <c r="M333" s="75" t="str">
        <f t="array" ref="M333">IFERROR(IF(INDEX(Kintoneデータ抽出!I:I, _xlfn.AGGREGATE(15, 6, ROW(Kintoneデータ抽出!$K$2:$K$5000) / ((Kintoneデータ抽出!$K$2:$K$5000="企業内")), ROW(A26)))&lt;&gt;"",
IF(COUNTIF(INDEX(Kintoneデータ抽出!I:I, _xlfn.AGGREGATE(15, 6, ROW(Kintoneデータ抽出!$K$2:$K$5000) / ((Kintoneデータ抽出!$K$2:$K$5000="企業内")), ROW(A26))),"*あり*"),"学童",""),""), "")</f>
        <v/>
      </c>
      <c r="N333" s="75" t="str">
        <f t="array" ref="N333">IFERROR(IF(INDEX(Kintoneデータ抽出!H:H, _xlfn.AGGREGATE(15, 6, ROW(Kintoneデータ抽出!$K$2:$K$5000) / ((Kintoneデータ抽出!$K$2:$K$5000="企業内")), ROW(A26)))&lt;&gt;"",
IF(COUNTIF(INDEX(Kintoneデータ抽出!H:H, _xlfn.AGGREGATE(15, 6, ROW(Kintoneデータ抽出!$K$2:$K$5000) / ((Kintoneデータ抽出!$K$2:$K$5000="企業内")), ROW(A26))),"*あり*"),"病児",""),""), "")</f>
        <v/>
      </c>
      <c r="O333" s="75" t="str" cm="1">
        <f t="array" ref="O333">IFERROR(
IF(INDEX(Kintoneデータ抽出!M:M, _xlfn.AGGREGATE(15, 6, ROW(Kintoneデータ抽出!$K$2:$K$5000) / ((Kintoneデータ抽出!$K$2:$K$5000="企業内")), ROW(A26)))&lt;&gt;0,INDEX(Kintoneデータ抽出!M:M, _xlfn.AGGREGATE(15, 6, ROW(Kintoneデータ抽出!$K$2:$K$5000) / ((Kintoneデータ抽出!$K$2:$K$5000="企業内")), ROW(A26))),""), "")</f>
        <v/>
      </c>
      <c r="P333" s="78" t="str">
        <f t="array" ref="P333">IFERROR(IF(INDEX(Kintoneデータ抽出!L:L, _xlfn.AGGREGATE(15, 6, ROW(Kintoneデータ抽出!$K$2:$K$5000) / ((Kintoneデータ抽出!$K$2:$K$5000="企業内")), ROW(A26)))&lt;&gt;"",
IF(COUNTIF(INDEX(Kintoneデータ抽出!L:L, _xlfn.AGGREGATE(15, 6, ROW(Kintoneデータ抽出!$K$2:$K$5000) / ((Kintoneデータ抽出!$K$2:$K$5000="企業内")), ROW(A26))),"*企業主導型以外*"),"",
IF(COUNTIF(INDEX(Kintoneデータ抽出!L:L, _xlfn.AGGREGATE(15, 6, ROW(Kintoneデータ抽出!$K$2:$K$5000) / ((Kintoneデータ抽出!$K$2:$K$5000="企業内")), ROW(A26))),"*その他*"),"",
IF(COUNTIF(INDEX(Kintoneデータ抽出!L:L, _xlfn.AGGREGATE(15, 6, ROW(Kintoneデータ抽出!$K$2:$K$5000) / ((Kintoneデータ抽出!$K$2:$K$5000="企業内")), ROW(A26))),"*新制度*"),"新制度","企業主導型"))),""), "")</f>
        <v/>
      </c>
    </row>
    <row r="334" spans="2:16" ht="34.799999999999997" customHeight="1" x14ac:dyDescent="0.45">
      <c r="B334" s="45"/>
      <c r="C334" s="46"/>
      <c r="D334" s="98" t="str">
        <f t="shared" si="6"/>
        <v/>
      </c>
      <c r="E334" s="99"/>
      <c r="F334" s="89" t="str">
        <f t="array" ref="F334">IFERROR(INDEX(Kintoneデータ抽出!A:A, _xlfn.AGGREGATE(15, 6, ROW(Kintoneデータ抽出!$K$2:$K$5000) / ((Kintoneデータ抽出!$K$2:$K$5000="企業内")), ROW(A27))), "")</f>
        <v/>
      </c>
      <c r="G334" s="90" t="str">
        <f t="array" ref="G334">IFERROR(INDEX(Kintoneデータ抽出!D:D,_xlfn.AGGREGATE(15,6,ROW(Kintoneデータ抽出!$K$2:$K$5000)/((Kintoneデータ抽出!$K$2:$K$5000="企業内")),ROW(A27))),"")</f>
        <v/>
      </c>
      <c r="H334" s="89" t="str">
        <f t="array" ref="H334">IFERROR(INDEX(Kintoneデータ抽出!C:C, _xlfn.AGGREGATE(15, 6, ROW(Kintoneデータ抽出!$K$2:$K$5000) / ((Kintoneデータ抽出!$K$2:$K$5000="企業内")), ROW(A27))), "")</f>
        <v/>
      </c>
      <c r="I334" s="75" t="str">
        <f t="array" ref="I334">IFERROR(IF(INDEX(Kintoneデータ抽出!G:G, _xlfn.AGGREGATE(15, 6, ROW(Kintoneデータ抽出!$K$2:$K$5000) / ((Kintoneデータ抽出!$K$2:$K$5000="企業内")), ROW(A27)))&lt;&gt;"",INDEX(Kintoneデータ抽出!G:G, _xlfn.AGGREGATE(15, 6, ROW(Kintoneデータ抽出!$K$2:$K$5000) / ((Kintoneデータ抽出!$K$2:$K$5000="企業内")), ROW(A27)))&amp;"名",""), "")</f>
        <v/>
      </c>
      <c r="J334" s="76" t="str">
        <f t="array" ref="J334">IFERROR(IF(INDEX(Kintoneデータ抽出!E:E, _xlfn.AGGREGATE(15, 6, ROW(Kintoneデータ抽出!$K$2:$K$5000) / ((Kintoneデータ抽出!$K$2:$K$5000="企業内")), ROW(A27)))&lt;&gt;"",
YEAR(INDEX(Kintoneデータ抽出!E:E, _xlfn.AGGREGATE(15, 6, ROW(Kintoneデータ抽出!$K$2:$K$5000) / ((Kintoneデータ抽出!$K$2:$K$5000="企業内")), ROW(A27))))&amp;"年"
&amp;MONTH(INDEX(Kintoneデータ抽出!E:E, _xlfn.AGGREGATE(15, 6, ROW(Kintoneデータ抽出!$K$2:$K$5000) / ((Kintoneデータ抽出!$K$2:$K$5000="企業内")), ROW(A27))))&amp;"月"
&amp;DAY(INDEX(Kintoneデータ抽出!E:E, _xlfn.AGGREGATE(15, 6, ROW(Kintoneデータ抽出!$K$2:$K$5000) /((Kintoneデータ抽出!$K$2:$K$5000="企業内")), ROW(A27))))&amp;"日",""), "")</f>
        <v/>
      </c>
      <c r="K334" s="77" t="str" cm="1">
        <f t="array" ref="K334">IFERROR(IF(INDEX(Kintoneデータ抽出!F:F, _xlfn.AGGREGATE(15, 6, ROW(Kintoneデータ抽出!$K$2:$K$5000) / ((Kintoneデータ抽出!$K$2:$K$5000="企業内")), ROW(A27)))&lt;&gt;"",
VLOOKUP(INDEX(Kintoneデータ抽出!F:F, _xlfn.AGGREGATE(15, 6, ROW(Kintoneデータ抽出!$K$2:$K$5000) / ((Kintoneデータ抽出!$K$2:$K$5000="企業内")), ROW(A27))),基本開園日の表記!$A$2:$B$13,2,FALSE),""), "")</f>
        <v/>
      </c>
      <c r="L334" s="75" t="str">
        <f t="array" ref="L334">IFERROR(IF(INDEX(Kintoneデータ抽出!F:F, _xlfn.AGGREGATE(15, 6, ROW(Kintoneデータ抽出!$K$2:$K$5000) / ((Kintoneデータ抽出!$K$2:$K$5000="企業内")), ROW(A27)))&lt;&gt;"",
IF(COUNTIF(INDEX(Kintoneデータ抽出!F:F, _xlfn.AGGREGATE(15, 6, ROW(Kintoneデータ抽出!$K$2:$K$5000) / ((Kintoneデータ抽出!$K$2:$K$5000="企業内")), ROW(A27))),"*あり*"),"夜間",""),""), "")</f>
        <v/>
      </c>
      <c r="M334" s="75" t="str">
        <f t="array" ref="M334">IFERROR(IF(INDEX(Kintoneデータ抽出!I:I, _xlfn.AGGREGATE(15, 6, ROW(Kintoneデータ抽出!$K$2:$K$5000) / ((Kintoneデータ抽出!$K$2:$K$5000="企業内")), ROW(A27)))&lt;&gt;"",
IF(COUNTIF(INDEX(Kintoneデータ抽出!I:I, _xlfn.AGGREGATE(15, 6, ROW(Kintoneデータ抽出!$K$2:$K$5000) / ((Kintoneデータ抽出!$K$2:$K$5000="企業内")), ROW(A27))),"*あり*"),"学童",""),""), "")</f>
        <v/>
      </c>
      <c r="N334" s="75" t="str">
        <f t="array" ref="N334">IFERROR(IF(INDEX(Kintoneデータ抽出!H:H, _xlfn.AGGREGATE(15, 6, ROW(Kintoneデータ抽出!$K$2:$K$5000) / ((Kintoneデータ抽出!$K$2:$K$5000="企業内")), ROW(A27)))&lt;&gt;"",
IF(COUNTIF(INDEX(Kintoneデータ抽出!H:H, _xlfn.AGGREGATE(15, 6, ROW(Kintoneデータ抽出!$K$2:$K$5000) / ((Kintoneデータ抽出!$K$2:$K$5000="企業内")), ROW(A27))),"*あり*"),"病児",""),""), "")</f>
        <v/>
      </c>
      <c r="O334" s="75" t="str" cm="1">
        <f t="array" ref="O334">IFERROR(
IF(INDEX(Kintoneデータ抽出!M:M, _xlfn.AGGREGATE(15, 6, ROW(Kintoneデータ抽出!$K$2:$K$5000) / ((Kintoneデータ抽出!$K$2:$K$5000="企業内")), ROW(A27)))&lt;&gt;0,INDEX(Kintoneデータ抽出!M:M, _xlfn.AGGREGATE(15, 6, ROW(Kintoneデータ抽出!$K$2:$K$5000) / ((Kintoneデータ抽出!$K$2:$K$5000="企業内")), ROW(A27))),""), "")</f>
        <v/>
      </c>
      <c r="P334" s="78" t="str">
        <f t="array" ref="P334">IFERROR(IF(INDEX(Kintoneデータ抽出!L:L, _xlfn.AGGREGATE(15, 6, ROW(Kintoneデータ抽出!$K$2:$K$5000) / ((Kintoneデータ抽出!$K$2:$K$5000="企業内")), ROW(A27)))&lt;&gt;"",
IF(COUNTIF(INDEX(Kintoneデータ抽出!L:L, _xlfn.AGGREGATE(15, 6, ROW(Kintoneデータ抽出!$K$2:$K$5000) / ((Kintoneデータ抽出!$K$2:$K$5000="企業内")), ROW(A27))),"*企業主導型以外*"),"",
IF(COUNTIF(INDEX(Kintoneデータ抽出!L:L, _xlfn.AGGREGATE(15, 6, ROW(Kintoneデータ抽出!$K$2:$K$5000) / ((Kintoneデータ抽出!$K$2:$K$5000="企業内")), ROW(A27))),"*その他*"),"",
IF(COUNTIF(INDEX(Kintoneデータ抽出!L:L, _xlfn.AGGREGATE(15, 6, ROW(Kintoneデータ抽出!$K$2:$K$5000) / ((Kintoneデータ抽出!$K$2:$K$5000="企業内")), ROW(A27))),"*新制度*"),"新制度","企業主導型"))),""), "")</f>
        <v/>
      </c>
    </row>
    <row r="335" spans="2:16" ht="34.799999999999997" customHeight="1" x14ac:dyDescent="0.45">
      <c r="B335" s="45"/>
      <c r="C335" s="46"/>
      <c r="D335" s="98" t="str">
        <f t="shared" si="6"/>
        <v/>
      </c>
      <c r="E335" s="99"/>
      <c r="F335" s="89" t="str">
        <f t="array" ref="F335">IFERROR(INDEX(Kintoneデータ抽出!A:A, _xlfn.AGGREGATE(15, 6, ROW(Kintoneデータ抽出!$K$2:$K$5000) / ((Kintoneデータ抽出!$K$2:$K$5000="企業内")), ROW(A28))), "")</f>
        <v/>
      </c>
      <c r="G335" s="90" t="str">
        <f t="array" ref="G335">IFERROR(INDEX(Kintoneデータ抽出!D:D,_xlfn.AGGREGATE(15,6,ROW(Kintoneデータ抽出!$K$2:$K$5000)/((Kintoneデータ抽出!$K$2:$K$5000="企業内")),ROW(A28))),"")</f>
        <v/>
      </c>
      <c r="H335" s="89" t="str">
        <f t="array" ref="H335">IFERROR(INDEX(Kintoneデータ抽出!C:C, _xlfn.AGGREGATE(15, 6, ROW(Kintoneデータ抽出!$K$2:$K$5000) / ((Kintoneデータ抽出!$K$2:$K$5000="企業内")), ROW(A28))), "")</f>
        <v/>
      </c>
      <c r="I335" s="75" t="str">
        <f t="array" ref="I335">IFERROR(IF(INDEX(Kintoneデータ抽出!G:G, _xlfn.AGGREGATE(15, 6, ROW(Kintoneデータ抽出!$K$2:$K$5000) / ((Kintoneデータ抽出!$K$2:$K$5000="企業内")), ROW(A28)))&lt;&gt;"",INDEX(Kintoneデータ抽出!G:G, _xlfn.AGGREGATE(15, 6, ROW(Kintoneデータ抽出!$K$2:$K$5000) / ((Kintoneデータ抽出!$K$2:$K$5000="企業内")), ROW(A28)))&amp;"名",""), "")</f>
        <v/>
      </c>
      <c r="J335" s="76" t="str">
        <f t="array" ref="J335">IFERROR(IF(INDEX(Kintoneデータ抽出!E:E, _xlfn.AGGREGATE(15, 6, ROW(Kintoneデータ抽出!$K$2:$K$5000) / ((Kintoneデータ抽出!$K$2:$K$5000="企業内")), ROW(A28)))&lt;&gt;"",
YEAR(INDEX(Kintoneデータ抽出!E:E, _xlfn.AGGREGATE(15, 6, ROW(Kintoneデータ抽出!$K$2:$K$5000) / ((Kintoneデータ抽出!$K$2:$K$5000="企業内")), ROW(A28))))&amp;"年"
&amp;MONTH(INDEX(Kintoneデータ抽出!E:E, _xlfn.AGGREGATE(15, 6, ROW(Kintoneデータ抽出!$K$2:$K$5000) / ((Kintoneデータ抽出!$K$2:$K$5000="企業内")), ROW(A28))))&amp;"月"
&amp;DAY(INDEX(Kintoneデータ抽出!E:E, _xlfn.AGGREGATE(15, 6, ROW(Kintoneデータ抽出!$K$2:$K$5000) /((Kintoneデータ抽出!$K$2:$K$5000="企業内")), ROW(A28))))&amp;"日",""), "")</f>
        <v/>
      </c>
      <c r="K335" s="77" t="str" cm="1">
        <f t="array" ref="K335">IFERROR(IF(INDEX(Kintoneデータ抽出!F:F, _xlfn.AGGREGATE(15, 6, ROW(Kintoneデータ抽出!$K$2:$K$5000) / ((Kintoneデータ抽出!$K$2:$K$5000="企業内")), ROW(A28)))&lt;&gt;"",
VLOOKUP(INDEX(Kintoneデータ抽出!F:F, _xlfn.AGGREGATE(15, 6, ROW(Kintoneデータ抽出!$K$2:$K$5000) / ((Kintoneデータ抽出!$K$2:$K$5000="企業内")), ROW(A28))),基本開園日の表記!$A$2:$B$13,2,FALSE),""), "")</f>
        <v/>
      </c>
      <c r="L335" s="75" t="str">
        <f t="array" ref="L335">IFERROR(IF(INDEX(Kintoneデータ抽出!F:F, _xlfn.AGGREGATE(15, 6, ROW(Kintoneデータ抽出!$K$2:$K$5000) / ((Kintoneデータ抽出!$K$2:$K$5000="企業内")), ROW(A28)))&lt;&gt;"",
IF(COUNTIF(INDEX(Kintoneデータ抽出!F:F, _xlfn.AGGREGATE(15, 6, ROW(Kintoneデータ抽出!$K$2:$K$5000) / ((Kintoneデータ抽出!$K$2:$K$5000="企業内")), ROW(A28))),"*あり*"),"夜間",""),""), "")</f>
        <v/>
      </c>
      <c r="M335" s="75" t="str">
        <f t="array" ref="M335">IFERROR(IF(INDEX(Kintoneデータ抽出!I:I, _xlfn.AGGREGATE(15, 6, ROW(Kintoneデータ抽出!$K$2:$K$5000) / ((Kintoneデータ抽出!$K$2:$K$5000="企業内")), ROW(A28)))&lt;&gt;"",
IF(COUNTIF(INDEX(Kintoneデータ抽出!I:I, _xlfn.AGGREGATE(15, 6, ROW(Kintoneデータ抽出!$K$2:$K$5000) / ((Kintoneデータ抽出!$K$2:$K$5000="企業内")), ROW(A28))),"*あり*"),"学童",""),""), "")</f>
        <v/>
      </c>
      <c r="N335" s="75" t="str">
        <f t="array" ref="N335">IFERROR(IF(INDEX(Kintoneデータ抽出!H:H, _xlfn.AGGREGATE(15, 6, ROW(Kintoneデータ抽出!$K$2:$K$5000) / ((Kintoneデータ抽出!$K$2:$K$5000="企業内")), ROW(A28)))&lt;&gt;"",
IF(COUNTIF(INDEX(Kintoneデータ抽出!H:H, _xlfn.AGGREGATE(15, 6, ROW(Kintoneデータ抽出!$K$2:$K$5000) / ((Kintoneデータ抽出!$K$2:$K$5000="企業内")), ROW(A28))),"*あり*"),"病児",""),""), "")</f>
        <v/>
      </c>
      <c r="O335" s="75" t="str" cm="1">
        <f t="array" ref="O335">IFERROR(
IF(INDEX(Kintoneデータ抽出!M:M, _xlfn.AGGREGATE(15, 6, ROW(Kintoneデータ抽出!$K$2:$K$5000) / ((Kintoneデータ抽出!$K$2:$K$5000="企業内")), ROW(A28)))&lt;&gt;0,INDEX(Kintoneデータ抽出!M:M, _xlfn.AGGREGATE(15, 6, ROW(Kintoneデータ抽出!$K$2:$K$5000) / ((Kintoneデータ抽出!$K$2:$K$5000="企業内")), ROW(A28))),""), "")</f>
        <v/>
      </c>
      <c r="P335" s="78" t="str">
        <f t="array" ref="P335">IFERROR(IF(INDEX(Kintoneデータ抽出!L:L, _xlfn.AGGREGATE(15, 6, ROW(Kintoneデータ抽出!$K$2:$K$5000) / ((Kintoneデータ抽出!$K$2:$K$5000="企業内")), ROW(A28)))&lt;&gt;"",
IF(COUNTIF(INDEX(Kintoneデータ抽出!L:L, _xlfn.AGGREGATE(15, 6, ROW(Kintoneデータ抽出!$K$2:$K$5000) / ((Kintoneデータ抽出!$K$2:$K$5000="企業内")), ROW(A28))),"*企業主導型以外*"),"",
IF(COUNTIF(INDEX(Kintoneデータ抽出!L:L, _xlfn.AGGREGATE(15, 6, ROW(Kintoneデータ抽出!$K$2:$K$5000) / ((Kintoneデータ抽出!$K$2:$K$5000="企業内")), ROW(A28))),"*その他*"),"",
IF(COUNTIF(INDEX(Kintoneデータ抽出!L:L, _xlfn.AGGREGATE(15, 6, ROW(Kintoneデータ抽出!$K$2:$K$5000) / ((Kintoneデータ抽出!$K$2:$K$5000="企業内")), ROW(A28))),"*新制度*"),"新制度","企業主導型"))),""), "")</f>
        <v/>
      </c>
    </row>
    <row r="336" spans="2:16" ht="34.799999999999997" customHeight="1" x14ac:dyDescent="0.45">
      <c r="B336" s="45"/>
      <c r="C336" s="46"/>
      <c r="D336" s="98" t="str">
        <f t="shared" si="6"/>
        <v/>
      </c>
      <c r="E336" s="99"/>
      <c r="F336" s="89" t="str">
        <f t="array" ref="F336">IFERROR(INDEX(Kintoneデータ抽出!A:A, _xlfn.AGGREGATE(15, 6, ROW(Kintoneデータ抽出!$K$2:$K$5000) / ((Kintoneデータ抽出!$K$2:$K$5000="企業内")), ROW(A29))), "")</f>
        <v/>
      </c>
      <c r="G336" s="90" t="str">
        <f t="array" ref="G336">IFERROR(INDEX(Kintoneデータ抽出!D:D,_xlfn.AGGREGATE(15,6,ROW(Kintoneデータ抽出!$K$2:$K$5000)/((Kintoneデータ抽出!$K$2:$K$5000="企業内")),ROW(A29))),"")</f>
        <v/>
      </c>
      <c r="H336" s="89" t="str">
        <f t="array" ref="H336">IFERROR(INDEX(Kintoneデータ抽出!C:C, _xlfn.AGGREGATE(15, 6, ROW(Kintoneデータ抽出!$K$2:$K$5000) / ((Kintoneデータ抽出!$K$2:$K$5000="企業内")), ROW(A29))), "")</f>
        <v/>
      </c>
      <c r="I336" s="75" t="str">
        <f t="array" ref="I336">IFERROR(IF(INDEX(Kintoneデータ抽出!G:G, _xlfn.AGGREGATE(15, 6, ROW(Kintoneデータ抽出!$K$2:$K$5000) / ((Kintoneデータ抽出!$K$2:$K$5000="企業内")), ROW(A29)))&lt;&gt;"",INDEX(Kintoneデータ抽出!G:G, _xlfn.AGGREGATE(15, 6, ROW(Kintoneデータ抽出!$K$2:$K$5000) / ((Kintoneデータ抽出!$K$2:$K$5000="企業内")), ROW(A29)))&amp;"名",""), "")</f>
        <v/>
      </c>
      <c r="J336" s="76" t="str">
        <f t="array" ref="J336">IFERROR(IF(INDEX(Kintoneデータ抽出!E:E, _xlfn.AGGREGATE(15, 6, ROW(Kintoneデータ抽出!$K$2:$K$5000) / ((Kintoneデータ抽出!$K$2:$K$5000="企業内")), ROW(A29)))&lt;&gt;"",
YEAR(INDEX(Kintoneデータ抽出!E:E, _xlfn.AGGREGATE(15, 6, ROW(Kintoneデータ抽出!$K$2:$K$5000) / ((Kintoneデータ抽出!$K$2:$K$5000="企業内")), ROW(A29))))&amp;"年"
&amp;MONTH(INDEX(Kintoneデータ抽出!E:E, _xlfn.AGGREGATE(15, 6, ROW(Kintoneデータ抽出!$K$2:$K$5000) / ((Kintoneデータ抽出!$K$2:$K$5000="企業内")), ROW(A29))))&amp;"月"
&amp;DAY(INDEX(Kintoneデータ抽出!E:E, _xlfn.AGGREGATE(15, 6, ROW(Kintoneデータ抽出!$K$2:$K$5000) /((Kintoneデータ抽出!$K$2:$K$5000="企業内")), ROW(A29))))&amp;"日",""), "")</f>
        <v/>
      </c>
      <c r="K336" s="77" t="str" cm="1">
        <f t="array" ref="K336">IFERROR(IF(INDEX(Kintoneデータ抽出!F:F, _xlfn.AGGREGATE(15, 6, ROW(Kintoneデータ抽出!$K$2:$K$5000) / ((Kintoneデータ抽出!$K$2:$K$5000="企業内")), ROW(A29)))&lt;&gt;"",
VLOOKUP(INDEX(Kintoneデータ抽出!F:F, _xlfn.AGGREGATE(15, 6, ROW(Kintoneデータ抽出!$K$2:$K$5000) / ((Kintoneデータ抽出!$K$2:$K$5000="企業内")), ROW(A29))),基本開園日の表記!$A$2:$B$13,2,FALSE),""), "")</f>
        <v/>
      </c>
      <c r="L336" s="75" t="str">
        <f t="array" ref="L336">IFERROR(IF(INDEX(Kintoneデータ抽出!F:F, _xlfn.AGGREGATE(15, 6, ROW(Kintoneデータ抽出!$K$2:$K$5000) / ((Kintoneデータ抽出!$K$2:$K$5000="企業内")), ROW(A29)))&lt;&gt;"",
IF(COUNTIF(INDEX(Kintoneデータ抽出!F:F, _xlfn.AGGREGATE(15, 6, ROW(Kintoneデータ抽出!$K$2:$K$5000) / ((Kintoneデータ抽出!$K$2:$K$5000="企業内")), ROW(A29))),"*あり*"),"夜間",""),""), "")</f>
        <v/>
      </c>
      <c r="M336" s="75" t="str">
        <f t="array" ref="M336">IFERROR(IF(INDEX(Kintoneデータ抽出!I:I, _xlfn.AGGREGATE(15, 6, ROW(Kintoneデータ抽出!$K$2:$K$5000) / ((Kintoneデータ抽出!$K$2:$K$5000="企業内")), ROW(A29)))&lt;&gt;"",
IF(COUNTIF(INDEX(Kintoneデータ抽出!I:I, _xlfn.AGGREGATE(15, 6, ROW(Kintoneデータ抽出!$K$2:$K$5000) / ((Kintoneデータ抽出!$K$2:$K$5000="企業内")), ROW(A29))),"*あり*"),"学童",""),""), "")</f>
        <v/>
      </c>
      <c r="N336" s="75" t="str">
        <f t="array" ref="N336">IFERROR(IF(INDEX(Kintoneデータ抽出!H:H, _xlfn.AGGREGATE(15, 6, ROW(Kintoneデータ抽出!$K$2:$K$5000) / ((Kintoneデータ抽出!$K$2:$K$5000="企業内")), ROW(A29)))&lt;&gt;"",
IF(COUNTIF(INDEX(Kintoneデータ抽出!H:H, _xlfn.AGGREGATE(15, 6, ROW(Kintoneデータ抽出!$K$2:$K$5000) / ((Kintoneデータ抽出!$K$2:$K$5000="企業内")), ROW(A29))),"*あり*"),"病児",""),""), "")</f>
        <v/>
      </c>
      <c r="O336" s="75" t="str" cm="1">
        <f t="array" ref="O336">IFERROR(
IF(INDEX(Kintoneデータ抽出!M:M, _xlfn.AGGREGATE(15, 6, ROW(Kintoneデータ抽出!$K$2:$K$5000) / ((Kintoneデータ抽出!$K$2:$K$5000="企業内")), ROW(A29)))&lt;&gt;0,INDEX(Kintoneデータ抽出!M:M, _xlfn.AGGREGATE(15, 6, ROW(Kintoneデータ抽出!$K$2:$K$5000) / ((Kintoneデータ抽出!$K$2:$K$5000="企業内")), ROW(A29))),""), "")</f>
        <v/>
      </c>
      <c r="P336" s="78" t="str">
        <f t="array" ref="P336">IFERROR(IF(INDEX(Kintoneデータ抽出!L:L, _xlfn.AGGREGATE(15, 6, ROW(Kintoneデータ抽出!$K$2:$K$5000) / ((Kintoneデータ抽出!$K$2:$K$5000="企業内")), ROW(A29)))&lt;&gt;"",
IF(COUNTIF(INDEX(Kintoneデータ抽出!L:L, _xlfn.AGGREGATE(15, 6, ROW(Kintoneデータ抽出!$K$2:$K$5000) / ((Kintoneデータ抽出!$K$2:$K$5000="企業内")), ROW(A29))),"*企業主導型以外*"),"",
IF(COUNTIF(INDEX(Kintoneデータ抽出!L:L, _xlfn.AGGREGATE(15, 6, ROW(Kintoneデータ抽出!$K$2:$K$5000) / ((Kintoneデータ抽出!$K$2:$K$5000="企業内")), ROW(A29))),"*その他*"),"",
IF(COUNTIF(INDEX(Kintoneデータ抽出!L:L, _xlfn.AGGREGATE(15, 6, ROW(Kintoneデータ抽出!$K$2:$K$5000) / ((Kintoneデータ抽出!$K$2:$K$5000="企業内")), ROW(A29))),"*新制度*"),"新制度","企業主導型"))),""), "")</f>
        <v/>
      </c>
    </row>
    <row r="337" spans="2:16" ht="34.799999999999997" customHeight="1" x14ac:dyDescent="0.45">
      <c r="B337" s="45"/>
      <c r="C337" s="46"/>
      <c r="D337" s="98" t="str">
        <f t="shared" si="6"/>
        <v/>
      </c>
      <c r="E337" s="99"/>
      <c r="F337" s="89" t="str">
        <f t="array" ref="F337">IFERROR(INDEX(Kintoneデータ抽出!A:A, _xlfn.AGGREGATE(15, 6, ROW(Kintoneデータ抽出!$K$2:$K$5000) / ((Kintoneデータ抽出!$K$2:$K$5000="企業内")), ROW(A30))), "")</f>
        <v/>
      </c>
      <c r="G337" s="90" t="str">
        <f t="array" ref="G337">IFERROR(INDEX(Kintoneデータ抽出!D:D,_xlfn.AGGREGATE(15,6,ROW(Kintoneデータ抽出!$K$2:$K$5000)/((Kintoneデータ抽出!$K$2:$K$5000="企業内")),ROW(A30))),"")</f>
        <v/>
      </c>
      <c r="H337" s="89" t="str">
        <f t="array" ref="H337">IFERROR(INDEX(Kintoneデータ抽出!C:C, _xlfn.AGGREGATE(15, 6, ROW(Kintoneデータ抽出!$K$2:$K$5000) / ((Kintoneデータ抽出!$K$2:$K$5000="企業内")), ROW(A30))), "")</f>
        <v/>
      </c>
      <c r="I337" s="75" t="str">
        <f t="array" ref="I337">IFERROR(IF(INDEX(Kintoneデータ抽出!G:G, _xlfn.AGGREGATE(15, 6, ROW(Kintoneデータ抽出!$K$2:$K$5000) / ((Kintoneデータ抽出!$K$2:$K$5000="企業内")), ROW(A30)))&lt;&gt;"",INDEX(Kintoneデータ抽出!G:G, _xlfn.AGGREGATE(15, 6, ROW(Kintoneデータ抽出!$K$2:$K$5000) / ((Kintoneデータ抽出!$K$2:$K$5000="企業内")), ROW(A30)))&amp;"名",""), "")</f>
        <v/>
      </c>
      <c r="J337" s="76" t="str">
        <f t="array" ref="J337">IFERROR(IF(INDEX(Kintoneデータ抽出!E:E, _xlfn.AGGREGATE(15, 6, ROW(Kintoneデータ抽出!$K$2:$K$5000) / ((Kintoneデータ抽出!$K$2:$K$5000="企業内")), ROW(A30)))&lt;&gt;"",
YEAR(INDEX(Kintoneデータ抽出!E:E, _xlfn.AGGREGATE(15, 6, ROW(Kintoneデータ抽出!$K$2:$K$5000) / ((Kintoneデータ抽出!$K$2:$K$5000="企業内")), ROW(A30))))&amp;"年"
&amp;MONTH(INDEX(Kintoneデータ抽出!E:E, _xlfn.AGGREGATE(15, 6, ROW(Kintoneデータ抽出!$K$2:$K$5000) / ((Kintoneデータ抽出!$K$2:$K$5000="企業内")), ROW(A30))))&amp;"月"
&amp;DAY(INDEX(Kintoneデータ抽出!E:E, _xlfn.AGGREGATE(15, 6, ROW(Kintoneデータ抽出!$K$2:$K$5000) /((Kintoneデータ抽出!$K$2:$K$5000="企業内")), ROW(A30))))&amp;"日",""), "")</f>
        <v/>
      </c>
      <c r="K337" s="77" t="str" cm="1">
        <f t="array" ref="K337">IFERROR(IF(INDEX(Kintoneデータ抽出!F:F, _xlfn.AGGREGATE(15, 6, ROW(Kintoneデータ抽出!$K$2:$K$5000) / ((Kintoneデータ抽出!$K$2:$K$5000="企業内")), ROW(A30)))&lt;&gt;"",
VLOOKUP(INDEX(Kintoneデータ抽出!F:F, _xlfn.AGGREGATE(15, 6, ROW(Kintoneデータ抽出!$K$2:$K$5000) / ((Kintoneデータ抽出!$K$2:$K$5000="企業内")), ROW(A30))),基本開園日の表記!$A$2:$B$13,2,FALSE),""), "")</f>
        <v/>
      </c>
      <c r="L337" s="75" t="str">
        <f t="array" ref="L337">IFERROR(IF(INDEX(Kintoneデータ抽出!F:F, _xlfn.AGGREGATE(15, 6, ROW(Kintoneデータ抽出!$K$2:$K$5000) / ((Kintoneデータ抽出!$K$2:$K$5000="企業内")), ROW(A30)))&lt;&gt;"",
IF(COUNTIF(INDEX(Kintoneデータ抽出!F:F, _xlfn.AGGREGATE(15, 6, ROW(Kintoneデータ抽出!$K$2:$K$5000) / ((Kintoneデータ抽出!$K$2:$K$5000="企業内")), ROW(A30))),"*あり*"),"夜間",""),""), "")</f>
        <v/>
      </c>
      <c r="M337" s="75" t="str">
        <f t="array" ref="M337">IFERROR(IF(INDEX(Kintoneデータ抽出!I:I, _xlfn.AGGREGATE(15, 6, ROW(Kintoneデータ抽出!$K$2:$K$5000) / ((Kintoneデータ抽出!$K$2:$K$5000="企業内")), ROW(A30)))&lt;&gt;"",
IF(COUNTIF(INDEX(Kintoneデータ抽出!I:I, _xlfn.AGGREGATE(15, 6, ROW(Kintoneデータ抽出!$K$2:$K$5000) / ((Kintoneデータ抽出!$K$2:$K$5000="企業内")), ROW(A30))),"*あり*"),"学童",""),""), "")</f>
        <v/>
      </c>
      <c r="N337" s="75" t="str">
        <f t="array" ref="N337">IFERROR(IF(INDEX(Kintoneデータ抽出!H:H, _xlfn.AGGREGATE(15, 6, ROW(Kintoneデータ抽出!$K$2:$K$5000) / ((Kintoneデータ抽出!$K$2:$K$5000="企業内")), ROW(A30)))&lt;&gt;"",
IF(COUNTIF(INDEX(Kintoneデータ抽出!H:H, _xlfn.AGGREGATE(15, 6, ROW(Kintoneデータ抽出!$K$2:$K$5000) / ((Kintoneデータ抽出!$K$2:$K$5000="企業内")), ROW(A30))),"*あり*"),"病児",""),""), "")</f>
        <v/>
      </c>
      <c r="O337" s="75" t="str" cm="1">
        <f t="array" ref="O337">IFERROR(
IF(INDEX(Kintoneデータ抽出!M:M, _xlfn.AGGREGATE(15, 6, ROW(Kintoneデータ抽出!$K$2:$K$5000) / ((Kintoneデータ抽出!$K$2:$K$5000="企業内")), ROW(A30)))&lt;&gt;0,INDEX(Kintoneデータ抽出!M:M, _xlfn.AGGREGATE(15, 6, ROW(Kintoneデータ抽出!$K$2:$K$5000) / ((Kintoneデータ抽出!$K$2:$K$5000="企業内")), ROW(A30))),""), "")</f>
        <v/>
      </c>
      <c r="P337" s="78" t="str">
        <f t="array" ref="P337">IFERROR(IF(INDEX(Kintoneデータ抽出!L:L, _xlfn.AGGREGATE(15, 6, ROW(Kintoneデータ抽出!$K$2:$K$5000) / ((Kintoneデータ抽出!$K$2:$K$5000="企業内")), ROW(A30)))&lt;&gt;"",
IF(COUNTIF(INDEX(Kintoneデータ抽出!L:L, _xlfn.AGGREGATE(15, 6, ROW(Kintoneデータ抽出!$K$2:$K$5000) / ((Kintoneデータ抽出!$K$2:$K$5000="企業内")), ROW(A30))),"*企業主導型以外*"),"",
IF(COUNTIF(INDEX(Kintoneデータ抽出!L:L, _xlfn.AGGREGATE(15, 6, ROW(Kintoneデータ抽出!$K$2:$K$5000) / ((Kintoneデータ抽出!$K$2:$K$5000="企業内")), ROW(A30))),"*その他*"),"",
IF(COUNTIF(INDEX(Kintoneデータ抽出!L:L, _xlfn.AGGREGATE(15, 6, ROW(Kintoneデータ抽出!$K$2:$K$5000) / ((Kintoneデータ抽出!$K$2:$K$5000="企業内")), ROW(A30))),"*新制度*"),"新制度","企業主導型"))),""), "")</f>
        <v/>
      </c>
    </row>
    <row r="338" spans="2:16" ht="34.799999999999997" customHeight="1" x14ac:dyDescent="0.45">
      <c r="B338" s="45"/>
      <c r="C338" s="46"/>
      <c r="D338" s="98" t="str">
        <f t="shared" si="6"/>
        <v/>
      </c>
      <c r="E338" s="99"/>
      <c r="F338" s="89" t="str">
        <f t="array" ref="F338">IFERROR(INDEX(Kintoneデータ抽出!A:A, _xlfn.AGGREGATE(15, 6, ROW(Kintoneデータ抽出!$K$2:$K$5000) / ((Kintoneデータ抽出!$K$2:$K$5000="企業内")), ROW(A31))), "")</f>
        <v/>
      </c>
      <c r="G338" s="90" t="str">
        <f t="array" ref="G338">IFERROR(INDEX(Kintoneデータ抽出!D:D,_xlfn.AGGREGATE(15,6,ROW(Kintoneデータ抽出!$K$2:$K$5000)/((Kintoneデータ抽出!$K$2:$K$5000="企業内")),ROW(A31))),"")</f>
        <v/>
      </c>
      <c r="H338" s="89" t="str">
        <f t="array" ref="H338">IFERROR(INDEX(Kintoneデータ抽出!C:C, _xlfn.AGGREGATE(15, 6, ROW(Kintoneデータ抽出!$K$2:$K$5000) / ((Kintoneデータ抽出!$K$2:$K$5000="企業内")), ROW(A31))), "")</f>
        <v/>
      </c>
      <c r="I338" s="75" t="str">
        <f t="array" ref="I338">IFERROR(IF(INDEX(Kintoneデータ抽出!G:G, _xlfn.AGGREGATE(15, 6, ROW(Kintoneデータ抽出!$K$2:$K$5000) / ((Kintoneデータ抽出!$K$2:$K$5000="企業内")), ROW(A31)))&lt;&gt;"",INDEX(Kintoneデータ抽出!G:G, _xlfn.AGGREGATE(15, 6, ROW(Kintoneデータ抽出!$K$2:$K$5000) / ((Kintoneデータ抽出!$K$2:$K$5000="企業内")), ROW(A31)))&amp;"名",""), "")</f>
        <v/>
      </c>
      <c r="J338" s="76" t="str">
        <f t="array" ref="J338">IFERROR(IF(INDEX(Kintoneデータ抽出!E:E, _xlfn.AGGREGATE(15, 6, ROW(Kintoneデータ抽出!$K$2:$K$5000) / ((Kintoneデータ抽出!$K$2:$K$5000="企業内")), ROW(A31)))&lt;&gt;"",
YEAR(INDEX(Kintoneデータ抽出!E:E, _xlfn.AGGREGATE(15, 6, ROW(Kintoneデータ抽出!$K$2:$K$5000) / ((Kintoneデータ抽出!$K$2:$K$5000="企業内")), ROW(A31))))&amp;"年"
&amp;MONTH(INDEX(Kintoneデータ抽出!E:E, _xlfn.AGGREGATE(15, 6, ROW(Kintoneデータ抽出!$K$2:$K$5000) / ((Kintoneデータ抽出!$K$2:$K$5000="企業内")), ROW(A31))))&amp;"月"
&amp;DAY(INDEX(Kintoneデータ抽出!E:E, _xlfn.AGGREGATE(15, 6, ROW(Kintoneデータ抽出!$K$2:$K$5000) /((Kintoneデータ抽出!$K$2:$K$5000="企業内")), ROW(A31))))&amp;"日",""), "")</f>
        <v/>
      </c>
      <c r="K338" s="77" t="str" cm="1">
        <f t="array" ref="K338">IFERROR(IF(INDEX(Kintoneデータ抽出!F:F, _xlfn.AGGREGATE(15, 6, ROW(Kintoneデータ抽出!$K$2:$K$5000) / ((Kintoneデータ抽出!$K$2:$K$5000="企業内")), ROW(A31)))&lt;&gt;"",
VLOOKUP(INDEX(Kintoneデータ抽出!F:F, _xlfn.AGGREGATE(15, 6, ROW(Kintoneデータ抽出!$K$2:$K$5000) / ((Kintoneデータ抽出!$K$2:$K$5000="企業内")), ROW(A31))),基本開園日の表記!$A$2:$B$13,2,FALSE),""), "")</f>
        <v/>
      </c>
      <c r="L338" s="75" t="str">
        <f t="array" ref="L338">IFERROR(IF(INDEX(Kintoneデータ抽出!F:F, _xlfn.AGGREGATE(15, 6, ROW(Kintoneデータ抽出!$K$2:$K$5000) / ((Kintoneデータ抽出!$K$2:$K$5000="企業内")), ROW(A31)))&lt;&gt;"",
IF(COUNTIF(INDEX(Kintoneデータ抽出!F:F, _xlfn.AGGREGATE(15, 6, ROW(Kintoneデータ抽出!$K$2:$K$5000) / ((Kintoneデータ抽出!$K$2:$K$5000="企業内")), ROW(A31))),"*あり*"),"夜間",""),""), "")</f>
        <v/>
      </c>
      <c r="M338" s="75" t="str">
        <f t="array" ref="M338">IFERROR(IF(INDEX(Kintoneデータ抽出!I:I, _xlfn.AGGREGATE(15, 6, ROW(Kintoneデータ抽出!$K$2:$K$5000) / ((Kintoneデータ抽出!$K$2:$K$5000="企業内")), ROW(A31)))&lt;&gt;"",
IF(COUNTIF(INDEX(Kintoneデータ抽出!I:I, _xlfn.AGGREGATE(15, 6, ROW(Kintoneデータ抽出!$K$2:$K$5000) / ((Kintoneデータ抽出!$K$2:$K$5000="企業内")), ROW(A31))),"*あり*"),"学童",""),""), "")</f>
        <v/>
      </c>
      <c r="N338" s="75" t="str">
        <f t="array" ref="N338">IFERROR(IF(INDEX(Kintoneデータ抽出!H:H, _xlfn.AGGREGATE(15, 6, ROW(Kintoneデータ抽出!$K$2:$K$5000) / ((Kintoneデータ抽出!$K$2:$K$5000="企業内")), ROW(A31)))&lt;&gt;"",
IF(COUNTIF(INDEX(Kintoneデータ抽出!H:H, _xlfn.AGGREGATE(15, 6, ROW(Kintoneデータ抽出!$K$2:$K$5000) / ((Kintoneデータ抽出!$K$2:$K$5000="企業内")), ROW(A31))),"*あり*"),"病児",""),""), "")</f>
        <v/>
      </c>
      <c r="O338" s="75" t="str" cm="1">
        <f t="array" ref="O338">IFERROR(
IF(INDEX(Kintoneデータ抽出!M:M, _xlfn.AGGREGATE(15, 6, ROW(Kintoneデータ抽出!$K$2:$K$5000) / ((Kintoneデータ抽出!$K$2:$K$5000="企業内")), ROW(A31)))&lt;&gt;0,INDEX(Kintoneデータ抽出!M:M, _xlfn.AGGREGATE(15, 6, ROW(Kintoneデータ抽出!$K$2:$K$5000) / ((Kintoneデータ抽出!$K$2:$K$5000="企業内")), ROW(A31))),""), "")</f>
        <v/>
      </c>
      <c r="P338" s="78" t="str">
        <f t="array" ref="P338">IFERROR(IF(INDEX(Kintoneデータ抽出!L:L, _xlfn.AGGREGATE(15, 6, ROW(Kintoneデータ抽出!$K$2:$K$5000) / ((Kintoneデータ抽出!$K$2:$K$5000="企業内")), ROW(A31)))&lt;&gt;"",
IF(COUNTIF(INDEX(Kintoneデータ抽出!L:L, _xlfn.AGGREGATE(15, 6, ROW(Kintoneデータ抽出!$K$2:$K$5000) / ((Kintoneデータ抽出!$K$2:$K$5000="企業内")), ROW(A31))),"*企業主導型以外*"),"",
IF(COUNTIF(INDEX(Kintoneデータ抽出!L:L, _xlfn.AGGREGATE(15, 6, ROW(Kintoneデータ抽出!$K$2:$K$5000) / ((Kintoneデータ抽出!$K$2:$K$5000="企業内")), ROW(A31))),"*その他*"),"",
IF(COUNTIF(INDEX(Kintoneデータ抽出!L:L, _xlfn.AGGREGATE(15, 6, ROW(Kintoneデータ抽出!$K$2:$K$5000) / ((Kintoneデータ抽出!$K$2:$K$5000="企業内")), ROW(A31))),"*新制度*"),"新制度","企業主導型"))),""), "")</f>
        <v/>
      </c>
    </row>
    <row r="339" spans="2:16" ht="34.799999999999997" customHeight="1" x14ac:dyDescent="0.45">
      <c r="B339" s="45"/>
      <c r="C339" s="46"/>
      <c r="D339" s="98" t="str">
        <f t="shared" si="6"/>
        <v/>
      </c>
      <c r="E339" s="99"/>
      <c r="F339" s="89" t="str">
        <f t="array" ref="F339">IFERROR(INDEX(Kintoneデータ抽出!A:A, _xlfn.AGGREGATE(15, 6, ROW(Kintoneデータ抽出!$K$2:$K$5000) / ((Kintoneデータ抽出!$K$2:$K$5000="企業内")), ROW(A32))), "")</f>
        <v/>
      </c>
      <c r="G339" s="90" t="str">
        <f t="array" ref="G339">IFERROR(INDEX(Kintoneデータ抽出!D:D,_xlfn.AGGREGATE(15,6,ROW(Kintoneデータ抽出!$K$2:$K$5000)/((Kintoneデータ抽出!$K$2:$K$5000="企業内")),ROW(A32))),"")</f>
        <v/>
      </c>
      <c r="H339" s="89" t="str">
        <f t="array" ref="H339">IFERROR(INDEX(Kintoneデータ抽出!C:C, _xlfn.AGGREGATE(15, 6, ROW(Kintoneデータ抽出!$K$2:$K$5000) / ((Kintoneデータ抽出!$K$2:$K$5000="企業内")), ROW(A32))), "")</f>
        <v/>
      </c>
      <c r="I339" s="75" t="str">
        <f t="array" ref="I339">IFERROR(IF(INDEX(Kintoneデータ抽出!G:G, _xlfn.AGGREGATE(15, 6, ROW(Kintoneデータ抽出!$K$2:$K$5000) / ((Kintoneデータ抽出!$K$2:$K$5000="企業内")), ROW(A32)))&lt;&gt;"",INDEX(Kintoneデータ抽出!G:G, _xlfn.AGGREGATE(15, 6, ROW(Kintoneデータ抽出!$K$2:$K$5000) / ((Kintoneデータ抽出!$K$2:$K$5000="企業内")), ROW(A32)))&amp;"名",""), "")</f>
        <v/>
      </c>
      <c r="J339" s="76" t="str">
        <f t="array" ref="J339">IFERROR(IF(INDEX(Kintoneデータ抽出!E:E, _xlfn.AGGREGATE(15, 6, ROW(Kintoneデータ抽出!$K$2:$K$5000) / ((Kintoneデータ抽出!$K$2:$K$5000="企業内")), ROW(A32)))&lt;&gt;"",
YEAR(INDEX(Kintoneデータ抽出!E:E, _xlfn.AGGREGATE(15, 6, ROW(Kintoneデータ抽出!$K$2:$K$5000) / ((Kintoneデータ抽出!$K$2:$K$5000="企業内")), ROW(A32))))&amp;"年"
&amp;MONTH(INDEX(Kintoneデータ抽出!E:E, _xlfn.AGGREGATE(15, 6, ROW(Kintoneデータ抽出!$K$2:$K$5000) / ((Kintoneデータ抽出!$K$2:$K$5000="企業内")), ROW(A32))))&amp;"月"
&amp;DAY(INDEX(Kintoneデータ抽出!E:E, _xlfn.AGGREGATE(15, 6, ROW(Kintoneデータ抽出!$K$2:$K$5000) /((Kintoneデータ抽出!$K$2:$K$5000="企業内")), ROW(A32))))&amp;"日",""), "")</f>
        <v/>
      </c>
      <c r="K339" s="77" t="str" cm="1">
        <f t="array" ref="K339">IFERROR(IF(INDEX(Kintoneデータ抽出!F:F, _xlfn.AGGREGATE(15, 6, ROW(Kintoneデータ抽出!$K$2:$K$5000) / ((Kintoneデータ抽出!$K$2:$K$5000="企業内")), ROW(A32)))&lt;&gt;"",
VLOOKUP(INDEX(Kintoneデータ抽出!F:F, _xlfn.AGGREGATE(15, 6, ROW(Kintoneデータ抽出!$K$2:$K$5000) / ((Kintoneデータ抽出!$K$2:$K$5000="企業内")), ROW(A32))),基本開園日の表記!$A$2:$B$13,2,FALSE),""), "")</f>
        <v/>
      </c>
      <c r="L339" s="75" t="str">
        <f t="array" ref="L339">IFERROR(IF(INDEX(Kintoneデータ抽出!F:F, _xlfn.AGGREGATE(15, 6, ROW(Kintoneデータ抽出!$K$2:$K$5000) / ((Kintoneデータ抽出!$K$2:$K$5000="企業内")), ROW(A32)))&lt;&gt;"",
IF(COUNTIF(INDEX(Kintoneデータ抽出!F:F, _xlfn.AGGREGATE(15, 6, ROW(Kintoneデータ抽出!$K$2:$K$5000) / ((Kintoneデータ抽出!$K$2:$K$5000="企業内")), ROW(A32))),"*あり*"),"夜間",""),""), "")</f>
        <v/>
      </c>
      <c r="M339" s="75" t="str">
        <f t="array" ref="M339">IFERROR(IF(INDEX(Kintoneデータ抽出!I:I, _xlfn.AGGREGATE(15, 6, ROW(Kintoneデータ抽出!$K$2:$K$5000) / ((Kintoneデータ抽出!$K$2:$K$5000="企業内")), ROW(A32)))&lt;&gt;"",
IF(COUNTIF(INDEX(Kintoneデータ抽出!I:I, _xlfn.AGGREGATE(15, 6, ROW(Kintoneデータ抽出!$K$2:$K$5000) / ((Kintoneデータ抽出!$K$2:$K$5000="企業内")), ROW(A32))),"*あり*"),"学童",""),""), "")</f>
        <v/>
      </c>
      <c r="N339" s="75" t="str">
        <f t="array" ref="N339">IFERROR(IF(INDEX(Kintoneデータ抽出!H:H, _xlfn.AGGREGATE(15, 6, ROW(Kintoneデータ抽出!$K$2:$K$5000) / ((Kintoneデータ抽出!$K$2:$K$5000="企業内")), ROW(A32)))&lt;&gt;"",
IF(COUNTIF(INDEX(Kintoneデータ抽出!H:H, _xlfn.AGGREGATE(15, 6, ROW(Kintoneデータ抽出!$K$2:$K$5000) / ((Kintoneデータ抽出!$K$2:$K$5000="企業内")), ROW(A32))),"*あり*"),"病児",""),""), "")</f>
        <v/>
      </c>
      <c r="O339" s="75" t="str" cm="1">
        <f t="array" ref="O339">IFERROR(
IF(INDEX(Kintoneデータ抽出!M:M, _xlfn.AGGREGATE(15, 6, ROW(Kintoneデータ抽出!$K$2:$K$5000) / ((Kintoneデータ抽出!$K$2:$K$5000="企業内")), ROW(A32)))&lt;&gt;0,INDEX(Kintoneデータ抽出!M:M, _xlfn.AGGREGATE(15, 6, ROW(Kintoneデータ抽出!$K$2:$K$5000) / ((Kintoneデータ抽出!$K$2:$K$5000="企業内")), ROW(A32))),""), "")</f>
        <v/>
      </c>
      <c r="P339" s="78" t="str">
        <f t="array" ref="P339">IFERROR(IF(INDEX(Kintoneデータ抽出!L:L, _xlfn.AGGREGATE(15, 6, ROW(Kintoneデータ抽出!$K$2:$K$5000) / ((Kintoneデータ抽出!$K$2:$K$5000="企業内")), ROW(A32)))&lt;&gt;"",
IF(COUNTIF(INDEX(Kintoneデータ抽出!L:L, _xlfn.AGGREGATE(15, 6, ROW(Kintoneデータ抽出!$K$2:$K$5000) / ((Kintoneデータ抽出!$K$2:$K$5000="企業内")), ROW(A32))),"*企業主導型以外*"),"",
IF(COUNTIF(INDEX(Kintoneデータ抽出!L:L, _xlfn.AGGREGATE(15, 6, ROW(Kintoneデータ抽出!$K$2:$K$5000) / ((Kintoneデータ抽出!$K$2:$K$5000="企業内")), ROW(A32))),"*その他*"),"",
IF(COUNTIF(INDEX(Kintoneデータ抽出!L:L, _xlfn.AGGREGATE(15, 6, ROW(Kintoneデータ抽出!$K$2:$K$5000) / ((Kintoneデータ抽出!$K$2:$K$5000="企業内")), ROW(A32))),"*新制度*"),"新制度","企業主導型"))),""), "")</f>
        <v/>
      </c>
    </row>
    <row r="340" spans="2:16" ht="34.799999999999997" customHeight="1" x14ac:dyDescent="0.45">
      <c r="B340" s="45"/>
      <c r="C340" s="46"/>
      <c r="D340" s="98" t="str">
        <f t="shared" si="6"/>
        <v/>
      </c>
      <c r="E340" s="99"/>
      <c r="F340" s="89" t="str">
        <f t="array" ref="F340">IFERROR(INDEX(Kintoneデータ抽出!A:A, _xlfn.AGGREGATE(15, 6, ROW(Kintoneデータ抽出!$K$2:$K$5000) / ((Kintoneデータ抽出!$K$2:$K$5000="企業内")), ROW(A33))), "")</f>
        <v/>
      </c>
      <c r="G340" s="90" t="str">
        <f t="array" ref="G340">IFERROR(INDEX(Kintoneデータ抽出!D:D,_xlfn.AGGREGATE(15,6,ROW(Kintoneデータ抽出!$K$2:$K$5000)/((Kintoneデータ抽出!$K$2:$K$5000="企業内")),ROW(A33))),"")</f>
        <v/>
      </c>
      <c r="H340" s="89" t="str">
        <f t="array" ref="H340">IFERROR(INDEX(Kintoneデータ抽出!C:C, _xlfn.AGGREGATE(15, 6, ROW(Kintoneデータ抽出!$K$2:$K$5000) / ((Kintoneデータ抽出!$K$2:$K$5000="企業内")), ROW(A33))), "")</f>
        <v/>
      </c>
      <c r="I340" s="75" t="str">
        <f t="array" ref="I340">IFERROR(IF(INDEX(Kintoneデータ抽出!G:G, _xlfn.AGGREGATE(15, 6, ROW(Kintoneデータ抽出!$K$2:$K$5000) / ((Kintoneデータ抽出!$K$2:$K$5000="企業内")), ROW(A33)))&lt;&gt;"",INDEX(Kintoneデータ抽出!G:G, _xlfn.AGGREGATE(15, 6, ROW(Kintoneデータ抽出!$K$2:$K$5000) / ((Kintoneデータ抽出!$K$2:$K$5000="企業内")), ROW(A33)))&amp;"名",""), "")</f>
        <v/>
      </c>
      <c r="J340" s="76" t="str">
        <f t="array" ref="J340">IFERROR(IF(INDEX(Kintoneデータ抽出!E:E, _xlfn.AGGREGATE(15, 6, ROW(Kintoneデータ抽出!$K$2:$K$5000) / ((Kintoneデータ抽出!$K$2:$K$5000="企業内")), ROW(A33)))&lt;&gt;"",
YEAR(INDEX(Kintoneデータ抽出!E:E, _xlfn.AGGREGATE(15, 6, ROW(Kintoneデータ抽出!$K$2:$K$5000) / ((Kintoneデータ抽出!$K$2:$K$5000="企業内")), ROW(A33))))&amp;"年"
&amp;MONTH(INDEX(Kintoneデータ抽出!E:E, _xlfn.AGGREGATE(15, 6, ROW(Kintoneデータ抽出!$K$2:$K$5000) / ((Kintoneデータ抽出!$K$2:$K$5000="企業内")), ROW(A33))))&amp;"月"
&amp;DAY(INDEX(Kintoneデータ抽出!E:E, _xlfn.AGGREGATE(15, 6, ROW(Kintoneデータ抽出!$K$2:$K$5000) /((Kintoneデータ抽出!$K$2:$K$5000="企業内")), ROW(A33))))&amp;"日",""), "")</f>
        <v/>
      </c>
      <c r="K340" s="77" t="str" cm="1">
        <f t="array" ref="K340">IFERROR(IF(INDEX(Kintoneデータ抽出!F:F, _xlfn.AGGREGATE(15, 6, ROW(Kintoneデータ抽出!$K$2:$K$5000) / ((Kintoneデータ抽出!$K$2:$K$5000="企業内")), ROW(A33)))&lt;&gt;"",
VLOOKUP(INDEX(Kintoneデータ抽出!F:F, _xlfn.AGGREGATE(15, 6, ROW(Kintoneデータ抽出!$K$2:$K$5000) / ((Kintoneデータ抽出!$K$2:$K$5000="企業内")), ROW(A33))),基本開園日の表記!$A$2:$B$13,2,FALSE),""), "")</f>
        <v/>
      </c>
      <c r="L340" s="75" t="str">
        <f t="array" ref="L340">IFERROR(IF(INDEX(Kintoneデータ抽出!F:F, _xlfn.AGGREGATE(15, 6, ROW(Kintoneデータ抽出!$K$2:$K$5000) / ((Kintoneデータ抽出!$K$2:$K$5000="企業内")), ROW(A33)))&lt;&gt;"",
IF(COUNTIF(INDEX(Kintoneデータ抽出!F:F, _xlfn.AGGREGATE(15, 6, ROW(Kintoneデータ抽出!$K$2:$K$5000) / ((Kintoneデータ抽出!$K$2:$K$5000="企業内")), ROW(A33))),"*あり*"),"夜間",""),""), "")</f>
        <v/>
      </c>
      <c r="M340" s="75" t="str">
        <f t="array" ref="M340">IFERROR(IF(INDEX(Kintoneデータ抽出!I:I, _xlfn.AGGREGATE(15, 6, ROW(Kintoneデータ抽出!$K$2:$K$5000) / ((Kintoneデータ抽出!$K$2:$K$5000="企業内")), ROW(A33)))&lt;&gt;"",
IF(COUNTIF(INDEX(Kintoneデータ抽出!I:I, _xlfn.AGGREGATE(15, 6, ROW(Kintoneデータ抽出!$K$2:$K$5000) / ((Kintoneデータ抽出!$K$2:$K$5000="企業内")), ROW(A33))),"*あり*"),"学童",""),""), "")</f>
        <v/>
      </c>
      <c r="N340" s="75" t="str">
        <f t="array" ref="N340">IFERROR(IF(INDEX(Kintoneデータ抽出!H:H, _xlfn.AGGREGATE(15, 6, ROW(Kintoneデータ抽出!$K$2:$K$5000) / ((Kintoneデータ抽出!$K$2:$K$5000="企業内")), ROW(A33)))&lt;&gt;"",
IF(COUNTIF(INDEX(Kintoneデータ抽出!H:H, _xlfn.AGGREGATE(15, 6, ROW(Kintoneデータ抽出!$K$2:$K$5000) / ((Kintoneデータ抽出!$K$2:$K$5000="企業内")), ROW(A33))),"*あり*"),"病児",""),""), "")</f>
        <v/>
      </c>
      <c r="O340" s="75" t="str" cm="1">
        <f t="array" ref="O340">IFERROR(
IF(INDEX(Kintoneデータ抽出!M:M, _xlfn.AGGREGATE(15, 6, ROW(Kintoneデータ抽出!$K$2:$K$5000) / ((Kintoneデータ抽出!$K$2:$K$5000="企業内")), ROW(A33)))&lt;&gt;0,INDEX(Kintoneデータ抽出!M:M, _xlfn.AGGREGATE(15, 6, ROW(Kintoneデータ抽出!$K$2:$K$5000) / ((Kintoneデータ抽出!$K$2:$K$5000="企業内")), ROW(A33))),""), "")</f>
        <v/>
      </c>
      <c r="P340" s="78" t="str">
        <f t="array" ref="P340">IFERROR(IF(INDEX(Kintoneデータ抽出!L:L, _xlfn.AGGREGATE(15, 6, ROW(Kintoneデータ抽出!$K$2:$K$5000) / ((Kintoneデータ抽出!$K$2:$K$5000="企業内")), ROW(A33)))&lt;&gt;"",
IF(COUNTIF(INDEX(Kintoneデータ抽出!L:L, _xlfn.AGGREGATE(15, 6, ROW(Kintoneデータ抽出!$K$2:$K$5000) / ((Kintoneデータ抽出!$K$2:$K$5000="企業内")), ROW(A33))),"*企業主導型以外*"),"",
IF(COUNTIF(INDEX(Kintoneデータ抽出!L:L, _xlfn.AGGREGATE(15, 6, ROW(Kintoneデータ抽出!$K$2:$K$5000) / ((Kintoneデータ抽出!$K$2:$K$5000="企業内")), ROW(A33))),"*その他*"),"",
IF(COUNTIF(INDEX(Kintoneデータ抽出!L:L, _xlfn.AGGREGATE(15, 6, ROW(Kintoneデータ抽出!$K$2:$K$5000) / ((Kintoneデータ抽出!$K$2:$K$5000="企業内")), ROW(A33))),"*新制度*"),"新制度","企業主導型"))),""), "")</f>
        <v/>
      </c>
    </row>
    <row r="341" spans="2:16" ht="34.799999999999997" customHeight="1" x14ac:dyDescent="0.45">
      <c r="B341" s="45"/>
      <c r="C341" s="46"/>
      <c r="D341" s="98" t="str">
        <f t="shared" ref="D341:D372" si="7">IF(H341&lt;&gt;"",D340+1,D340)</f>
        <v/>
      </c>
      <c r="E341" s="99"/>
      <c r="F341" s="89" t="str">
        <f t="array" ref="F341">IFERROR(INDEX(Kintoneデータ抽出!A:A, _xlfn.AGGREGATE(15, 6, ROW(Kintoneデータ抽出!$K$2:$K$5000) / ((Kintoneデータ抽出!$K$2:$K$5000="企業内")), ROW(A34))), "")</f>
        <v/>
      </c>
      <c r="G341" s="90" t="str">
        <f t="array" ref="G341">IFERROR(INDEX(Kintoneデータ抽出!D:D,_xlfn.AGGREGATE(15,6,ROW(Kintoneデータ抽出!$K$2:$K$5000)/((Kintoneデータ抽出!$K$2:$K$5000="企業内")),ROW(A34))),"")</f>
        <v/>
      </c>
      <c r="H341" s="89" t="str">
        <f t="array" ref="H341">IFERROR(INDEX(Kintoneデータ抽出!C:C, _xlfn.AGGREGATE(15, 6, ROW(Kintoneデータ抽出!$K$2:$K$5000) / ((Kintoneデータ抽出!$K$2:$K$5000="企業内")), ROW(A34))), "")</f>
        <v/>
      </c>
      <c r="I341" s="75" t="str">
        <f t="array" ref="I341">IFERROR(IF(INDEX(Kintoneデータ抽出!G:G, _xlfn.AGGREGATE(15, 6, ROW(Kintoneデータ抽出!$K$2:$K$5000) / ((Kintoneデータ抽出!$K$2:$K$5000="企業内")), ROW(A34)))&lt;&gt;"",INDEX(Kintoneデータ抽出!G:G, _xlfn.AGGREGATE(15, 6, ROW(Kintoneデータ抽出!$K$2:$K$5000) / ((Kintoneデータ抽出!$K$2:$K$5000="企業内")), ROW(A34)))&amp;"名",""), "")</f>
        <v/>
      </c>
      <c r="J341" s="76" t="str">
        <f t="array" ref="J341">IFERROR(IF(INDEX(Kintoneデータ抽出!E:E, _xlfn.AGGREGATE(15, 6, ROW(Kintoneデータ抽出!$K$2:$K$5000) / ((Kintoneデータ抽出!$K$2:$K$5000="企業内")), ROW(A34)))&lt;&gt;"",
YEAR(INDEX(Kintoneデータ抽出!E:E, _xlfn.AGGREGATE(15, 6, ROW(Kintoneデータ抽出!$K$2:$K$5000) / ((Kintoneデータ抽出!$K$2:$K$5000="企業内")), ROW(A34))))&amp;"年"
&amp;MONTH(INDEX(Kintoneデータ抽出!E:E, _xlfn.AGGREGATE(15, 6, ROW(Kintoneデータ抽出!$K$2:$K$5000) / ((Kintoneデータ抽出!$K$2:$K$5000="企業内")), ROW(A34))))&amp;"月"
&amp;DAY(INDEX(Kintoneデータ抽出!E:E, _xlfn.AGGREGATE(15, 6, ROW(Kintoneデータ抽出!$K$2:$K$5000) /((Kintoneデータ抽出!$K$2:$K$5000="企業内")), ROW(A34))))&amp;"日",""), "")</f>
        <v/>
      </c>
      <c r="K341" s="77" t="str" cm="1">
        <f t="array" ref="K341">IFERROR(IF(INDEX(Kintoneデータ抽出!F:F, _xlfn.AGGREGATE(15, 6, ROW(Kintoneデータ抽出!$K$2:$K$5000) / ((Kintoneデータ抽出!$K$2:$K$5000="企業内")), ROW(A34)))&lt;&gt;"",
VLOOKUP(INDEX(Kintoneデータ抽出!F:F, _xlfn.AGGREGATE(15, 6, ROW(Kintoneデータ抽出!$K$2:$K$5000) / ((Kintoneデータ抽出!$K$2:$K$5000="企業内")), ROW(A34))),基本開園日の表記!$A$2:$B$13,2,FALSE),""), "")</f>
        <v/>
      </c>
      <c r="L341" s="75" t="str">
        <f t="array" ref="L341">IFERROR(IF(INDEX(Kintoneデータ抽出!F:F, _xlfn.AGGREGATE(15, 6, ROW(Kintoneデータ抽出!$K$2:$K$5000) / ((Kintoneデータ抽出!$K$2:$K$5000="企業内")), ROW(A34)))&lt;&gt;"",
IF(COUNTIF(INDEX(Kintoneデータ抽出!F:F, _xlfn.AGGREGATE(15, 6, ROW(Kintoneデータ抽出!$K$2:$K$5000) / ((Kintoneデータ抽出!$K$2:$K$5000="企業内")), ROW(A34))),"*あり*"),"夜間",""),""), "")</f>
        <v/>
      </c>
      <c r="M341" s="75" t="str">
        <f t="array" ref="M341">IFERROR(IF(INDEX(Kintoneデータ抽出!I:I, _xlfn.AGGREGATE(15, 6, ROW(Kintoneデータ抽出!$K$2:$K$5000) / ((Kintoneデータ抽出!$K$2:$K$5000="企業内")), ROW(A34)))&lt;&gt;"",
IF(COUNTIF(INDEX(Kintoneデータ抽出!I:I, _xlfn.AGGREGATE(15, 6, ROW(Kintoneデータ抽出!$K$2:$K$5000) / ((Kintoneデータ抽出!$K$2:$K$5000="企業内")), ROW(A34))),"*あり*"),"学童",""),""), "")</f>
        <v/>
      </c>
      <c r="N341" s="75" t="str">
        <f t="array" ref="N341">IFERROR(IF(INDEX(Kintoneデータ抽出!H:H, _xlfn.AGGREGATE(15, 6, ROW(Kintoneデータ抽出!$K$2:$K$5000) / ((Kintoneデータ抽出!$K$2:$K$5000="企業内")), ROW(A34)))&lt;&gt;"",
IF(COUNTIF(INDEX(Kintoneデータ抽出!H:H, _xlfn.AGGREGATE(15, 6, ROW(Kintoneデータ抽出!$K$2:$K$5000) / ((Kintoneデータ抽出!$K$2:$K$5000="企業内")), ROW(A34))),"*あり*"),"病児",""),""), "")</f>
        <v/>
      </c>
      <c r="O341" s="75" t="str" cm="1">
        <f t="array" ref="O341">IFERROR(
IF(INDEX(Kintoneデータ抽出!M:M, _xlfn.AGGREGATE(15, 6, ROW(Kintoneデータ抽出!$K$2:$K$5000) / ((Kintoneデータ抽出!$K$2:$K$5000="企業内")), ROW(A34)))&lt;&gt;0,INDEX(Kintoneデータ抽出!M:M, _xlfn.AGGREGATE(15, 6, ROW(Kintoneデータ抽出!$K$2:$K$5000) / ((Kintoneデータ抽出!$K$2:$K$5000="企業内")), ROW(A34))),""), "")</f>
        <v/>
      </c>
      <c r="P341" s="78" t="str">
        <f t="array" ref="P341">IFERROR(IF(INDEX(Kintoneデータ抽出!L:L, _xlfn.AGGREGATE(15, 6, ROW(Kintoneデータ抽出!$K$2:$K$5000) / ((Kintoneデータ抽出!$K$2:$K$5000="企業内")), ROW(A34)))&lt;&gt;"",
IF(COUNTIF(INDEX(Kintoneデータ抽出!L:L, _xlfn.AGGREGATE(15, 6, ROW(Kintoneデータ抽出!$K$2:$K$5000) / ((Kintoneデータ抽出!$K$2:$K$5000="企業内")), ROW(A34))),"*企業主導型以外*"),"",
IF(COUNTIF(INDEX(Kintoneデータ抽出!L:L, _xlfn.AGGREGATE(15, 6, ROW(Kintoneデータ抽出!$K$2:$K$5000) / ((Kintoneデータ抽出!$K$2:$K$5000="企業内")), ROW(A34))),"*その他*"),"",
IF(COUNTIF(INDEX(Kintoneデータ抽出!L:L, _xlfn.AGGREGATE(15, 6, ROW(Kintoneデータ抽出!$K$2:$K$5000) / ((Kintoneデータ抽出!$K$2:$K$5000="企業内")), ROW(A34))),"*新制度*"),"新制度","企業主導型"))),""), "")</f>
        <v/>
      </c>
    </row>
    <row r="342" spans="2:16" ht="34.799999999999997" customHeight="1" x14ac:dyDescent="0.45">
      <c r="B342" s="45"/>
      <c r="C342" s="46"/>
      <c r="D342" s="98" t="str">
        <f t="shared" si="7"/>
        <v/>
      </c>
      <c r="E342" s="99"/>
      <c r="F342" s="89" t="str">
        <f t="array" ref="F342">IFERROR(INDEX(Kintoneデータ抽出!A:A, _xlfn.AGGREGATE(15, 6, ROW(Kintoneデータ抽出!$K$2:$K$5000) / ((Kintoneデータ抽出!$K$2:$K$5000="企業内")), ROW(A35))), "")</f>
        <v/>
      </c>
      <c r="G342" s="90" t="str">
        <f t="array" ref="G342">IFERROR(INDEX(Kintoneデータ抽出!D:D,_xlfn.AGGREGATE(15,6,ROW(Kintoneデータ抽出!$K$2:$K$5000)/((Kintoneデータ抽出!$K$2:$K$5000="企業内")),ROW(A35))),"")</f>
        <v/>
      </c>
      <c r="H342" s="89" t="str">
        <f t="array" ref="H342">IFERROR(INDEX(Kintoneデータ抽出!C:C, _xlfn.AGGREGATE(15, 6, ROW(Kintoneデータ抽出!$K$2:$K$5000) / ((Kintoneデータ抽出!$K$2:$K$5000="企業内")), ROW(A35))), "")</f>
        <v/>
      </c>
      <c r="I342" s="75" t="str">
        <f t="array" ref="I342">IFERROR(IF(INDEX(Kintoneデータ抽出!G:G, _xlfn.AGGREGATE(15, 6, ROW(Kintoneデータ抽出!$K$2:$K$5000) / ((Kintoneデータ抽出!$K$2:$K$5000="企業内")), ROW(A35)))&lt;&gt;"",INDEX(Kintoneデータ抽出!G:G, _xlfn.AGGREGATE(15, 6, ROW(Kintoneデータ抽出!$K$2:$K$5000) / ((Kintoneデータ抽出!$K$2:$K$5000="企業内")), ROW(A35)))&amp;"名",""), "")</f>
        <v/>
      </c>
      <c r="J342" s="76" t="str">
        <f t="array" ref="J342">IFERROR(IF(INDEX(Kintoneデータ抽出!E:E, _xlfn.AGGREGATE(15, 6, ROW(Kintoneデータ抽出!$K$2:$K$5000) / ((Kintoneデータ抽出!$K$2:$K$5000="企業内")), ROW(A35)))&lt;&gt;"",
YEAR(INDEX(Kintoneデータ抽出!E:E, _xlfn.AGGREGATE(15, 6, ROW(Kintoneデータ抽出!$K$2:$K$5000) / ((Kintoneデータ抽出!$K$2:$K$5000="企業内")), ROW(A35))))&amp;"年"
&amp;MONTH(INDEX(Kintoneデータ抽出!E:E, _xlfn.AGGREGATE(15, 6, ROW(Kintoneデータ抽出!$K$2:$K$5000) / ((Kintoneデータ抽出!$K$2:$K$5000="企業内")), ROW(A35))))&amp;"月"
&amp;DAY(INDEX(Kintoneデータ抽出!E:E, _xlfn.AGGREGATE(15, 6, ROW(Kintoneデータ抽出!$K$2:$K$5000) /((Kintoneデータ抽出!$K$2:$K$5000="企業内")), ROW(A35))))&amp;"日",""), "")</f>
        <v/>
      </c>
      <c r="K342" s="77" t="str" cm="1">
        <f t="array" ref="K342">IFERROR(IF(INDEX(Kintoneデータ抽出!F:F, _xlfn.AGGREGATE(15, 6, ROW(Kintoneデータ抽出!$K$2:$K$5000) / ((Kintoneデータ抽出!$K$2:$K$5000="企業内")), ROW(A35)))&lt;&gt;"",
VLOOKUP(INDEX(Kintoneデータ抽出!F:F, _xlfn.AGGREGATE(15, 6, ROW(Kintoneデータ抽出!$K$2:$K$5000) / ((Kintoneデータ抽出!$K$2:$K$5000="企業内")), ROW(A35))),基本開園日の表記!$A$2:$B$13,2,FALSE),""), "")</f>
        <v/>
      </c>
      <c r="L342" s="75" t="str">
        <f t="array" ref="L342">IFERROR(IF(INDEX(Kintoneデータ抽出!F:F, _xlfn.AGGREGATE(15, 6, ROW(Kintoneデータ抽出!$K$2:$K$5000) / ((Kintoneデータ抽出!$K$2:$K$5000="企業内")), ROW(A35)))&lt;&gt;"",
IF(COUNTIF(INDEX(Kintoneデータ抽出!F:F, _xlfn.AGGREGATE(15, 6, ROW(Kintoneデータ抽出!$K$2:$K$5000) / ((Kintoneデータ抽出!$K$2:$K$5000="企業内")), ROW(A35))),"*あり*"),"夜間",""),""), "")</f>
        <v/>
      </c>
      <c r="M342" s="75" t="str">
        <f t="array" ref="M342">IFERROR(IF(INDEX(Kintoneデータ抽出!I:I, _xlfn.AGGREGATE(15, 6, ROW(Kintoneデータ抽出!$K$2:$K$5000) / ((Kintoneデータ抽出!$K$2:$K$5000="企業内")), ROW(A35)))&lt;&gt;"",
IF(COUNTIF(INDEX(Kintoneデータ抽出!I:I, _xlfn.AGGREGATE(15, 6, ROW(Kintoneデータ抽出!$K$2:$K$5000) / ((Kintoneデータ抽出!$K$2:$K$5000="企業内")), ROW(A35))),"*あり*"),"学童",""),""), "")</f>
        <v/>
      </c>
      <c r="N342" s="75" t="str">
        <f t="array" ref="N342">IFERROR(IF(INDEX(Kintoneデータ抽出!H:H, _xlfn.AGGREGATE(15, 6, ROW(Kintoneデータ抽出!$K$2:$K$5000) / ((Kintoneデータ抽出!$K$2:$K$5000="企業内")), ROW(A35)))&lt;&gt;"",
IF(COUNTIF(INDEX(Kintoneデータ抽出!H:H, _xlfn.AGGREGATE(15, 6, ROW(Kintoneデータ抽出!$K$2:$K$5000) / ((Kintoneデータ抽出!$K$2:$K$5000="企業内")), ROW(A35))),"*あり*"),"病児",""),""), "")</f>
        <v/>
      </c>
      <c r="O342" s="75" t="str" cm="1">
        <f t="array" ref="O342">IFERROR(
IF(INDEX(Kintoneデータ抽出!M:M, _xlfn.AGGREGATE(15, 6, ROW(Kintoneデータ抽出!$K$2:$K$5000) / ((Kintoneデータ抽出!$K$2:$K$5000="企業内")), ROW(A35)))&lt;&gt;0,INDEX(Kintoneデータ抽出!M:M, _xlfn.AGGREGATE(15, 6, ROW(Kintoneデータ抽出!$K$2:$K$5000) / ((Kintoneデータ抽出!$K$2:$K$5000="企業内")), ROW(A35))),""), "")</f>
        <v/>
      </c>
      <c r="P342" s="78" t="str">
        <f t="array" ref="P342">IFERROR(IF(INDEX(Kintoneデータ抽出!L:L, _xlfn.AGGREGATE(15, 6, ROW(Kintoneデータ抽出!$K$2:$K$5000) / ((Kintoneデータ抽出!$K$2:$K$5000="企業内")), ROW(A35)))&lt;&gt;"",
IF(COUNTIF(INDEX(Kintoneデータ抽出!L:L, _xlfn.AGGREGATE(15, 6, ROW(Kintoneデータ抽出!$K$2:$K$5000) / ((Kintoneデータ抽出!$K$2:$K$5000="企業内")), ROW(A35))),"*企業主導型以外*"),"",
IF(COUNTIF(INDEX(Kintoneデータ抽出!L:L, _xlfn.AGGREGATE(15, 6, ROW(Kintoneデータ抽出!$K$2:$K$5000) / ((Kintoneデータ抽出!$K$2:$K$5000="企業内")), ROW(A35))),"*その他*"),"",
IF(COUNTIF(INDEX(Kintoneデータ抽出!L:L, _xlfn.AGGREGATE(15, 6, ROW(Kintoneデータ抽出!$K$2:$K$5000) / ((Kintoneデータ抽出!$K$2:$K$5000="企業内")), ROW(A35))),"*新制度*"),"新制度","企業主導型"))),""), "")</f>
        <v/>
      </c>
    </row>
    <row r="343" spans="2:16" ht="34.799999999999997" customHeight="1" x14ac:dyDescent="0.45">
      <c r="B343" s="45"/>
      <c r="C343" s="46"/>
      <c r="D343" s="98" t="str">
        <f t="shared" si="7"/>
        <v/>
      </c>
      <c r="E343" s="99"/>
      <c r="F343" s="89" t="str">
        <f t="array" ref="F343">IFERROR(INDEX(Kintoneデータ抽出!A:A, _xlfn.AGGREGATE(15, 6, ROW(Kintoneデータ抽出!$K$2:$K$5000) / ((Kintoneデータ抽出!$K$2:$K$5000="企業内")), ROW(A36))), "")</f>
        <v/>
      </c>
      <c r="G343" s="90" t="str">
        <f t="array" ref="G343">IFERROR(INDEX(Kintoneデータ抽出!D:D,_xlfn.AGGREGATE(15,6,ROW(Kintoneデータ抽出!$K$2:$K$5000)/((Kintoneデータ抽出!$K$2:$K$5000="企業内")),ROW(A36))),"")</f>
        <v/>
      </c>
      <c r="H343" s="89" t="str">
        <f t="array" ref="H343">IFERROR(INDEX(Kintoneデータ抽出!C:C, _xlfn.AGGREGATE(15, 6, ROW(Kintoneデータ抽出!$K$2:$K$5000) / ((Kintoneデータ抽出!$K$2:$K$5000="企業内")), ROW(A36))), "")</f>
        <v/>
      </c>
      <c r="I343" s="75" t="str">
        <f t="array" ref="I343">IFERROR(IF(INDEX(Kintoneデータ抽出!G:G, _xlfn.AGGREGATE(15, 6, ROW(Kintoneデータ抽出!$K$2:$K$5000) / ((Kintoneデータ抽出!$K$2:$K$5000="企業内")), ROW(A36)))&lt;&gt;"",INDEX(Kintoneデータ抽出!G:G, _xlfn.AGGREGATE(15, 6, ROW(Kintoneデータ抽出!$K$2:$K$5000) / ((Kintoneデータ抽出!$K$2:$K$5000="企業内")), ROW(A36)))&amp;"名",""), "")</f>
        <v/>
      </c>
      <c r="J343" s="76" t="str">
        <f t="array" ref="J343">IFERROR(IF(INDEX(Kintoneデータ抽出!E:E, _xlfn.AGGREGATE(15, 6, ROW(Kintoneデータ抽出!$K$2:$K$5000) / ((Kintoneデータ抽出!$K$2:$K$5000="企業内")), ROW(A36)))&lt;&gt;"",
YEAR(INDEX(Kintoneデータ抽出!E:E, _xlfn.AGGREGATE(15, 6, ROW(Kintoneデータ抽出!$K$2:$K$5000) / ((Kintoneデータ抽出!$K$2:$K$5000="企業内")), ROW(A36))))&amp;"年"
&amp;MONTH(INDEX(Kintoneデータ抽出!E:E, _xlfn.AGGREGATE(15, 6, ROW(Kintoneデータ抽出!$K$2:$K$5000) / ((Kintoneデータ抽出!$K$2:$K$5000="企業内")), ROW(A36))))&amp;"月"
&amp;DAY(INDEX(Kintoneデータ抽出!E:E, _xlfn.AGGREGATE(15, 6, ROW(Kintoneデータ抽出!$K$2:$K$5000) /((Kintoneデータ抽出!$K$2:$K$5000="企業内")), ROW(A36))))&amp;"日",""), "")</f>
        <v/>
      </c>
      <c r="K343" s="77" t="str" cm="1">
        <f t="array" ref="K343">IFERROR(IF(INDEX(Kintoneデータ抽出!F:F, _xlfn.AGGREGATE(15, 6, ROW(Kintoneデータ抽出!$K$2:$K$5000) / ((Kintoneデータ抽出!$K$2:$K$5000="企業内")), ROW(A36)))&lt;&gt;"",
VLOOKUP(INDEX(Kintoneデータ抽出!F:F, _xlfn.AGGREGATE(15, 6, ROW(Kintoneデータ抽出!$K$2:$K$5000) / ((Kintoneデータ抽出!$K$2:$K$5000="企業内")), ROW(A36))),基本開園日の表記!$A$2:$B$13,2,FALSE),""), "")</f>
        <v/>
      </c>
      <c r="L343" s="75" t="str">
        <f t="array" ref="L343">IFERROR(IF(INDEX(Kintoneデータ抽出!F:F, _xlfn.AGGREGATE(15, 6, ROW(Kintoneデータ抽出!$K$2:$K$5000) / ((Kintoneデータ抽出!$K$2:$K$5000="企業内")), ROW(A36)))&lt;&gt;"",
IF(COUNTIF(INDEX(Kintoneデータ抽出!F:F, _xlfn.AGGREGATE(15, 6, ROW(Kintoneデータ抽出!$K$2:$K$5000) / ((Kintoneデータ抽出!$K$2:$K$5000="企業内")), ROW(A36))),"*あり*"),"夜間",""),""), "")</f>
        <v/>
      </c>
      <c r="M343" s="75" t="str">
        <f t="array" ref="M343">IFERROR(IF(INDEX(Kintoneデータ抽出!I:I, _xlfn.AGGREGATE(15, 6, ROW(Kintoneデータ抽出!$K$2:$K$5000) / ((Kintoneデータ抽出!$K$2:$K$5000="企業内")), ROW(A36)))&lt;&gt;"",
IF(COUNTIF(INDEX(Kintoneデータ抽出!I:I, _xlfn.AGGREGATE(15, 6, ROW(Kintoneデータ抽出!$K$2:$K$5000) / ((Kintoneデータ抽出!$K$2:$K$5000="企業内")), ROW(A36))),"*あり*"),"学童",""),""), "")</f>
        <v/>
      </c>
      <c r="N343" s="75" t="str">
        <f t="array" ref="N343">IFERROR(IF(INDEX(Kintoneデータ抽出!H:H, _xlfn.AGGREGATE(15, 6, ROW(Kintoneデータ抽出!$K$2:$K$5000) / ((Kintoneデータ抽出!$K$2:$K$5000="企業内")), ROW(A36)))&lt;&gt;"",
IF(COUNTIF(INDEX(Kintoneデータ抽出!H:H, _xlfn.AGGREGATE(15, 6, ROW(Kintoneデータ抽出!$K$2:$K$5000) / ((Kintoneデータ抽出!$K$2:$K$5000="企業内")), ROW(A36))),"*あり*"),"病児",""),""), "")</f>
        <v/>
      </c>
      <c r="O343" s="75" t="str" cm="1">
        <f t="array" ref="O343">IFERROR(
IF(INDEX(Kintoneデータ抽出!M:M, _xlfn.AGGREGATE(15, 6, ROW(Kintoneデータ抽出!$K$2:$K$5000) / ((Kintoneデータ抽出!$K$2:$K$5000="企業内")), ROW(A36)))&lt;&gt;0,INDEX(Kintoneデータ抽出!M:M, _xlfn.AGGREGATE(15, 6, ROW(Kintoneデータ抽出!$K$2:$K$5000) / ((Kintoneデータ抽出!$K$2:$K$5000="企業内")), ROW(A36))),""), "")</f>
        <v/>
      </c>
      <c r="P343" s="78" t="str">
        <f t="array" ref="P343">IFERROR(IF(INDEX(Kintoneデータ抽出!L:L, _xlfn.AGGREGATE(15, 6, ROW(Kintoneデータ抽出!$K$2:$K$5000) / ((Kintoneデータ抽出!$K$2:$K$5000="企業内")), ROW(A36)))&lt;&gt;"",
IF(COUNTIF(INDEX(Kintoneデータ抽出!L:L, _xlfn.AGGREGATE(15, 6, ROW(Kintoneデータ抽出!$K$2:$K$5000) / ((Kintoneデータ抽出!$K$2:$K$5000="企業内")), ROW(A36))),"*企業主導型以外*"),"",
IF(COUNTIF(INDEX(Kintoneデータ抽出!L:L, _xlfn.AGGREGATE(15, 6, ROW(Kintoneデータ抽出!$K$2:$K$5000) / ((Kintoneデータ抽出!$K$2:$K$5000="企業内")), ROW(A36))),"*その他*"),"",
IF(COUNTIF(INDEX(Kintoneデータ抽出!L:L, _xlfn.AGGREGATE(15, 6, ROW(Kintoneデータ抽出!$K$2:$K$5000) / ((Kintoneデータ抽出!$K$2:$K$5000="企業内")), ROW(A36))),"*新制度*"),"新制度","企業主導型"))),""), "")</f>
        <v/>
      </c>
    </row>
    <row r="344" spans="2:16" ht="34.799999999999997" customHeight="1" x14ac:dyDescent="0.45">
      <c r="B344" s="47"/>
      <c r="C344" s="48"/>
      <c r="D344" s="98" t="str">
        <f t="shared" si="7"/>
        <v/>
      </c>
      <c r="E344" s="99"/>
      <c r="F344" s="89" t="str">
        <f t="array" ref="F344">IFERROR(INDEX(Kintoneデータ抽出!A:A, _xlfn.AGGREGATE(15, 6, ROW(Kintoneデータ抽出!$K$2:$K$5000) / ((Kintoneデータ抽出!$K$2:$K$5000="企業内")), ROW(A37))), "")</f>
        <v/>
      </c>
      <c r="G344" s="90" t="str">
        <f t="array" ref="G344">IFERROR(INDEX(Kintoneデータ抽出!D:D,_xlfn.AGGREGATE(15,6,ROW(Kintoneデータ抽出!$K$2:$K$5000)/((Kintoneデータ抽出!$K$2:$K$5000="企業内")),ROW(A37))),"")</f>
        <v/>
      </c>
      <c r="H344" s="89" t="str">
        <f t="array" ref="H344">IFERROR(INDEX(Kintoneデータ抽出!C:C, _xlfn.AGGREGATE(15, 6, ROW(Kintoneデータ抽出!$K$2:$K$5000) / ((Kintoneデータ抽出!$K$2:$K$5000="企業内")), ROW(A37))), "")</f>
        <v/>
      </c>
      <c r="I344" s="75" t="str">
        <f t="array" ref="I344">IFERROR(IF(INDEX(Kintoneデータ抽出!G:G, _xlfn.AGGREGATE(15, 6, ROW(Kintoneデータ抽出!$K$2:$K$5000) / ((Kintoneデータ抽出!$K$2:$K$5000="企業内")), ROW(A37)))&lt;&gt;"",INDEX(Kintoneデータ抽出!G:G, _xlfn.AGGREGATE(15, 6, ROW(Kintoneデータ抽出!$K$2:$K$5000) / ((Kintoneデータ抽出!$K$2:$K$5000="企業内")), ROW(A37)))&amp;"名",""), "")</f>
        <v/>
      </c>
      <c r="J344" s="76" t="str">
        <f t="array" ref="J344">IFERROR(IF(INDEX(Kintoneデータ抽出!E:E, _xlfn.AGGREGATE(15, 6, ROW(Kintoneデータ抽出!$K$2:$K$5000) / ((Kintoneデータ抽出!$K$2:$K$5000="企業内")), ROW(A37)))&lt;&gt;"",
YEAR(INDEX(Kintoneデータ抽出!E:E, _xlfn.AGGREGATE(15, 6, ROW(Kintoneデータ抽出!$K$2:$K$5000) / ((Kintoneデータ抽出!$K$2:$K$5000="企業内")), ROW(A37))))&amp;"年"
&amp;MONTH(INDEX(Kintoneデータ抽出!E:E, _xlfn.AGGREGATE(15, 6, ROW(Kintoneデータ抽出!$K$2:$K$5000) / ((Kintoneデータ抽出!$K$2:$K$5000="企業内")), ROW(A37))))&amp;"月"
&amp;DAY(INDEX(Kintoneデータ抽出!E:E, _xlfn.AGGREGATE(15, 6, ROW(Kintoneデータ抽出!$K$2:$K$5000) /((Kintoneデータ抽出!$K$2:$K$5000="企業内")), ROW(A37))))&amp;"日",""), "")</f>
        <v/>
      </c>
      <c r="K344" s="77" t="str" cm="1">
        <f t="array" ref="K344">IFERROR(IF(INDEX(Kintoneデータ抽出!F:F, _xlfn.AGGREGATE(15, 6, ROW(Kintoneデータ抽出!$K$2:$K$5000) / ((Kintoneデータ抽出!$K$2:$K$5000="企業内")), ROW(A37)))&lt;&gt;"",
VLOOKUP(INDEX(Kintoneデータ抽出!F:F, _xlfn.AGGREGATE(15, 6, ROW(Kintoneデータ抽出!$K$2:$K$5000) / ((Kintoneデータ抽出!$K$2:$K$5000="企業内")), ROW(A37))),基本開園日の表記!$A$2:$B$13,2,FALSE),""), "")</f>
        <v/>
      </c>
      <c r="L344" s="75" t="str">
        <f t="array" ref="L344">IFERROR(IF(INDEX(Kintoneデータ抽出!F:F, _xlfn.AGGREGATE(15, 6, ROW(Kintoneデータ抽出!$K$2:$K$5000) / ((Kintoneデータ抽出!$K$2:$K$5000="企業内")), ROW(A37)))&lt;&gt;"",
IF(COUNTIF(INDEX(Kintoneデータ抽出!F:F, _xlfn.AGGREGATE(15, 6, ROW(Kintoneデータ抽出!$K$2:$K$5000) / ((Kintoneデータ抽出!$K$2:$K$5000="企業内")), ROW(A37))),"*あり*"),"夜間",""),""), "")</f>
        <v/>
      </c>
      <c r="M344" s="75" t="str">
        <f t="array" ref="M344">IFERROR(IF(INDEX(Kintoneデータ抽出!I:I, _xlfn.AGGREGATE(15, 6, ROW(Kintoneデータ抽出!$K$2:$K$5000) / ((Kintoneデータ抽出!$K$2:$K$5000="企業内")), ROW(A37)))&lt;&gt;"",
IF(COUNTIF(INDEX(Kintoneデータ抽出!I:I, _xlfn.AGGREGATE(15, 6, ROW(Kintoneデータ抽出!$K$2:$K$5000) / ((Kintoneデータ抽出!$K$2:$K$5000="企業内")), ROW(A37))),"*あり*"),"学童",""),""), "")</f>
        <v/>
      </c>
      <c r="N344" s="75" t="str">
        <f t="array" ref="N344">IFERROR(IF(INDEX(Kintoneデータ抽出!H:H, _xlfn.AGGREGATE(15, 6, ROW(Kintoneデータ抽出!$K$2:$K$5000) / ((Kintoneデータ抽出!$K$2:$K$5000="企業内")), ROW(A37)))&lt;&gt;"",
IF(COUNTIF(INDEX(Kintoneデータ抽出!H:H, _xlfn.AGGREGATE(15, 6, ROW(Kintoneデータ抽出!$K$2:$K$5000) / ((Kintoneデータ抽出!$K$2:$K$5000="企業内")), ROW(A37))),"*あり*"),"病児",""),""), "")</f>
        <v/>
      </c>
      <c r="O344" s="75" t="str" cm="1">
        <f t="array" ref="O344">IFERROR(
IF(INDEX(Kintoneデータ抽出!M:M, _xlfn.AGGREGATE(15, 6, ROW(Kintoneデータ抽出!$K$2:$K$5000) / ((Kintoneデータ抽出!$K$2:$K$5000="企業内")), ROW(A37)))&lt;&gt;0,INDEX(Kintoneデータ抽出!M:M, _xlfn.AGGREGATE(15, 6, ROW(Kintoneデータ抽出!$K$2:$K$5000) / ((Kintoneデータ抽出!$K$2:$K$5000="企業内")), ROW(A37))),""), "")</f>
        <v/>
      </c>
      <c r="P344" s="78" t="str">
        <f t="array" ref="P344">IFERROR(IF(INDEX(Kintoneデータ抽出!L:L, _xlfn.AGGREGATE(15, 6, ROW(Kintoneデータ抽出!$K$2:$K$5000) / ((Kintoneデータ抽出!$K$2:$K$5000="企業内")), ROW(A37)))&lt;&gt;"",
IF(COUNTIF(INDEX(Kintoneデータ抽出!L:L, _xlfn.AGGREGATE(15, 6, ROW(Kintoneデータ抽出!$K$2:$K$5000) / ((Kintoneデータ抽出!$K$2:$K$5000="企業内")), ROW(A37))),"*企業主導型以外*"),"",
IF(COUNTIF(INDEX(Kintoneデータ抽出!L:L, _xlfn.AGGREGATE(15, 6, ROW(Kintoneデータ抽出!$K$2:$K$5000) / ((Kintoneデータ抽出!$K$2:$K$5000="企業内")), ROW(A37))),"*その他*"),"",
IF(COUNTIF(INDEX(Kintoneデータ抽出!L:L, _xlfn.AGGREGATE(15, 6, ROW(Kintoneデータ抽出!$K$2:$K$5000) / ((Kintoneデータ抽出!$K$2:$K$5000="企業内")), ROW(A37))),"*新制度*"),"新制度","企業主導型"))),""), "")</f>
        <v/>
      </c>
    </row>
    <row r="345" spans="2:16" ht="34.799999999999997" customHeight="1" x14ac:dyDescent="0.45">
      <c r="B345" s="63" t="s">
        <v>48</v>
      </c>
      <c r="C345" s="50"/>
      <c r="D345" s="98" t="str">
        <f t="shared" si="7"/>
        <v/>
      </c>
      <c r="E345" s="99"/>
      <c r="F345" s="89" t="str">
        <f t="array" ref="F345">IFERROR(INDEX(Kintoneデータ抽出!A:A, _xlfn.AGGREGATE(15, 6, ROW(Kintoneデータ抽出!$K$2:$K$5000) / ((Kintoneデータ抽出!$K$2:$K$5000="企業内")), ROW(A38))), "")</f>
        <v/>
      </c>
      <c r="G345" s="90" t="str">
        <f t="array" ref="G345">IFERROR(INDEX(Kintoneデータ抽出!D:D,_xlfn.AGGREGATE(15,6,ROW(Kintoneデータ抽出!$K$2:$K$5000)/((Kintoneデータ抽出!$K$2:$K$5000="企業内")),ROW(A38))),"")</f>
        <v/>
      </c>
      <c r="H345" s="89" t="str">
        <f t="array" ref="H345">IFERROR(INDEX(Kintoneデータ抽出!C:C, _xlfn.AGGREGATE(15, 6, ROW(Kintoneデータ抽出!$K$2:$K$5000) / ((Kintoneデータ抽出!$K$2:$K$5000="企業内")), ROW(A38))), "")</f>
        <v/>
      </c>
      <c r="I345" s="75" t="str">
        <f t="array" ref="I345">IFERROR(IF(INDEX(Kintoneデータ抽出!G:G, _xlfn.AGGREGATE(15, 6, ROW(Kintoneデータ抽出!$K$2:$K$5000) / ((Kintoneデータ抽出!$K$2:$K$5000="企業内")), ROW(A38)))&lt;&gt;"",INDEX(Kintoneデータ抽出!G:G, _xlfn.AGGREGATE(15, 6, ROW(Kintoneデータ抽出!$K$2:$K$5000) / ((Kintoneデータ抽出!$K$2:$K$5000="企業内")), ROW(A38)))&amp;"名",""), "")</f>
        <v/>
      </c>
      <c r="J345" s="76" t="str">
        <f t="array" ref="J345">IFERROR(IF(INDEX(Kintoneデータ抽出!E:E, _xlfn.AGGREGATE(15, 6, ROW(Kintoneデータ抽出!$K$2:$K$5000) / ((Kintoneデータ抽出!$K$2:$K$5000="企業内")), ROW(A38)))&lt;&gt;"",
YEAR(INDEX(Kintoneデータ抽出!E:E, _xlfn.AGGREGATE(15, 6, ROW(Kintoneデータ抽出!$K$2:$K$5000) / ((Kintoneデータ抽出!$K$2:$K$5000="企業内")), ROW(A38))))&amp;"年"
&amp;MONTH(INDEX(Kintoneデータ抽出!E:E, _xlfn.AGGREGATE(15, 6, ROW(Kintoneデータ抽出!$K$2:$K$5000) / ((Kintoneデータ抽出!$K$2:$K$5000="企業内")), ROW(A38))))&amp;"月"
&amp;DAY(INDEX(Kintoneデータ抽出!E:E, _xlfn.AGGREGATE(15, 6, ROW(Kintoneデータ抽出!$K$2:$K$5000) /((Kintoneデータ抽出!$K$2:$K$5000="企業内")), ROW(A38))))&amp;"日",""), "")</f>
        <v/>
      </c>
      <c r="K345" s="77" t="str" cm="1">
        <f t="array" ref="K345">IFERROR(IF(INDEX(Kintoneデータ抽出!F:F, _xlfn.AGGREGATE(15, 6, ROW(Kintoneデータ抽出!$K$2:$K$5000) / ((Kintoneデータ抽出!$K$2:$K$5000="企業内")), ROW(A38)))&lt;&gt;"",
VLOOKUP(INDEX(Kintoneデータ抽出!F:F, _xlfn.AGGREGATE(15, 6, ROW(Kintoneデータ抽出!$K$2:$K$5000) / ((Kintoneデータ抽出!$K$2:$K$5000="企業内")), ROW(A38))),基本開園日の表記!$A$2:$B$13,2,FALSE),""), "")</f>
        <v/>
      </c>
      <c r="L345" s="75" t="str">
        <f t="array" ref="L345">IFERROR(IF(INDEX(Kintoneデータ抽出!F:F, _xlfn.AGGREGATE(15, 6, ROW(Kintoneデータ抽出!$K$2:$K$5000) / ((Kintoneデータ抽出!$K$2:$K$5000="企業内")), ROW(A38)))&lt;&gt;"",
IF(COUNTIF(INDEX(Kintoneデータ抽出!F:F, _xlfn.AGGREGATE(15, 6, ROW(Kintoneデータ抽出!$K$2:$K$5000) / ((Kintoneデータ抽出!$K$2:$K$5000="企業内")), ROW(A38))),"*あり*"),"夜間",""),""), "")</f>
        <v/>
      </c>
      <c r="M345" s="75" t="str">
        <f t="array" ref="M345">IFERROR(IF(INDEX(Kintoneデータ抽出!I:I, _xlfn.AGGREGATE(15, 6, ROW(Kintoneデータ抽出!$K$2:$K$5000) / ((Kintoneデータ抽出!$K$2:$K$5000="企業内")), ROW(A38)))&lt;&gt;"",
IF(COUNTIF(INDEX(Kintoneデータ抽出!I:I, _xlfn.AGGREGATE(15, 6, ROW(Kintoneデータ抽出!$K$2:$K$5000) / ((Kintoneデータ抽出!$K$2:$K$5000="企業内")), ROW(A38))),"*あり*"),"学童",""),""), "")</f>
        <v/>
      </c>
      <c r="N345" s="75" t="str">
        <f t="array" ref="N345">IFERROR(IF(INDEX(Kintoneデータ抽出!H:H, _xlfn.AGGREGATE(15, 6, ROW(Kintoneデータ抽出!$K$2:$K$5000) / ((Kintoneデータ抽出!$K$2:$K$5000="企業内")), ROW(A38)))&lt;&gt;"",
IF(COUNTIF(INDEX(Kintoneデータ抽出!H:H, _xlfn.AGGREGATE(15, 6, ROW(Kintoneデータ抽出!$K$2:$K$5000) / ((Kintoneデータ抽出!$K$2:$K$5000="企業内")), ROW(A38))),"*あり*"),"病児",""),""), "")</f>
        <v/>
      </c>
      <c r="O345" s="75" t="str" cm="1">
        <f t="array" ref="O345">IFERROR(
IF(INDEX(Kintoneデータ抽出!M:M, _xlfn.AGGREGATE(15, 6, ROW(Kintoneデータ抽出!$K$2:$K$5000) / ((Kintoneデータ抽出!$K$2:$K$5000="企業内")), ROW(A38)))&lt;&gt;0,INDEX(Kintoneデータ抽出!M:M, _xlfn.AGGREGATE(15, 6, ROW(Kintoneデータ抽出!$K$2:$K$5000) / ((Kintoneデータ抽出!$K$2:$K$5000="企業内")), ROW(A38))),""), "")</f>
        <v/>
      </c>
      <c r="P345" s="78" t="str">
        <f t="array" ref="P345">IFERROR(IF(INDEX(Kintoneデータ抽出!L:L, _xlfn.AGGREGATE(15, 6, ROW(Kintoneデータ抽出!$K$2:$K$5000) / ((Kintoneデータ抽出!$K$2:$K$5000="企業内")), ROW(A38)))&lt;&gt;"",
IF(COUNTIF(INDEX(Kintoneデータ抽出!L:L, _xlfn.AGGREGATE(15, 6, ROW(Kintoneデータ抽出!$K$2:$K$5000) / ((Kintoneデータ抽出!$K$2:$K$5000="企業内")), ROW(A38))),"*企業主導型以外*"),"",
IF(COUNTIF(INDEX(Kintoneデータ抽出!L:L, _xlfn.AGGREGATE(15, 6, ROW(Kintoneデータ抽出!$K$2:$K$5000) / ((Kintoneデータ抽出!$K$2:$K$5000="企業内")), ROW(A38))),"*その他*"),"",
IF(COUNTIF(INDEX(Kintoneデータ抽出!L:L, _xlfn.AGGREGATE(15, 6, ROW(Kintoneデータ抽出!$K$2:$K$5000) / ((Kintoneデータ抽出!$K$2:$K$5000="企業内")), ROW(A38))),"*新制度*"),"新制度","企業主導型"))),""), "")</f>
        <v/>
      </c>
    </row>
    <row r="346" spans="2:16" ht="34.799999999999997" customHeight="1" x14ac:dyDescent="0.45">
      <c r="B346" s="45"/>
      <c r="C346" s="46"/>
      <c r="D346" s="98" t="str">
        <f t="shared" si="7"/>
        <v/>
      </c>
      <c r="E346" s="99"/>
      <c r="F346" s="89" t="str">
        <f t="array" ref="F346">IFERROR(INDEX(Kintoneデータ抽出!A:A, _xlfn.AGGREGATE(15, 6, ROW(Kintoneデータ抽出!$K$2:$K$5000) / ((Kintoneデータ抽出!$K$2:$K$5000="企業内")), ROW(A39))), "")</f>
        <v/>
      </c>
      <c r="G346" s="90" t="str">
        <f t="array" ref="G346">IFERROR(INDEX(Kintoneデータ抽出!D:D,_xlfn.AGGREGATE(15,6,ROW(Kintoneデータ抽出!$K$2:$K$5000)/((Kintoneデータ抽出!$K$2:$K$5000="企業内")),ROW(A39))),"")</f>
        <v/>
      </c>
      <c r="H346" s="89" t="str">
        <f t="array" ref="H346">IFERROR(INDEX(Kintoneデータ抽出!C:C, _xlfn.AGGREGATE(15, 6, ROW(Kintoneデータ抽出!$K$2:$K$5000) / ((Kintoneデータ抽出!$K$2:$K$5000="企業内")), ROW(A39))), "")</f>
        <v/>
      </c>
      <c r="I346" s="75" t="str">
        <f t="array" ref="I346">IFERROR(IF(INDEX(Kintoneデータ抽出!G:G, _xlfn.AGGREGATE(15, 6, ROW(Kintoneデータ抽出!$K$2:$K$5000) / ((Kintoneデータ抽出!$K$2:$K$5000="企業内")), ROW(A39)))&lt;&gt;"",INDEX(Kintoneデータ抽出!G:G, _xlfn.AGGREGATE(15, 6, ROW(Kintoneデータ抽出!$K$2:$K$5000) / ((Kintoneデータ抽出!$K$2:$K$5000="企業内")), ROW(A39)))&amp;"名",""), "")</f>
        <v/>
      </c>
      <c r="J346" s="76" t="str">
        <f t="array" ref="J346">IFERROR(IF(INDEX(Kintoneデータ抽出!E:E, _xlfn.AGGREGATE(15, 6, ROW(Kintoneデータ抽出!$K$2:$K$5000) / ((Kintoneデータ抽出!$K$2:$K$5000="企業内")), ROW(A39)))&lt;&gt;"",
YEAR(INDEX(Kintoneデータ抽出!E:E, _xlfn.AGGREGATE(15, 6, ROW(Kintoneデータ抽出!$K$2:$K$5000) / ((Kintoneデータ抽出!$K$2:$K$5000="企業内")), ROW(A39))))&amp;"年"
&amp;MONTH(INDEX(Kintoneデータ抽出!E:E, _xlfn.AGGREGATE(15, 6, ROW(Kintoneデータ抽出!$K$2:$K$5000) / ((Kintoneデータ抽出!$K$2:$K$5000="企業内")), ROW(A39))))&amp;"月"
&amp;DAY(INDEX(Kintoneデータ抽出!E:E, _xlfn.AGGREGATE(15, 6, ROW(Kintoneデータ抽出!$K$2:$K$5000) /((Kintoneデータ抽出!$K$2:$K$5000="企業内")), ROW(A39))))&amp;"日",""), "")</f>
        <v/>
      </c>
      <c r="K346" s="77" t="str" cm="1">
        <f t="array" ref="K346">IFERROR(IF(INDEX(Kintoneデータ抽出!F:F, _xlfn.AGGREGATE(15, 6, ROW(Kintoneデータ抽出!$K$2:$K$5000) / ((Kintoneデータ抽出!$K$2:$K$5000="企業内")), ROW(A39)))&lt;&gt;"",
VLOOKUP(INDEX(Kintoneデータ抽出!F:F, _xlfn.AGGREGATE(15, 6, ROW(Kintoneデータ抽出!$K$2:$K$5000) / ((Kintoneデータ抽出!$K$2:$K$5000="企業内")), ROW(A39))),基本開園日の表記!$A$2:$B$13,2,FALSE),""), "")</f>
        <v/>
      </c>
      <c r="L346" s="75" t="str">
        <f t="array" ref="L346">IFERROR(IF(INDEX(Kintoneデータ抽出!F:F, _xlfn.AGGREGATE(15, 6, ROW(Kintoneデータ抽出!$K$2:$K$5000) / ((Kintoneデータ抽出!$K$2:$K$5000="企業内")), ROW(A39)))&lt;&gt;"",
IF(COUNTIF(INDEX(Kintoneデータ抽出!F:F, _xlfn.AGGREGATE(15, 6, ROW(Kintoneデータ抽出!$K$2:$K$5000) / ((Kintoneデータ抽出!$K$2:$K$5000="企業内")), ROW(A39))),"*あり*"),"夜間",""),""), "")</f>
        <v/>
      </c>
      <c r="M346" s="75" t="str">
        <f t="array" ref="M346">IFERROR(IF(INDEX(Kintoneデータ抽出!I:I, _xlfn.AGGREGATE(15, 6, ROW(Kintoneデータ抽出!$K$2:$K$5000) / ((Kintoneデータ抽出!$K$2:$K$5000="企業内")), ROW(A39)))&lt;&gt;"",
IF(COUNTIF(INDEX(Kintoneデータ抽出!I:I, _xlfn.AGGREGATE(15, 6, ROW(Kintoneデータ抽出!$K$2:$K$5000) / ((Kintoneデータ抽出!$K$2:$K$5000="企業内")), ROW(A39))),"*あり*"),"学童",""),""), "")</f>
        <v/>
      </c>
      <c r="N346" s="75" t="str">
        <f t="array" ref="N346">IFERROR(IF(INDEX(Kintoneデータ抽出!H:H, _xlfn.AGGREGATE(15, 6, ROW(Kintoneデータ抽出!$K$2:$K$5000) / ((Kintoneデータ抽出!$K$2:$K$5000="企業内")), ROW(A39)))&lt;&gt;"",
IF(COUNTIF(INDEX(Kintoneデータ抽出!H:H, _xlfn.AGGREGATE(15, 6, ROW(Kintoneデータ抽出!$K$2:$K$5000) / ((Kintoneデータ抽出!$K$2:$K$5000="企業内")), ROW(A39))),"*あり*"),"病児",""),""), "")</f>
        <v/>
      </c>
      <c r="O346" s="75" t="str" cm="1">
        <f t="array" ref="O346">IFERROR(
IF(INDEX(Kintoneデータ抽出!M:M, _xlfn.AGGREGATE(15, 6, ROW(Kintoneデータ抽出!$K$2:$K$5000) / ((Kintoneデータ抽出!$K$2:$K$5000="企業内")), ROW(A39)))&lt;&gt;0,INDEX(Kintoneデータ抽出!M:M, _xlfn.AGGREGATE(15, 6, ROW(Kintoneデータ抽出!$K$2:$K$5000) / ((Kintoneデータ抽出!$K$2:$K$5000="企業内")), ROW(A39))),""), "")</f>
        <v/>
      </c>
      <c r="P346" s="78" t="str">
        <f t="array" ref="P346">IFERROR(IF(INDEX(Kintoneデータ抽出!L:L, _xlfn.AGGREGATE(15, 6, ROW(Kintoneデータ抽出!$K$2:$K$5000) / ((Kintoneデータ抽出!$K$2:$K$5000="企業内")), ROW(A39)))&lt;&gt;"",
IF(COUNTIF(INDEX(Kintoneデータ抽出!L:L, _xlfn.AGGREGATE(15, 6, ROW(Kintoneデータ抽出!$K$2:$K$5000) / ((Kintoneデータ抽出!$K$2:$K$5000="企業内")), ROW(A39))),"*企業主導型以外*"),"",
IF(COUNTIF(INDEX(Kintoneデータ抽出!L:L, _xlfn.AGGREGATE(15, 6, ROW(Kintoneデータ抽出!$K$2:$K$5000) / ((Kintoneデータ抽出!$K$2:$K$5000="企業内")), ROW(A39))),"*その他*"),"",
IF(COUNTIF(INDEX(Kintoneデータ抽出!L:L, _xlfn.AGGREGATE(15, 6, ROW(Kintoneデータ抽出!$K$2:$K$5000) / ((Kintoneデータ抽出!$K$2:$K$5000="企業内")), ROW(A39))),"*新制度*"),"新制度","企業主導型"))),""), "")</f>
        <v/>
      </c>
    </row>
    <row r="347" spans="2:16" ht="34.799999999999997" customHeight="1" x14ac:dyDescent="0.45">
      <c r="B347" s="45"/>
      <c r="C347" s="46"/>
      <c r="D347" s="98" t="str">
        <f t="shared" si="7"/>
        <v/>
      </c>
      <c r="E347" s="99"/>
      <c r="F347" s="89" t="str">
        <f t="array" ref="F347">IFERROR(INDEX(Kintoneデータ抽出!A:A, _xlfn.AGGREGATE(15, 6, ROW(Kintoneデータ抽出!$K$2:$K$5000) / ((Kintoneデータ抽出!$K$2:$K$5000="企業内")), ROW(A40))), "")</f>
        <v/>
      </c>
      <c r="G347" s="90" t="str">
        <f t="array" ref="G347">IFERROR(INDEX(Kintoneデータ抽出!D:D,_xlfn.AGGREGATE(15,6,ROW(Kintoneデータ抽出!$K$2:$K$5000)/((Kintoneデータ抽出!$K$2:$K$5000="企業内")),ROW(A40))),"")</f>
        <v/>
      </c>
      <c r="H347" s="89" t="str">
        <f t="array" ref="H347">IFERROR(INDEX(Kintoneデータ抽出!C:C, _xlfn.AGGREGATE(15, 6, ROW(Kintoneデータ抽出!$K$2:$K$5000) / ((Kintoneデータ抽出!$K$2:$K$5000="企業内")), ROW(A40))), "")</f>
        <v/>
      </c>
      <c r="I347" s="75" t="str">
        <f t="array" ref="I347">IFERROR(IF(INDEX(Kintoneデータ抽出!G:G, _xlfn.AGGREGATE(15, 6, ROW(Kintoneデータ抽出!$K$2:$K$5000) / ((Kintoneデータ抽出!$K$2:$K$5000="企業内")), ROW(A40)))&lt;&gt;"",INDEX(Kintoneデータ抽出!G:G, _xlfn.AGGREGATE(15, 6, ROW(Kintoneデータ抽出!$K$2:$K$5000) / ((Kintoneデータ抽出!$K$2:$K$5000="企業内")), ROW(A40)))&amp;"名",""), "")</f>
        <v/>
      </c>
      <c r="J347" s="76" t="str">
        <f t="array" ref="J347">IFERROR(IF(INDEX(Kintoneデータ抽出!E:E, _xlfn.AGGREGATE(15, 6, ROW(Kintoneデータ抽出!$K$2:$K$5000) / ((Kintoneデータ抽出!$K$2:$K$5000="企業内")), ROW(A40)))&lt;&gt;"",
YEAR(INDEX(Kintoneデータ抽出!E:E, _xlfn.AGGREGATE(15, 6, ROW(Kintoneデータ抽出!$K$2:$K$5000) / ((Kintoneデータ抽出!$K$2:$K$5000="企業内")), ROW(A40))))&amp;"年"
&amp;MONTH(INDEX(Kintoneデータ抽出!E:E, _xlfn.AGGREGATE(15, 6, ROW(Kintoneデータ抽出!$K$2:$K$5000) / ((Kintoneデータ抽出!$K$2:$K$5000="企業内")), ROW(A40))))&amp;"月"
&amp;DAY(INDEX(Kintoneデータ抽出!E:E, _xlfn.AGGREGATE(15, 6, ROW(Kintoneデータ抽出!$K$2:$K$5000) /((Kintoneデータ抽出!$K$2:$K$5000="企業内")), ROW(A40))))&amp;"日",""), "")</f>
        <v/>
      </c>
      <c r="K347" s="77" t="str" cm="1">
        <f t="array" ref="K347">IFERROR(IF(INDEX(Kintoneデータ抽出!F:F, _xlfn.AGGREGATE(15, 6, ROW(Kintoneデータ抽出!$K$2:$K$5000) / ((Kintoneデータ抽出!$K$2:$K$5000="企業内")), ROW(A40)))&lt;&gt;"",
VLOOKUP(INDEX(Kintoneデータ抽出!F:F, _xlfn.AGGREGATE(15, 6, ROW(Kintoneデータ抽出!$K$2:$K$5000) / ((Kintoneデータ抽出!$K$2:$K$5000="企業内")), ROW(A40))),基本開園日の表記!$A$2:$B$13,2,FALSE),""), "")</f>
        <v/>
      </c>
      <c r="L347" s="75" t="str">
        <f t="array" ref="L347">IFERROR(IF(INDEX(Kintoneデータ抽出!F:F, _xlfn.AGGREGATE(15, 6, ROW(Kintoneデータ抽出!$K$2:$K$5000) / ((Kintoneデータ抽出!$K$2:$K$5000="企業内")), ROW(A40)))&lt;&gt;"",
IF(COUNTIF(INDEX(Kintoneデータ抽出!F:F, _xlfn.AGGREGATE(15, 6, ROW(Kintoneデータ抽出!$K$2:$K$5000) / ((Kintoneデータ抽出!$K$2:$K$5000="企業内")), ROW(A40))),"*あり*"),"夜間",""),""), "")</f>
        <v/>
      </c>
      <c r="M347" s="75" t="str">
        <f t="array" ref="M347">IFERROR(IF(INDEX(Kintoneデータ抽出!I:I, _xlfn.AGGREGATE(15, 6, ROW(Kintoneデータ抽出!$K$2:$K$5000) / ((Kintoneデータ抽出!$K$2:$K$5000="企業内")), ROW(A40)))&lt;&gt;"",
IF(COUNTIF(INDEX(Kintoneデータ抽出!I:I, _xlfn.AGGREGATE(15, 6, ROW(Kintoneデータ抽出!$K$2:$K$5000) / ((Kintoneデータ抽出!$K$2:$K$5000="企業内")), ROW(A40))),"*あり*"),"学童",""),""), "")</f>
        <v/>
      </c>
      <c r="N347" s="75" t="str">
        <f t="array" ref="N347">IFERROR(IF(INDEX(Kintoneデータ抽出!H:H, _xlfn.AGGREGATE(15, 6, ROW(Kintoneデータ抽出!$K$2:$K$5000) / ((Kintoneデータ抽出!$K$2:$K$5000="企業内")), ROW(A40)))&lt;&gt;"",
IF(COUNTIF(INDEX(Kintoneデータ抽出!H:H, _xlfn.AGGREGATE(15, 6, ROW(Kintoneデータ抽出!$K$2:$K$5000) / ((Kintoneデータ抽出!$K$2:$K$5000="企業内")), ROW(A40))),"*あり*"),"病児",""),""), "")</f>
        <v/>
      </c>
      <c r="O347" s="75" t="str" cm="1">
        <f t="array" ref="O347">IFERROR(
IF(INDEX(Kintoneデータ抽出!M:M, _xlfn.AGGREGATE(15, 6, ROW(Kintoneデータ抽出!$K$2:$K$5000) / ((Kintoneデータ抽出!$K$2:$K$5000="企業内")), ROW(A40)))&lt;&gt;0,INDEX(Kintoneデータ抽出!M:M, _xlfn.AGGREGATE(15, 6, ROW(Kintoneデータ抽出!$K$2:$K$5000) / ((Kintoneデータ抽出!$K$2:$K$5000="企業内")), ROW(A40))),""), "")</f>
        <v/>
      </c>
      <c r="P347" s="78" t="str">
        <f t="array" ref="P347">IFERROR(IF(INDEX(Kintoneデータ抽出!L:L, _xlfn.AGGREGATE(15, 6, ROW(Kintoneデータ抽出!$K$2:$K$5000) / ((Kintoneデータ抽出!$K$2:$K$5000="企業内")), ROW(A40)))&lt;&gt;"",
IF(COUNTIF(INDEX(Kintoneデータ抽出!L:L, _xlfn.AGGREGATE(15, 6, ROW(Kintoneデータ抽出!$K$2:$K$5000) / ((Kintoneデータ抽出!$K$2:$K$5000="企業内")), ROW(A40))),"*企業主導型以外*"),"",
IF(COUNTIF(INDEX(Kintoneデータ抽出!L:L, _xlfn.AGGREGATE(15, 6, ROW(Kintoneデータ抽出!$K$2:$K$5000) / ((Kintoneデータ抽出!$K$2:$K$5000="企業内")), ROW(A40))),"*その他*"),"",
IF(COUNTIF(INDEX(Kintoneデータ抽出!L:L, _xlfn.AGGREGATE(15, 6, ROW(Kintoneデータ抽出!$K$2:$K$5000) / ((Kintoneデータ抽出!$K$2:$K$5000="企業内")), ROW(A40))),"*新制度*"),"新制度","企業主導型"))),""), "")</f>
        <v/>
      </c>
    </row>
    <row r="348" spans="2:16" ht="34.799999999999997" customHeight="1" x14ac:dyDescent="0.45">
      <c r="B348" s="45"/>
      <c r="C348" s="46"/>
      <c r="D348" s="98" t="str">
        <f t="shared" si="7"/>
        <v/>
      </c>
      <c r="E348" s="99"/>
      <c r="F348" s="89" t="str">
        <f t="array" ref="F348">IFERROR(INDEX(Kintoneデータ抽出!A:A, _xlfn.AGGREGATE(15, 6, ROW(Kintoneデータ抽出!$K$2:$K$5000) / ((Kintoneデータ抽出!$K$2:$K$5000="企業内")), ROW(A41))), "")</f>
        <v/>
      </c>
      <c r="G348" s="90" t="str">
        <f t="array" ref="G348">IFERROR(INDEX(Kintoneデータ抽出!D:D,_xlfn.AGGREGATE(15,6,ROW(Kintoneデータ抽出!$K$2:$K$5000)/((Kintoneデータ抽出!$K$2:$K$5000="企業内")),ROW(A41))),"")</f>
        <v/>
      </c>
      <c r="H348" s="89" t="str">
        <f t="array" ref="H348">IFERROR(INDEX(Kintoneデータ抽出!C:C, _xlfn.AGGREGATE(15, 6, ROW(Kintoneデータ抽出!$K$2:$K$5000) / ((Kintoneデータ抽出!$K$2:$K$5000="企業内")), ROW(A41))), "")</f>
        <v/>
      </c>
      <c r="I348" s="75" t="str">
        <f t="array" ref="I348">IFERROR(IF(INDEX(Kintoneデータ抽出!G:G, _xlfn.AGGREGATE(15, 6, ROW(Kintoneデータ抽出!$K$2:$K$5000) / ((Kintoneデータ抽出!$K$2:$K$5000="企業内")), ROW(A41)))&lt;&gt;"",INDEX(Kintoneデータ抽出!G:G, _xlfn.AGGREGATE(15, 6, ROW(Kintoneデータ抽出!$K$2:$K$5000) / ((Kintoneデータ抽出!$K$2:$K$5000="企業内")), ROW(A41)))&amp;"名",""), "")</f>
        <v/>
      </c>
      <c r="J348" s="76" t="str">
        <f t="array" ref="J348">IFERROR(IF(INDEX(Kintoneデータ抽出!E:E, _xlfn.AGGREGATE(15, 6, ROW(Kintoneデータ抽出!$K$2:$K$5000) / ((Kintoneデータ抽出!$K$2:$K$5000="企業内")), ROW(A41)))&lt;&gt;"",
YEAR(INDEX(Kintoneデータ抽出!E:E, _xlfn.AGGREGATE(15, 6, ROW(Kintoneデータ抽出!$K$2:$K$5000) / ((Kintoneデータ抽出!$K$2:$K$5000="企業内")), ROW(A41))))&amp;"年"
&amp;MONTH(INDEX(Kintoneデータ抽出!E:E, _xlfn.AGGREGATE(15, 6, ROW(Kintoneデータ抽出!$K$2:$K$5000) / ((Kintoneデータ抽出!$K$2:$K$5000="企業内")), ROW(A41))))&amp;"月"
&amp;DAY(INDEX(Kintoneデータ抽出!E:E, _xlfn.AGGREGATE(15, 6, ROW(Kintoneデータ抽出!$K$2:$K$5000) /((Kintoneデータ抽出!$K$2:$K$5000="企業内")), ROW(A41))))&amp;"日",""), "")</f>
        <v/>
      </c>
      <c r="K348" s="77" t="str" cm="1">
        <f t="array" ref="K348">IFERROR(IF(INDEX(Kintoneデータ抽出!F:F, _xlfn.AGGREGATE(15, 6, ROW(Kintoneデータ抽出!$K$2:$K$5000) / ((Kintoneデータ抽出!$K$2:$K$5000="企業内")), ROW(A41)))&lt;&gt;"",
VLOOKUP(INDEX(Kintoneデータ抽出!F:F, _xlfn.AGGREGATE(15, 6, ROW(Kintoneデータ抽出!$K$2:$K$5000) / ((Kintoneデータ抽出!$K$2:$K$5000="企業内")), ROW(A41))),基本開園日の表記!$A$2:$B$13,2,FALSE),""), "")</f>
        <v/>
      </c>
      <c r="L348" s="75" t="str">
        <f t="array" ref="L348">IFERROR(IF(INDEX(Kintoneデータ抽出!F:F, _xlfn.AGGREGATE(15, 6, ROW(Kintoneデータ抽出!$K$2:$K$5000) / ((Kintoneデータ抽出!$K$2:$K$5000="企業内")), ROW(A41)))&lt;&gt;"",
IF(COUNTIF(INDEX(Kintoneデータ抽出!F:F, _xlfn.AGGREGATE(15, 6, ROW(Kintoneデータ抽出!$K$2:$K$5000) / ((Kintoneデータ抽出!$K$2:$K$5000="企業内")), ROW(A41))),"*あり*"),"夜間",""),""), "")</f>
        <v/>
      </c>
      <c r="M348" s="75" t="str">
        <f t="array" ref="M348">IFERROR(IF(INDEX(Kintoneデータ抽出!I:I, _xlfn.AGGREGATE(15, 6, ROW(Kintoneデータ抽出!$K$2:$K$5000) / ((Kintoneデータ抽出!$K$2:$K$5000="企業内")), ROW(A41)))&lt;&gt;"",
IF(COUNTIF(INDEX(Kintoneデータ抽出!I:I, _xlfn.AGGREGATE(15, 6, ROW(Kintoneデータ抽出!$K$2:$K$5000) / ((Kintoneデータ抽出!$K$2:$K$5000="企業内")), ROW(A41))),"*あり*"),"学童",""),""), "")</f>
        <v/>
      </c>
      <c r="N348" s="75" t="str">
        <f t="array" ref="N348">IFERROR(IF(INDEX(Kintoneデータ抽出!H:H, _xlfn.AGGREGATE(15, 6, ROW(Kintoneデータ抽出!$K$2:$K$5000) / ((Kintoneデータ抽出!$K$2:$K$5000="企業内")), ROW(A41)))&lt;&gt;"",
IF(COUNTIF(INDEX(Kintoneデータ抽出!H:H, _xlfn.AGGREGATE(15, 6, ROW(Kintoneデータ抽出!$K$2:$K$5000) / ((Kintoneデータ抽出!$K$2:$K$5000="企業内")), ROW(A41))),"*あり*"),"病児",""),""), "")</f>
        <v/>
      </c>
      <c r="O348" s="75" t="str" cm="1">
        <f t="array" ref="O348">IFERROR(
IF(INDEX(Kintoneデータ抽出!M:M, _xlfn.AGGREGATE(15, 6, ROW(Kintoneデータ抽出!$K$2:$K$5000) / ((Kintoneデータ抽出!$K$2:$K$5000="企業内")), ROW(A41)))&lt;&gt;0,INDEX(Kintoneデータ抽出!M:M, _xlfn.AGGREGATE(15, 6, ROW(Kintoneデータ抽出!$K$2:$K$5000) / ((Kintoneデータ抽出!$K$2:$K$5000="企業内")), ROW(A41))),""), "")</f>
        <v/>
      </c>
      <c r="P348" s="78" t="str">
        <f t="array" ref="P348">IFERROR(IF(INDEX(Kintoneデータ抽出!L:L, _xlfn.AGGREGATE(15, 6, ROW(Kintoneデータ抽出!$K$2:$K$5000) / ((Kintoneデータ抽出!$K$2:$K$5000="企業内")), ROW(A41)))&lt;&gt;"",
IF(COUNTIF(INDEX(Kintoneデータ抽出!L:L, _xlfn.AGGREGATE(15, 6, ROW(Kintoneデータ抽出!$K$2:$K$5000) / ((Kintoneデータ抽出!$K$2:$K$5000="企業内")), ROW(A41))),"*企業主導型以外*"),"",
IF(COUNTIF(INDEX(Kintoneデータ抽出!L:L, _xlfn.AGGREGATE(15, 6, ROW(Kintoneデータ抽出!$K$2:$K$5000) / ((Kintoneデータ抽出!$K$2:$K$5000="企業内")), ROW(A41))),"*その他*"),"",
IF(COUNTIF(INDEX(Kintoneデータ抽出!L:L, _xlfn.AGGREGATE(15, 6, ROW(Kintoneデータ抽出!$K$2:$K$5000) / ((Kintoneデータ抽出!$K$2:$K$5000="企業内")), ROW(A41))),"*新制度*"),"新制度","企業主導型"))),""), "")</f>
        <v/>
      </c>
    </row>
    <row r="349" spans="2:16" ht="34.799999999999997" customHeight="1" x14ac:dyDescent="0.45">
      <c r="B349" s="45"/>
      <c r="C349" s="46"/>
      <c r="D349" s="98" t="str">
        <f t="shared" si="7"/>
        <v/>
      </c>
      <c r="E349" s="99"/>
      <c r="F349" s="89" t="str">
        <f t="array" ref="F349">IFERROR(INDEX(Kintoneデータ抽出!A:A, _xlfn.AGGREGATE(15, 6, ROW(Kintoneデータ抽出!$K$2:$K$5000) / ((Kintoneデータ抽出!$K$2:$K$5000="企業内")), ROW(A42))), "")</f>
        <v/>
      </c>
      <c r="G349" s="90" t="str">
        <f t="array" ref="G349">IFERROR(INDEX(Kintoneデータ抽出!D:D,_xlfn.AGGREGATE(15,6,ROW(Kintoneデータ抽出!$K$2:$K$5000)/((Kintoneデータ抽出!$K$2:$K$5000="企業内")),ROW(A42))),"")</f>
        <v/>
      </c>
      <c r="H349" s="89" t="str">
        <f t="array" ref="H349">IFERROR(INDEX(Kintoneデータ抽出!C:C, _xlfn.AGGREGATE(15, 6, ROW(Kintoneデータ抽出!$K$2:$K$5000) / ((Kintoneデータ抽出!$K$2:$K$5000="企業内")), ROW(A42))), "")</f>
        <v/>
      </c>
      <c r="I349" s="75" t="str">
        <f t="array" ref="I349">IFERROR(IF(INDEX(Kintoneデータ抽出!G:G, _xlfn.AGGREGATE(15, 6, ROW(Kintoneデータ抽出!$K$2:$K$5000) / ((Kintoneデータ抽出!$K$2:$K$5000="企業内")), ROW(A42)))&lt;&gt;"",INDEX(Kintoneデータ抽出!G:G, _xlfn.AGGREGATE(15, 6, ROW(Kintoneデータ抽出!$K$2:$K$5000) / ((Kintoneデータ抽出!$K$2:$K$5000="企業内")), ROW(A42)))&amp;"名",""), "")</f>
        <v/>
      </c>
      <c r="J349" s="76" t="str">
        <f t="array" ref="J349">IFERROR(IF(INDEX(Kintoneデータ抽出!E:E, _xlfn.AGGREGATE(15, 6, ROW(Kintoneデータ抽出!$K$2:$K$5000) / ((Kintoneデータ抽出!$K$2:$K$5000="企業内")), ROW(A42)))&lt;&gt;"",
YEAR(INDEX(Kintoneデータ抽出!E:E, _xlfn.AGGREGATE(15, 6, ROW(Kintoneデータ抽出!$K$2:$K$5000) / ((Kintoneデータ抽出!$K$2:$K$5000="企業内")), ROW(A42))))&amp;"年"
&amp;MONTH(INDEX(Kintoneデータ抽出!E:E, _xlfn.AGGREGATE(15, 6, ROW(Kintoneデータ抽出!$K$2:$K$5000) / ((Kintoneデータ抽出!$K$2:$K$5000="企業内")), ROW(A42))))&amp;"月"
&amp;DAY(INDEX(Kintoneデータ抽出!E:E, _xlfn.AGGREGATE(15, 6, ROW(Kintoneデータ抽出!$K$2:$K$5000) /((Kintoneデータ抽出!$K$2:$K$5000="企業内")), ROW(A42))))&amp;"日",""), "")</f>
        <v/>
      </c>
      <c r="K349" s="77" t="str" cm="1">
        <f t="array" ref="K349">IFERROR(IF(INDEX(Kintoneデータ抽出!F:F, _xlfn.AGGREGATE(15, 6, ROW(Kintoneデータ抽出!$K$2:$K$5000) / ((Kintoneデータ抽出!$K$2:$K$5000="企業内")), ROW(A42)))&lt;&gt;"",
VLOOKUP(INDEX(Kintoneデータ抽出!F:F, _xlfn.AGGREGATE(15, 6, ROW(Kintoneデータ抽出!$K$2:$K$5000) / ((Kintoneデータ抽出!$K$2:$K$5000="企業内")), ROW(A42))),基本開園日の表記!$A$2:$B$13,2,FALSE),""), "")</f>
        <v/>
      </c>
      <c r="L349" s="75" t="str">
        <f t="array" ref="L349">IFERROR(IF(INDEX(Kintoneデータ抽出!F:F, _xlfn.AGGREGATE(15, 6, ROW(Kintoneデータ抽出!$K$2:$K$5000) / ((Kintoneデータ抽出!$K$2:$K$5000="企業内")), ROW(A42)))&lt;&gt;"",
IF(COUNTIF(INDEX(Kintoneデータ抽出!F:F, _xlfn.AGGREGATE(15, 6, ROW(Kintoneデータ抽出!$K$2:$K$5000) / ((Kintoneデータ抽出!$K$2:$K$5000="企業内")), ROW(A42))),"*あり*"),"夜間",""),""), "")</f>
        <v/>
      </c>
      <c r="M349" s="75" t="str">
        <f t="array" ref="M349">IFERROR(IF(INDEX(Kintoneデータ抽出!I:I, _xlfn.AGGREGATE(15, 6, ROW(Kintoneデータ抽出!$K$2:$K$5000) / ((Kintoneデータ抽出!$K$2:$K$5000="企業内")), ROW(A42)))&lt;&gt;"",
IF(COUNTIF(INDEX(Kintoneデータ抽出!I:I, _xlfn.AGGREGATE(15, 6, ROW(Kintoneデータ抽出!$K$2:$K$5000) / ((Kintoneデータ抽出!$K$2:$K$5000="企業内")), ROW(A42))),"*あり*"),"学童",""),""), "")</f>
        <v/>
      </c>
      <c r="N349" s="75" t="str">
        <f t="array" ref="N349">IFERROR(IF(INDEX(Kintoneデータ抽出!H:H, _xlfn.AGGREGATE(15, 6, ROW(Kintoneデータ抽出!$K$2:$K$5000) / ((Kintoneデータ抽出!$K$2:$K$5000="企業内")), ROW(A42)))&lt;&gt;"",
IF(COUNTIF(INDEX(Kintoneデータ抽出!H:H, _xlfn.AGGREGATE(15, 6, ROW(Kintoneデータ抽出!$K$2:$K$5000) / ((Kintoneデータ抽出!$K$2:$K$5000="企業内")), ROW(A42))),"*あり*"),"病児",""),""), "")</f>
        <v/>
      </c>
      <c r="O349" s="75" t="str" cm="1">
        <f t="array" ref="O349">IFERROR(
IF(INDEX(Kintoneデータ抽出!M:M, _xlfn.AGGREGATE(15, 6, ROW(Kintoneデータ抽出!$K$2:$K$5000) / ((Kintoneデータ抽出!$K$2:$K$5000="企業内")), ROW(A42)))&lt;&gt;0,INDEX(Kintoneデータ抽出!M:M, _xlfn.AGGREGATE(15, 6, ROW(Kintoneデータ抽出!$K$2:$K$5000) / ((Kintoneデータ抽出!$K$2:$K$5000="企業内")), ROW(A42))),""), "")</f>
        <v/>
      </c>
      <c r="P349" s="78" t="str">
        <f t="array" ref="P349">IFERROR(IF(INDEX(Kintoneデータ抽出!L:L, _xlfn.AGGREGATE(15, 6, ROW(Kintoneデータ抽出!$K$2:$K$5000) / ((Kintoneデータ抽出!$K$2:$K$5000="企業内")), ROW(A42)))&lt;&gt;"",
IF(COUNTIF(INDEX(Kintoneデータ抽出!L:L, _xlfn.AGGREGATE(15, 6, ROW(Kintoneデータ抽出!$K$2:$K$5000) / ((Kintoneデータ抽出!$K$2:$K$5000="企業内")), ROW(A42))),"*企業主導型以外*"),"",
IF(COUNTIF(INDEX(Kintoneデータ抽出!L:L, _xlfn.AGGREGATE(15, 6, ROW(Kintoneデータ抽出!$K$2:$K$5000) / ((Kintoneデータ抽出!$K$2:$K$5000="企業内")), ROW(A42))),"*その他*"),"",
IF(COUNTIF(INDEX(Kintoneデータ抽出!L:L, _xlfn.AGGREGATE(15, 6, ROW(Kintoneデータ抽出!$K$2:$K$5000) / ((Kintoneデータ抽出!$K$2:$K$5000="企業内")), ROW(A42))),"*新制度*"),"新制度","企業主導型"))),""), "")</f>
        <v/>
      </c>
    </row>
    <row r="350" spans="2:16" ht="34.799999999999997" customHeight="1" x14ac:dyDescent="0.45">
      <c r="B350" s="62" t="s">
        <v>42</v>
      </c>
      <c r="C350" s="50"/>
      <c r="D350" s="98" t="str">
        <f t="shared" si="7"/>
        <v/>
      </c>
      <c r="E350" s="99"/>
      <c r="F350" s="89" t="str">
        <f t="array" ref="F350">IFERROR(INDEX(Kintoneデータ抽出!A:A, _xlfn.AGGREGATE(15, 6, ROW(Kintoneデータ抽出!$K$2:$K$5000) / ((Kintoneデータ抽出!$K$2:$K$5000="企業内")), ROW(A43))), "")</f>
        <v/>
      </c>
      <c r="G350" s="90" t="str">
        <f t="array" ref="G350">IFERROR(INDEX(Kintoneデータ抽出!D:D,_xlfn.AGGREGATE(15,6,ROW(Kintoneデータ抽出!$K$2:$K$5000)/((Kintoneデータ抽出!$K$2:$K$5000="企業内")),ROW(A43))),"")</f>
        <v/>
      </c>
      <c r="H350" s="89" t="str">
        <f t="array" ref="H350">IFERROR(INDEX(Kintoneデータ抽出!C:C, _xlfn.AGGREGATE(15, 6, ROW(Kintoneデータ抽出!$K$2:$K$5000) / ((Kintoneデータ抽出!$K$2:$K$5000="企業内")), ROW(A43))), "")</f>
        <v/>
      </c>
      <c r="I350" s="75" t="str">
        <f t="array" ref="I350">IFERROR(IF(INDEX(Kintoneデータ抽出!G:G, _xlfn.AGGREGATE(15, 6, ROW(Kintoneデータ抽出!$K$2:$K$5000) / ((Kintoneデータ抽出!$K$2:$K$5000="企業内")), ROW(A43)))&lt;&gt;"",INDEX(Kintoneデータ抽出!G:G, _xlfn.AGGREGATE(15, 6, ROW(Kintoneデータ抽出!$K$2:$K$5000) / ((Kintoneデータ抽出!$K$2:$K$5000="企業内")), ROW(A43)))&amp;"名",""), "")</f>
        <v/>
      </c>
      <c r="J350" s="76" t="str">
        <f t="array" ref="J350">IFERROR(IF(INDEX(Kintoneデータ抽出!E:E, _xlfn.AGGREGATE(15, 6, ROW(Kintoneデータ抽出!$K$2:$K$5000) / ((Kintoneデータ抽出!$K$2:$K$5000="企業内")), ROW(A43)))&lt;&gt;"",
YEAR(INDEX(Kintoneデータ抽出!E:E, _xlfn.AGGREGATE(15, 6, ROW(Kintoneデータ抽出!$K$2:$K$5000) / ((Kintoneデータ抽出!$K$2:$K$5000="企業内")), ROW(A43))))&amp;"年"
&amp;MONTH(INDEX(Kintoneデータ抽出!E:E, _xlfn.AGGREGATE(15, 6, ROW(Kintoneデータ抽出!$K$2:$K$5000) / ((Kintoneデータ抽出!$K$2:$K$5000="企業内")), ROW(A43))))&amp;"月"
&amp;DAY(INDEX(Kintoneデータ抽出!E:E, _xlfn.AGGREGATE(15, 6, ROW(Kintoneデータ抽出!$K$2:$K$5000) /((Kintoneデータ抽出!$K$2:$K$5000="企業内")), ROW(A43))))&amp;"日",""), "")</f>
        <v/>
      </c>
      <c r="K350" s="77" t="str" cm="1">
        <f t="array" ref="K350">IFERROR(IF(INDEX(Kintoneデータ抽出!F:F, _xlfn.AGGREGATE(15, 6, ROW(Kintoneデータ抽出!$K$2:$K$5000) / ((Kintoneデータ抽出!$K$2:$K$5000="企業内")), ROW(A43)))&lt;&gt;"",
VLOOKUP(INDEX(Kintoneデータ抽出!F:F, _xlfn.AGGREGATE(15, 6, ROW(Kintoneデータ抽出!$K$2:$K$5000) / ((Kintoneデータ抽出!$K$2:$K$5000="企業内")), ROW(A43))),基本開園日の表記!$A$2:$B$13,2,FALSE),""), "")</f>
        <v/>
      </c>
      <c r="L350" s="75" t="str">
        <f t="array" ref="L350">IFERROR(IF(INDEX(Kintoneデータ抽出!F:F, _xlfn.AGGREGATE(15, 6, ROW(Kintoneデータ抽出!$K$2:$K$5000) / ((Kintoneデータ抽出!$K$2:$K$5000="企業内")), ROW(A43)))&lt;&gt;"",
IF(COUNTIF(INDEX(Kintoneデータ抽出!F:F, _xlfn.AGGREGATE(15, 6, ROW(Kintoneデータ抽出!$K$2:$K$5000) / ((Kintoneデータ抽出!$K$2:$K$5000="企業内")), ROW(A43))),"*あり*"),"夜間",""),""), "")</f>
        <v/>
      </c>
      <c r="M350" s="75" t="str">
        <f t="array" ref="M350">IFERROR(IF(INDEX(Kintoneデータ抽出!I:I, _xlfn.AGGREGATE(15, 6, ROW(Kintoneデータ抽出!$K$2:$K$5000) / ((Kintoneデータ抽出!$K$2:$K$5000="企業内")), ROW(A43)))&lt;&gt;"",
IF(COUNTIF(INDEX(Kintoneデータ抽出!I:I, _xlfn.AGGREGATE(15, 6, ROW(Kintoneデータ抽出!$K$2:$K$5000) / ((Kintoneデータ抽出!$K$2:$K$5000="企業内")), ROW(A43))),"*あり*"),"学童",""),""), "")</f>
        <v/>
      </c>
      <c r="N350" s="75" t="str">
        <f t="array" ref="N350">IFERROR(IF(INDEX(Kintoneデータ抽出!H:H, _xlfn.AGGREGATE(15, 6, ROW(Kintoneデータ抽出!$K$2:$K$5000) / ((Kintoneデータ抽出!$K$2:$K$5000="企業内")), ROW(A43)))&lt;&gt;"",
IF(COUNTIF(INDEX(Kintoneデータ抽出!H:H, _xlfn.AGGREGATE(15, 6, ROW(Kintoneデータ抽出!$K$2:$K$5000) / ((Kintoneデータ抽出!$K$2:$K$5000="企業内")), ROW(A43))),"*あり*"),"病児",""),""), "")</f>
        <v/>
      </c>
      <c r="O350" s="75" t="str" cm="1">
        <f t="array" ref="O350">IFERROR(
IF(INDEX(Kintoneデータ抽出!M:M, _xlfn.AGGREGATE(15, 6, ROW(Kintoneデータ抽出!$K$2:$K$5000) / ((Kintoneデータ抽出!$K$2:$K$5000="企業内")), ROW(A43)))&lt;&gt;0,INDEX(Kintoneデータ抽出!M:M, _xlfn.AGGREGATE(15, 6, ROW(Kintoneデータ抽出!$K$2:$K$5000) / ((Kintoneデータ抽出!$K$2:$K$5000="企業内")), ROW(A43))),""), "")</f>
        <v/>
      </c>
      <c r="P350" s="78" t="str">
        <f t="array" ref="P350">IFERROR(IF(INDEX(Kintoneデータ抽出!L:L, _xlfn.AGGREGATE(15, 6, ROW(Kintoneデータ抽出!$K$2:$K$5000) / ((Kintoneデータ抽出!$K$2:$K$5000="企業内")), ROW(A43)))&lt;&gt;"",
IF(COUNTIF(INDEX(Kintoneデータ抽出!L:L, _xlfn.AGGREGATE(15, 6, ROW(Kintoneデータ抽出!$K$2:$K$5000) / ((Kintoneデータ抽出!$K$2:$K$5000="企業内")), ROW(A43))),"*企業主導型以外*"),"",
IF(COUNTIF(INDEX(Kintoneデータ抽出!L:L, _xlfn.AGGREGATE(15, 6, ROW(Kintoneデータ抽出!$K$2:$K$5000) / ((Kintoneデータ抽出!$K$2:$K$5000="企業内")), ROW(A43))),"*その他*"),"",
IF(COUNTIF(INDEX(Kintoneデータ抽出!L:L, _xlfn.AGGREGATE(15, 6, ROW(Kintoneデータ抽出!$K$2:$K$5000) / ((Kintoneデータ抽出!$K$2:$K$5000="企業内")), ROW(A43))),"*新制度*"),"新制度","企業主導型"))),""), "")</f>
        <v/>
      </c>
    </row>
    <row r="351" spans="2:16" ht="34.799999999999997" customHeight="1" x14ac:dyDescent="0.45">
      <c r="B351" s="45"/>
      <c r="C351" s="46"/>
      <c r="D351" s="98" t="str">
        <f t="shared" si="7"/>
        <v/>
      </c>
      <c r="E351" s="99"/>
      <c r="F351" s="89" t="str">
        <f t="array" ref="F351">IFERROR(INDEX(Kintoneデータ抽出!A:A, _xlfn.AGGREGATE(15, 6, ROW(Kintoneデータ抽出!$K$2:$K$5000) / ((Kintoneデータ抽出!$K$2:$K$5000="企業内")), ROW(A44))), "")</f>
        <v/>
      </c>
      <c r="G351" s="90" t="str">
        <f t="array" ref="G351">IFERROR(INDEX(Kintoneデータ抽出!D:D,_xlfn.AGGREGATE(15,6,ROW(Kintoneデータ抽出!$K$2:$K$5000)/((Kintoneデータ抽出!$K$2:$K$5000="企業内")),ROW(A44))),"")</f>
        <v/>
      </c>
      <c r="H351" s="89" t="str">
        <f t="array" ref="H351">IFERROR(INDEX(Kintoneデータ抽出!C:C, _xlfn.AGGREGATE(15, 6, ROW(Kintoneデータ抽出!$K$2:$K$5000) / ((Kintoneデータ抽出!$K$2:$K$5000="企業内")), ROW(A44))), "")</f>
        <v/>
      </c>
      <c r="I351" s="75" t="str">
        <f t="array" ref="I351">IFERROR(IF(INDEX(Kintoneデータ抽出!G:G, _xlfn.AGGREGATE(15, 6, ROW(Kintoneデータ抽出!$K$2:$K$5000) / ((Kintoneデータ抽出!$K$2:$K$5000="企業内")), ROW(A44)))&lt;&gt;"",INDEX(Kintoneデータ抽出!G:G, _xlfn.AGGREGATE(15, 6, ROW(Kintoneデータ抽出!$K$2:$K$5000) / ((Kintoneデータ抽出!$K$2:$K$5000="企業内")), ROW(A44)))&amp;"名",""), "")</f>
        <v/>
      </c>
      <c r="J351" s="76" t="str">
        <f t="array" ref="J351">IFERROR(IF(INDEX(Kintoneデータ抽出!E:E, _xlfn.AGGREGATE(15, 6, ROW(Kintoneデータ抽出!$K$2:$K$5000) / ((Kintoneデータ抽出!$K$2:$K$5000="企業内")), ROW(A44)))&lt;&gt;"",
YEAR(INDEX(Kintoneデータ抽出!E:E, _xlfn.AGGREGATE(15, 6, ROW(Kintoneデータ抽出!$K$2:$K$5000) / ((Kintoneデータ抽出!$K$2:$K$5000="企業内")), ROW(A44))))&amp;"年"
&amp;MONTH(INDEX(Kintoneデータ抽出!E:E, _xlfn.AGGREGATE(15, 6, ROW(Kintoneデータ抽出!$K$2:$K$5000) / ((Kintoneデータ抽出!$K$2:$K$5000="企業内")), ROW(A44))))&amp;"月"
&amp;DAY(INDEX(Kintoneデータ抽出!E:E, _xlfn.AGGREGATE(15, 6, ROW(Kintoneデータ抽出!$K$2:$K$5000) /((Kintoneデータ抽出!$K$2:$K$5000="企業内")), ROW(A44))))&amp;"日",""), "")</f>
        <v/>
      </c>
      <c r="K351" s="77" t="str" cm="1">
        <f t="array" ref="K351">IFERROR(IF(INDEX(Kintoneデータ抽出!F:F, _xlfn.AGGREGATE(15, 6, ROW(Kintoneデータ抽出!$K$2:$K$5000) / ((Kintoneデータ抽出!$K$2:$K$5000="企業内")), ROW(A44)))&lt;&gt;"",
VLOOKUP(INDEX(Kintoneデータ抽出!F:F, _xlfn.AGGREGATE(15, 6, ROW(Kintoneデータ抽出!$K$2:$K$5000) / ((Kintoneデータ抽出!$K$2:$K$5000="企業内")), ROW(A44))),基本開園日の表記!$A$2:$B$13,2,FALSE),""), "")</f>
        <v/>
      </c>
      <c r="L351" s="75" t="str">
        <f t="array" ref="L351">IFERROR(IF(INDEX(Kintoneデータ抽出!F:F, _xlfn.AGGREGATE(15, 6, ROW(Kintoneデータ抽出!$K$2:$K$5000) / ((Kintoneデータ抽出!$K$2:$K$5000="企業内")), ROW(A44)))&lt;&gt;"",
IF(COUNTIF(INDEX(Kintoneデータ抽出!F:F, _xlfn.AGGREGATE(15, 6, ROW(Kintoneデータ抽出!$K$2:$K$5000) / ((Kintoneデータ抽出!$K$2:$K$5000="企業内")), ROW(A44))),"*あり*"),"夜間",""),""), "")</f>
        <v/>
      </c>
      <c r="M351" s="75" t="str">
        <f t="array" ref="M351">IFERROR(IF(INDEX(Kintoneデータ抽出!I:I, _xlfn.AGGREGATE(15, 6, ROW(Kintoneデータ抽出!$K$2:$K$5000) / ((Kintoneデータ抽出!$K$2:$K$5000="企業内")), ROW(A44)))&lt;&gt;"",
IF(COUNTIF(INDEX(Kintoneデータ抽出!I:I, _xlfn.AGGREGATE(15, 6, ROW(Kintoneデータ抽出!$K$2:$K$5000) / ((Kintoneデータ抽出!$K$2:$K$5000="企業内")), ROW(A44))),"*あり*"),"学童",""),""), "")</f>
        <v/>
      </c>
      <c r="N351" s="75" t="str">
        <f t="array" ref="N351">IFERROR(IF(INDEX(Kintoneデータ抽出!H:H, _xlfn.AGGREGATE(15, 6, ROW(Kintoneデータ抽出!$K$2:$K$5000) / ((Kintoneデータ抽出!$K$2:$K$5000="企業内")), ROW(A44)))&lt;&gt;"",
IF(COUNTIF(INDEX(Kintoneデータ抽出!H:H, _xlfn.AGGREGATE(15, 6, ROW(Kintoneデータ抽出!$K$2:$K$5000) / ((Kintoneデータ抽出!$K$2:$K$5000="企業内")), ROW(A44))),"*あり*"),"病児",""),""), "")</f>
        <v/>
      </c>
      <c r="O351" s="75" t="str" cm="1">
        <f t="array" ref="O351">IFERROR(
IF(INDEX(Kintoneデータ抽出!M:M, _xlfn.AGGREGATE(15, 6, ROW(Kintoneデータ抽出!$K$2:$K$5000) / ((Kintoneデータ抽出!$K$2:$K$5000="企業内")), ROW(A44)))&lt;&gt;0,INDEX(Kintoneデータ抽出!M:M, _xlfn.AGGREGATE(15, 6, ROW(Kintoneデータ抽出!$K$2:$K$5000) / ((Kintoneデータ抽出!$K$2:$K$5000="企業内")), ROW(A44))),""), "")</f>
        <v/>
      </c>
      <c r="P351" s="78" t="str">
        <f t="array" ref="P351">IFERROR(IF(INDEX(Kintoneデータ抽出!L:L, _xlfn.AGGREGATE(15, 6, ROW(Kintoneデータ抽出!$K$2:$K$5000) / ((Kintoneデータ抽出!$K$2:$K$5000="企業内")), ROW(A44)))&lt;&gt;"",
IF(COUNTIF(INDEX(Kintoneデータ抽出!L:L, _xlfn.AGGREGATE(15, 6, ROW(Kintoneデータ抽出!$K$2:$K$5000) / ((Kintoneデータ抽出!$K$2:$K$5000="企業内")), ROW(A44))),"*企業主導型以外*"),"",
IF(COUNTIF(INDEX(Kintoneデータ抽出!L:L, _xlfn.AGGREGATE(15, 6, ROW(Kintoneデータ抽出!$K$2:$K$5000) / ((Kintoneデータ抽出!$K$2:$K$5000="企業内")), ROW(A44))),"*その他*"),"",
IF(COUNTIF(INDEX(Kintoneデータ抽出!L:L, _xlfn.AGGREGATE(15, 6, ROW(Kintoneデータ抽出!$K$2:$K$5000) / ((Kintoneデータ抽出!$K$2:$K$5000="企業内")), ROW(A44))),"*新制度*"),"新制度","企業主導型"))),""), "")</f>
        <v/>
      </c>
    </row>
    <row r="352" spans="2:16" ht="34.799999999999997" customHeight="1" x14ac:dyDescent="0.45">
      <c r="B352" s="45"/>
      <c r="C352" s="46"/>
      <c r="D352" s="98" t="str">
        <f t="shared" si="7"/>
        <v/>
      </c>
      <c r="E352" s="99"/>
      <c r="F352" s="89" t="str">
        <f t="array" ref="F352">IFERROR(INDEX(Kintoneデータ抽出!A:A, _xlfn.AGGREGATE(15, 6, ROW(Kintoneデータ抽出!$K$2:$K$5000) / ((Kintoneデータ抽出!$K$2:$K$5000="企業内")), ROW(A45))), "")</f>
        <v/>
      </c>
      <c r="G352" s="90" t="str">
        <f t="array" ref="G352">IFERROR(INDEX(Kintoneデータ抽出!D:D,_xlfn.AGGREGATE(15,6,ROW(Kintoneデータ抽出!$K$2:$K$5000)/((Kintoneデータ抽出!$K$2:$K$5000="企業内")),ROW(A45))),"")</f>
        <v/>
      </c>
      <c r="H352" s="89" t="str">
        <f t="array" ref="H352">IFERROR(INDEX(Kintoneデータ抽出!C:C, _xlfn.AGGREGATE(15, 6, ROW(Kintoneデータ抽出!$K$2:$K$5000) / ((Kintoneデータ抽出!$K$2:$K$5000="企業内")), ROW(A45))), "")</f>
        <v/>
      </c>
      <c r="I352" s="75" t="str">
        <f t="array" ref="I352">IFERROR(IF(INDEX(Kintoneデータ抽出!G:G, _xlfn.AGGREGATE(15, 6, ROW(Kintoneデータ抽出!$K$2:$K$5000) / ((Kintoneデータ抽出!$K$2:$K$5000="企業内")), ROW(A45)))&lt;&gt;"",INDEX(Kintoneデータ抽出!G:G, _xlfn.AGGREGATE(15, 6, ROW(Kintoneデータ抽出!$K$2:$K$5000) / ((Kintoneデータ抽出!$K$2:$K$5000="企業内")), ROW(A45)))&amp;"名",""), "")</f>
        <v/>
      </c>
      <c r="J352" s="76" t="str">
        <f t="array" ref="J352">IFERROR(IF(INDEX(Kintoneデータ抽出!E:E, _xlfn.AGGREGATE(15, 6, ROW(Kintoneデータ抽出!$K$2:$K$5000) / ((Kintoneデータ抽出!$K$2:$K$5000="企業内")), ROW(A45)))&lt;&gt;"",
YEAR(INDEX(Kintoneデータ抽出!E:E, _xlfn.AGGREGATE(15, 6, ROW(Kintoneデータ抽出!$K$2:$K$5000) / ((Kintoneデータ抽出!$K$2:$K$5000="企業内")), ROW(A45))))&amp;"年"
&amp;MONTH(INDEX(Kintoneデータ抽出!E:E, _xlfn.AGGREGATE(15, 6, ROW(Kintoneデータ抽出!$K$2:$K$5000) / ((Kintoneデータ抽出!$K$2:$K$5000="企業内")), ROW(A45))))&amp;"月"
&amp;DAY(INDEX(Kintoneデータ抽出!E:E, _xlfn.AGGREGATE(15, 6, ROW(Kintoneデータ抽出!$K$2:$K$5000) /((Kintoneデータ抽出!$K$2:$K$5000="企業内")), ROW(A45))))&amp;"日",""), "")</f>
        <v/>
      </c>
      <c r="K352" s="77" t="str" cm="1">
        <f t="array" ref="K352">IFERROR(IF(INDEX(Kintoneデータ抽出!F:F, _xlfn.AGGREGATE(15, 6, ROW(Kintoneデータ抽出!$K$2:$K$5000) / ((Kintoneデータ抽出!$K$2:$K$5000="企業内")), ROW(A45)))&lt;&gt;"",
VLOOKUP(INDEX(Kintoneデータ抽出!F:F, _xlfn.AGGREGATE(15, 6, ROW(Kintoneデータ抽出!$K$2:$K$5000) / ((Kintoneデータ抽出!$K$2:$K$5000="企業内")), ROW(A45))),基本開園日の表記!$A$2:$B$13,2,FALSE),""), "")</f>
        <v/>
      </c>
      <c r="L352" s="75" t="str">
        <f t="array" ref="L352">IFERROR(IF(INDEX(Kintoneデータ抽出!F:F, _xlfn.AGGREGATE(15, 6, ROW(Kintoneデータ抽出!$K$2:$K$5000) / ((Kintoneデータ抽出!$K$2:$K$5000="企業内")), ROW(A45)))&lt;&gt;"",
IF(COUNTIF(INDEX(Kintoneデータ抽出!F:F, _xlfn.AGGREGATE(15, 6, ROW(Kintoneデータ抽出!$K$2:$K$5000) / ((Kintoneデータ抽出!$K$2:$K$5000="企業内")), ROW(A45))),"*あり*"),"夜間",""),""), "")</f>
        <v/>
      </c>
      <c r="M352" s="75" t="str">
        <f t="array" ref="M352">IFERROR(IF(INDEX(Kintoneデータ抽出!I:I, _xlfn.AGGREGATE(15, 6, ROW(Kintoneデータ抽出!$K$2:$K$5000) / ((Kintoneデータ抽出!$K$2:$K$5000="企業内")), ROW(A45)))&lt;&gt;"",
IF(COUNTIF(INDEX(Kintoneデータ抽出!I:I, _xlfn.AGGREGATE(15, 6, ROW(Kintoneデータ抽出!$K$2:$K$5000) / ((Kintoneデータ抽出!$K$2:$K$5000="企業内")), ROW(A45))),"*あり*"),"学童",""),""), "")</f>
        <v/>
      </c>
      <c r="N352" s="75" t="str">
        <f t="array" ref="N352">IFERROR(IF(INDEX(Kintoneデータ抽出!H:H, _xlfn.AGGREGATE(15, 6, ROW(Kintoneデータ抽出!$K$2:$K$5000) / ((Kintoneデータ抽出!$K$2:$K$5000="企業内")), ROW(A45)))&lt;&gt;"",
IF(COUNTIF(INDEX(Kintoneデータ抽出!H:H, _xlfn.AGGREGATE(15, 6, ROW(Kintoneデータ抽出!$K$2:$K$5000) / ((Kintoneデータ抽出!$K$2:$K$5000="企業内")), ROW(A45))),"*あり*"),"病児",""),""), "")</f>
        <v/>
      </c>
      <c r="O352" s="75" t="str" cm="1">
        <f t="array" ref="O352">IFERROR(
IF(INDEX(Kintoneデータ抽出!M:M, _xlfn.AGGREGATE(15, 6, ROW(Kintoneデータ抽出!$K$2:$K$5000) / ((Kintoneデータ抽出!$K$2:$K$5000="企業内")), ROW(A45)))&lt;&gt;0,INDEX(Kintoneデータ抽出!M:M, _xlfn.AGGREGATE(15, 6, ROW(Kintoneデータ抽出!$K$2:$K$5000) / ((Kintoneデータ抽出!$K$2:$K$5000="企業内")), ROW(A45))),""), "")</f>
        <v/>
      </c>
      <c r="P352" s="78" t="str">
        <f t="array" ref="P352">IFERROR(IF(INDEX(Kintoneデータ抽出!L:L, _xlfn.AGGREGATE(15, 6, ROW(Kintoneデータ抽出!$K$2:$K$5000) / ((Kintoneデータ抽出!$K$2:$K$5000="企業内")), ROW(A45)))&lt;&gt;"",
IF(COUNTIF(INDEX(Kintoneデータ抽出!L:L, _xlfn.AGGREGATE(15, 6, ROW(Kintoneデータ抽出!$K$2:$K$5000) / ((Kintoneデータ抽出!$K$2:$K$5000="企業内")), ROW(A45))),"*企業主導型以外*"),"",
IF(COUNTIF(INDEX(Kintoneデータ抽出!L:L, _xlfn.AGGREGATE(15, 6, ROW(Kintoneデータ抽出!$K$2:$K$5000) / ((Kintoneデータ抽出!$K$2:$K$5000="企業内")), ROW(A45))),"*その他*"),"",
IF(COUNTIF(INDEX(Kintoneデータ抽出!L:L, _xlfn.AGGREGATE(15, 6, ROW(Kintoneデータ抽出!$K$2:$K$5000) / ((Kintoneデータ抽出!$K$2:$K$5000="企業内")), ROW(A45))),"*新制度*"),"新制度","企業主導型"))),""), "")</f>
        <v/>
      </c>
    </row>
    <row r="353" spans="2:35" ht="34.799999999999997" customHeight="1" x14ac:dyDescent="0.45">
      <c r="B353" s="45"/>
      <c r="C353" s="46"/>
      <c r="D353" s="98" t="str">
        <f t="shared" si="7"/>
        <v/>
      </c>
      <c r="E353" s="99"/>
      <c r="F353" s="89" t="str">
        <f t="array" ref="F353">IFERROR(INDEX(Kintoneデータ抽出!A:A, _xlfn.AGGREGATE(15, 6, ROW(Kintoneデータ抽出!$K$2:$K$5000) / ((Kintoneデータ抽出!$K$2:$K$5000="企業内")), ROW(A46))), "")</f>
        <v/>
      </c>
      <c r="G353" s="90" t="str">
        <f t="array" ref="G353">IFERROR(INDEX(Kintoneデータ抽出!D:D,_xlfn.AGGREGATE(15,6,ROW(Kintoneデータ抽出!$K$2:$K$5000)/((Kintoneデータ抽出!$K$2:$K$5000="企業内")),ROW(A46))),"")</f>
        <v/>
      </c>
      <c r="H353" s="89" t="str">
        <f t="array" ref="H353">IFERROR(INDEX(Kintoneデータ抽出!C:C, _xlfn.AGGREGATE(15, 6, ROW(Kintoneデータ抽出!$K$2:$K$5000) / ((Kintoneデータ抽出!$K$2:$K$5000="企業内")), ROW(A46))), "")</f>
        <v/>
      </c>
      <c r="I353" s="75" t="str">
        <f t="array" ref="I353">IFERROR(IF(INDEX(Kintoneデータ抽出!G:G, _xlfn.AGGREGATE(15, 6, ROW(Kintoneデータ抽出!$K$2:$K$5000) / ((Kintoneデータ抽出!$K$2:$K$5000="企業内")), ROW(A46)))&lt;&gt;"",INDEX(Kintoneデータ抽出!G:G, _xlfn.AGGREGATE(15, 6, ROW(Kintoneデータ抽出!$K$2:$K$5000) / ((Kintoneデータ抽出!$K$2:$K$5000="企業内")), ROW(A46)))&amp;"名",""), "")</f>
        <v/>
      </c>
      <c r="J353" s="76" t="str">
        <f t="array" ref="J353">IFERROR(IF(INDEX(Kintoneデータ抽出!E:E, _xlfn.AGGREGATE(15, 6, ROW(Kintoneデータ抽出!$K$2:$K$5000) / ((Kintoneデータ抽出!$K$2:$K$5000="企業内")), ROW(A46)))&lt;&gt;"",
YEAR(INDEX(Kintoneデータ抽出!E:E, _xlfn.AGGREGATE(15, 6, ROW(Kintoneデータ抽出!$K$2:$K$5000) / ((Kintoneデータ抽出!$K$2:$K$5000="企業内")), ROW(A46))))&amp;"年"
&amp;MONTH(INDEX(Kintoneデータ抽出!E:E, _xlfn.AGGREGATE(15, 6, ROW(Kintoneデータ抽出!$K$2:$K$5000) / ((Kintoneデータ抽出!$K$2:$K$5000="企業内")), ROW(A46))))&amp;"月"
&amp;DAY(INDEX(Kintoneデータ抽出!E:E, _xlfn.AGGREGATE(15, 6, ROW(Kintoneデータ抽出!$K$2:$K$5000) /((Kintoneデータ抽出!$K$2:$K$5000="企業内")), ROW(A46))))&amp;"日",""), "")</f>
        <v/>
      </c>
      <c r="K353" s="77" t="str" cm="1">
        <f t="array" ref="K353">IFERROR(IF(INDEX(Kintoneデータ抽出!F:F, _xlfn.AGGREGATE(15, 6, ROW(Kintoneデータ抽出!$K$2:$K$5000) / ((Kintoneデータ抽出!$K$2:$K$5000="企業内")), ROW(A46)))&lt;&gt;"",
VLOOKUP(INDEX(Kintoneデータ抽出!F:F, _xlfn.AGGREGATE(15, 6, ROW(Kintoneデータ抽出!$K$2:$K$5000) / ((Kintoneデータ抽出!$K$2:$K$5000="企業内")), ROW(A46))),基本開園日の表記!$A$2:$B$13,2,FALSE),""), "")</f>
        <v/>
      </c>
      <c r="L353" s="75" t="str">
        <f t="array" ref="L353">IFERROR(IF(INDEX(Kintoneデータ抽出!F:F, _xlfn.AGGREGATE(15, 6, ROW(Kintoneデータ抽出!$K$2:$K$5000) / ((Kintoneデータ抽出!$K$2:$K$5000="企業内")), ROW(A46)))&lt;&gt;"",
IF(COUNTIF(INDEX(Kintoneデータ抽出!F:F, _xlfn.AGGREGATE(15, 6, ROW(Kintoneデータ抽出!$K$2:$K$5000) / ((Kintoneデータ抽出!$K$2:$K$5000="企業内")), ROW(A46))),"*あり*"),"夜間",""),""), "")</f>
        <v/>
      </c>
      <c r="M353" s="75" t="str">
        <f t="array" ref="M353">IFERROR(IF(INDEX(Kintoneデータ抽出!I:I, _xlfn.AGGREGATE(15, 6, ROW(Kintoneデータ抽出!$K$2:$K$5000) / ((Kintoneデータ抽出!$K$2:$K$5000="企業内")), ROW(A46)))&lt;&gt;"",
IF(COUNTIF(INDEX(Kintoneデータ抽出!I:I, _xlfn.AGGREGATE(15, 6, ROW(Kintoneデータ抽出!$K$2:$K$5000) / ((Kintoneデータ抽出!$K$2:$K$5000="企業内")), ROW(A46))),"*あり*"),"学童",""),""), "")</f>
        <v/>
      </c>
      <c r="N353" s="75" t="str">
        <f t="array" ref="N353">IFERROR(IF(INDEX(Kintoneデータ抽出!H:H, _xlfn.AGGREGATE(15, 6, ROW(Kintoneデータ抽出!$K$2:$K$5000) / ((Kintoneデータ抽出!$K$2:$K$5000="企業内")), ROW(A46)))&lt;&gt;"",
IF(COUNTIF(INDEX(Kintoneデータ抽出!H:H, _xlfn.AGGREGATE(15, 6, ROW(Kintoneデータ抽出!$K$2:$K$5000) / ((Kintoneデータ抽出!$K$2:$K$5000="企業内")), ROW(A46))),"*あり*"),"病児",""),""), "")</f>
        <v/>
      </c>
      <c r="O353" s="75" t="str" cm="1">
        <f t="array" ref="O353">IFERROR(
IF(INDEX(Kintoneデータ抽出!M:M, _xlfn.AGGREGATE(15, 6, ROW(Kintoneデータ抽出!$K$2:$K$5000) / ((Kintoneデータ抽出!$K$2:$K$5000="企業内")), ROW(A46)))&lt;&gt;0,INDEX(Kintoneデータ抽出!M:M, _xlfn.AGGREGATE(15, 6, ROW(Kintoneデータ抽出!$K$2:$K$5000) / ((Kintoneデータ抽出!$K$2:$K$5000="企業内")), ROW(A46))),""), "")</f>
        <v/>
      </c>
      <c r="P353" s="78" t="str">
        <f t="array" ref="P353">IFERROR(IF(INDEX(Kintoneデータ抽出!L:L, _xlfn.AGGREGATE(15, 6, ROW(Kintoneデータ抽出!$K$2:$K$5000) / ((Kintoneデータ抽出!$K$2:$K$5000="企業内")), ROW(A46)))&lt;&gt;"",
IF(COUNTIF(INDEX(Kintoneデータ抽出!L:L, _xlfn.AGGREGATE(15, 6, ROW(Kintoneデータ抽出!$K$2:$K$5000) / ((Kintoneデータ抽出!$K$2:$K$5000="企業内")), ROW(A46))),"*企業主導型以外*"),"",
IF(COUNTIF(INDEX(Kintoneデータ抽出!L:L, _xlfn.AGGREGATE(15, 6, ROW(Kintoneデータ抽出!$K$2:$K$5000) / ((Kintoneデータ抽出!$K$2:$K$5000="企業内")), ROW(A46))),"*その他*"),"",
IF(COUNTIF(INDEX(Kintoneデータ抽出!L:L, _xlfn.AGGREGATE(15, 6, ROW(Kintoneデータ抽出!$K$2:$K$5000) / ((Kintoneデータ抽出!$K$2:$K$5000="企業内")), ROW(A46))),"*新制度*"),"新制度","企業主導型"))),""), "")</f>
        <v/>
      </c>
    </row>
    <row r="354" spans="2:35" ht="34.799999999999997" customHeight="1" x14ac:dyDescent="0.45">
      <c r="B354" s="45"/>
      <c r="C354" s="46"/>
      <c r="D354" s="98" t="str">
        <f t="shared" si="7"/>
        <v/>
      </c>
      <c r="E354" s="99"/>
      <c r="F354" s="89" t="str">
        <f t="array" ref="F354">IFERROR(INDEX(Kintoneデータ抽出!A:A, _xlfn.AGGREGATE(15, 6, ROW(Kintoneデータ抽出!$K$2:$K$5000) / ((Kintoneデータ抽出!$K$2:$K$5000="企業内")), ROW(A47))), "")</f>
        <v/>
      </c>
      <c r="G354" s="90" t="str">
        <f t="array" ref="G354">IFERROR(INDEX(Kintoneデータ抽出!D:D,_xlfn.AGGREGATE(15,6,ROW(Kintoneデータ抽出!$K$2:$K$5000)/((Kintoneデータ抽出!$K$2:$K$5000="企業内")),ROW(A47))),"")</f>
        <v/>
      </c>
      <c r="H354" s="89" t="str">
        <f t="array" ref="H354">IFERROR(INDEX(Kintoneデータ抽出!C:C, _xlfn.AGGREGATE(15, 6, ROW(Kintoneデータ抽出!$K$2:$K$5000) / ((Kintoneデータ抽出!$K$2:$K$5000="企業内")), ROW(A47))), "")</f>
        <v/>
      </c>
      <c r="I354" s="75" t="str">
        <f t="array" ref="I354">IFERROR(IF(INDEX(Kintoneデータ抽出!G:G, _xlfn.AGGREGATE(15, 6, ROW(Kintoneデータ抽出!$K$2:$K$5000) / ((Kintoneデータ抽出!$K$2:$K$5000="企業内")), ROW(A47)))&lt;&gt;"",INDEX(Kintoneデータ抽出!G:G, _xlfn.AGGREGATE(15, 6, ROW(Kintoneデータ抽出!$K$2:$K$5000) / ((Kintoneデータ抽出!$K$2:$K$5000="企業内")), ROW(A47)))&amp;"名",""), "")</f>
        <v/>
      </c>
      <c r="J354" s="76" t="str">
        <f t="array" ref="J354">IFERROR(IF(INDEX(Kintoneデータ抽出!E:E, _xlfn.AGGREGATE(15, 6, ROW(Kintoneデータ抽出!$K$2:$K$5000) / ((Kintoneデータ抽出!$K$2:$K$5000="企業内")), ROW(A47)))&lt;&gt;"",
YEAR(INDEX(Kintoneデータ抽出!E:E, _xlfn.AGGREGATE(15, 6, ROW(Kintoneデータ抽出!$K$2:$K$5000) / ((Kintoneデータ抽出!$K$2:$K$5000="企業内")), ROW(A47))))&amp;"年"
&amp;MONTH(INDEX(Kintoneデータ抽出!E:E, _xlfn.AGGREGATE(15, 6, ROW(Kintoneデータ抽出!$K$2:$K$5000) / ((Kintoneデータ抽出!$K$2:$K$5000="企業内")), ROW(A47))))&amp;"月"
&amp;DAY(INDEX(Kintoneデータ抽出!E:E, _xlfn.AGGREGATE(15, 6, ROW(Kintoneデータ抽出!$K$2:$K$5000) /((Kintoneデータ抽出!$K$2:$K$5000="企業内")), ROW(A47))))&amp;"日",""), "")</f>
        <v/>
      </c>
      <c r="K354" s="77" t="str" cm="1">
        <f t="array" ref="K354">IFERROR(IF(INDEX(Kintoneデータ抽出!F:F, _xlfn.AGGREGATE(15, 6, ROW(Kintoneデータ抽出!$K$2:$K$5000) / ((Kintoneデータ抽出!$K$2:$K$5000="企業内")), ROW(A47)))&lt;&gt;"",
VLOOKUP(INDEX(Kintoneデータ抽出!F:F, _xlfn.AGGREGATE(15, 6, ROW(Kintoneデータ抽出!$K$2:$K$5000) / ((Kintoneデータ抽出!$K$2:$K$5000="企業内")), ROW(A47))),基本開園日の表記!$A$2:$B$13,2,FALSE),""), "")</f>
        <v/>
      </c>
      <c r="L354" s="75" t="str">
        <f t="array" ref="L354">IFERROR(IF(INDEX(Kintoneデータ抽出!F:F, _xlfn.AGGREGATE(15, 6, ROW(Kintoneデータ抽出!$K$2:$K$5000) / ((Kintoneデータ抽出!$K$2:$K$5000="企業内")), ROW(A47)))&lt;&gt;"",
IF(COUNTIF(INDEX(Kintoneデータ抽出!F:F, _xlfn.AGGREGATE(15, 6, ROW(Kintoneデータ抽出!$K$2:$K$5000) / ((Kintoneデータ抽出!$K$2:$K$5000="企業内")), ROW(A47))),"*あり*"),"夜間",""),""), "")</f>
        <v/>
      </c>
      <c r="M354" s="75" t="str">
        <f t="array" ref="M354">IFERROR(IF(INDEX(Kintoneデータ抽出!I:I, _xlfn.AGGREGATE(15, 6, ROW(Kintoneデータ抽出!$K$2:$K$5000) / ((Kintoneデータ抽出!$K$2:$K$5000="企業内")), ROW(A47)))&lt;&gt;"",
IF(COUNTIF(INDEX(Kintoneデータ抽出!I:I, _xlfn.AGGREGATE(15, 6, ROW(Kintoneデータ抽出!$K$2:$K$5000) / ((Kintoneデータ抽出!$K$2:$K$5000="企業内")), ROW(A47))),"*あり*"),"学童",""),""), "")</f>
        <v/>
      </c>
      <c r="N354" s="75" t="str">
        <f t="array" ref="N354">IFERROR(IF(INDEX(Kintoneデータ抽出!H:H, _xlfn.AGGREGATE(15, 6, ROW(Kintoneデータ抽出!$K$2:$K$5000) / ((Kintoneデータ抽出!$K$2:$K$5000="企業内")), ROW(A47)))&lt;&gt;"",
IF(COUNTIF(INDEX(Kintoneデータ抽出!H:H, _xlfn.AGGREGATE(15, 6, ROW(Kintoneデータ抽出!$K$2:$K$5000) / ((Kintoneデータ抽出!$K$2:$K$5000="企業内")), ROW(A47))),"*あり*"),"病児",""),""), "")</f>
        <v/>
      </c>
      <c r="O354" s="75" t="str" cm="1">
        <f t="array" ref="O354">IFERROR(
IF(INDEX(Kintoneデータ抽出!M:M, _xlfn.AGGREGATE(15, 6, ROW(Kintoneデータ抽出!$K$2:$K$5000) / ((Kintoneデータ抽出!$K$2:$K$5000="企業内")), ROW(A47)))&lt;&gt;0,INDEX(Kintoneデータ抽出!M:M, _xlfn.AGGREGATE(15, 6, ROW(Kintoneデータ抽出!$K$2:$K$5000) / ((Kintoneデータ抽出!$K$2:$K$5000="企業内")), ROW(A47))),""), "")</f>
        <v/>
      </c>
      <c r="P354" s="78" t="str">
        <f t="array" ref="P354">IFERROR(IF(INDEX(Kintoneデータ抽出!L:L, _xlfn.AGGREGATE(15, 6, ROW(Kintoneデータ抽出!$K$2:$K$5000) / ((Kintoneデータ抽出!$K$2:$K$5000="企業内")), ROW(A47)))&lt;&gt;"",
IF(COUNTIF(INDEX(Kintoneデータ抽出!L:L, _xlfn.AGGREGATE(15, 6, ROW(Kintoneデータ抽出!$K$2:$K$5000) / ((Kintoneデータ抽出!$K$2:$K$5000="企業内")), ROW(A47))),"*企業主導型以外*"),"",
IF(COUNTIF(INDEX(Kintoneデータ抽出!L:L, _xlfn.AGGREGATE(15, 6, ROW(Kintoneデータ抽出!$K$2:$K$5000) / ((Kintoneデータ抽出!$K$2:$K$5000="企業内")), ROW(A47))),"*その他*"),"",
IF(COUNTIF(INDEX(Kintoneデータ抽出!L:L, _xlfn.AGGREGATE(15, 6, ROW(Kintoneデータ抽出!$K$2:$K$5000) / ((Kintoneデータ抽出!$K$2:$K$5000="企業内")), ROW(A47))),"*新制度*"),"新制度","企業主導型"))),""), "")</f>
        <v/>
      </c>
    </row>
    <row r="355" spans="2:35" ht="34.799999999999997" customHeight="1" x14ac:dyDescent="0.45">
      <c r="B355" s="45"/>
      <c r="C355" s="46"/>
      <c r="D355" s="98" t="str">
        <f t="shared" si="7"/>
        <v/>
      </c>
      <c r="E355" s="99"/>
      <c r="F355" s="89" t="str">
        <f t="array" ref="F355">IFERROR(INDEX(Kintoneデータ抽出!A:A, _xlfn.AGGREGATE(15, 6, ROW(Kintoneデータ抽出!$K$2:$K$5000) / ((Kintoneデータ抽出!$K$2:$K$5000="企業内")), ROW(A48))), "")</f>
        <v/>
      </c>
      <c r="G355" s="90" t="str">
        <f t="array" ref="G355">IFERROR(INDEX(Kintoneデータ抽出!D:D,_xlfn.AGGREGATE(15,6,ROW(Kintoneデータ抽出!$K$2:$K$5000)/((Kintoneデータ抽出!$K$2:$K$5000="企業内")),ROW(A48))),"")</f>
        <v/>
      </c>
      <c r="H355" s="89" t="str">
        <f t="array" ref="H355">IFERROR(INDEX(Kintoneデータ抽出!C:C, _xlfn.AGGREGATE(15, 6, ROW(Kintoneデータ抽出!$K$2:$K$5000) / ((Kintoneデータ抽出!$K$2:$K$5000="企業内")), ROW(A48))), "")</f>
        <v/>
      </c>
      <c r="I355" s="75" t="str">
        <f t="array" ref="I355">IFERROR(IF(INDEX(Kintoneデータ抽出!G:G, _xlfn.AGGREGATE(15, 6, ROW(Kintoneデータ抽出!$K$2:$K$5000) / ((Kintoneデータ抽出!$K$2:$K$5000="企業内")), ROW(A48)))&lt;&gt;"",INDEX(Kintoneデータ抽出!G:G, _xlfn.AGGREGATE(15, 6, ROW(Kintoneデータ抽出!$K$2:$K$5000) / ((Kintoneデータ抽出!$K$2:$K$5000="企業内")), ROW(A48)))&amp;"名",""), "")</f>
        <v/>
      </c>
      <c r="J355" s="76" t="str">
        <f t="array" ref="J355">IFERROR(IF(INDEX(Kintoneデータ抽出!E:E, _xlfn.AGGREGATE(15, 6, ROW(Kintoneデータ抽出!$K$2:$K$5000) / ((Kintoneデータ抽出!$K$2:$K$5000="企業内")), ROW(A48)))&lt;&gt;"",
YEAR(INDEX(Kintoneデータ抽出!E:E, _xlfn.AGGREGATE(15, 6, ROW(Kintoneデータ抽出!$K$2:$K$5000) / ((Kintoneデータ抽出!$K$2:$K$5000="企業内")), ROW(A48))))&amp;"年"
&amp;MONTH(INDEX(Kintoneデータ抽出!E:E, _xlfn.AGGREGATE(15, 6, ROW(Kintoneデータ抽出!$K$2:$K$5000) / ((Kintoneデータ抽出!$K$2:$K$5000="企業内")), ROW(A48))))&amp;"月"
&amp;DAY(INDEX(Kintoneデータ抽出!E:E, _xlfn.AGGREGATE(15, 6, ROW(Kintoneデータ抽出!$K$2:$K$5000) /((Kintoneデータ抽出!$K$2:$K$5000="企業内")), ROW(A48))))&amp;"日",""), "")</f>
        <v/>
      </c>
      <c r="K355" s="77" t="str" cm="1">
        <f t="array" ref="K355">IFERROR(IF(INDEX(Kintoneデータ抽出!F:F, _xlfn.AGGREGATE(15, 6, ROW(Kintoneデータ抽出!$K$2:$K$5000) / ((Kintoneデータ抽出!$K$2:$K$5000="企業内")), ROW(A48)))&lt;&gt;"",
VLOOKUP(INDEX(Kintoneデータ抽出!F:F, _xlfn.AGGREGATE(15, 6, ROW(Kintoneデータ抽出!$K$2:$K$5000) / ((Kintoneデータ抽出!$K$2:$K$5000="企業内")), ROW(A48))),基本開園日の表記!$A$2:$B$13,2,FALSE),""), "")</f>
        <v/>
      </c>
      <c r="L355" s="75" t="str">
        <f t="array" ref="L355">IFERROR(IF(INDEX(Kintoneデータ抽出!F:F, _xlfn.AGGREGATE(15, 6, ROW(Kintoneデータ抽出!$K$2:$K$5000) / ((Kintoneデータ抽出!$K$2:$K$5000="企業内")), ROW(A48)))&lt;&gt;"",
IF(COUNTIF(INDEX(Kintoneデータ抽出!F:F, _xlfn.AGGREGATE(15, 6, ROW(Kintoneデータ抽出!$K$2:$K$5000) / ((Kintoneデータ抽出!$K$2:$K$5000="企業内")), ROW(A48))),"*あり*"),"夜間",""),""), "")</f>
        <v/>
      </c>
      <c r="M355" s="75" t="str">
        <f t="array" ref="M355">IFERROR(IF(INDEX(Kintoneデータ抽出!I:I, _xlfn.AGGREGATE(15, 6, ROW(Kintoneデータ抽出!$K$2:$K$5000) / ((Kintoneデータ抽出!$K$2:$K$5000="企業内")), ROW(A48)))&lt;&gt;"",
IF(COUNTIF(INDEX(Kintoneデータ抽出!I:I, _xlfn.AGGREGATE(15, 6, ROW(Kintoneデータ抽出!$K$2:$K$5000) / ((Kintoneデータ抽出!$K$2:$K$5000="企業内")), ROW(A48))),"*あり*"),"学童",""),""), "")</f>
        <v/>
      </c>
      <c r="N355" s="75" t="str">
        <f t="array" ref="N355">IFERROR(IF(INDEX(Kintoneデータ抽出!H:H, _xlfn.AGGREGATE(15, 6, ROW(Kintoneデータ抽出!$K$2:$K$5000) / ((Kintoneデータ抽出!$K$2:$K$5000="企業内")), ROW(A48)))&lt;&gt;"",
IF(COUNTIF(INDEX(Kintoneデータ抽出!H:H, _xlfn.AGGREGATE(15, 6, ROW(Kintoneデータ抽出!$K$2:$K$5000) / ((Kintoneデータ抽出!$K$2:$K$5000="企業内")), ROW(A48))),"*あり*"),"病児",""),""), "")</f>
        <v/>
      </c>
      <c r="O355" s="75" t="str" cm="1">
        <f t="array" ref="O355">IFERROR(
IF(INDEX(Kintoneデータ抽出!M:M, _xlfn.AGGREGATE(15, 6, ROW(Kintoneデータ抽出!$K$2:$K$5000) / ((Kintoneデータ抽出!$K$2:$K$5000="企業内")), ROW(A48)))&lt;&gt;0,INDEX(Kintoneデータ抽出!M:M, _xlfn.AGGREGATE(15, 6, ROW(Kintoneデータ抽出!$K$2:$K$5000) / ((Kintoneデータ抽出!$K$2:$K$5000="企業内")), ROW(A48))),""), "")</f>
        <v/>
      </c>
      <c r="P355" s="78" t="str">
        <f t="array" ref="P355">IFERROR(IF(INDEX(Kintoneデータ抽出!L:L, _xlfn.AGGREGATE(15, 6, ROW(Kintoneデータ抽出!$K$2:$K$5000) / ((Kintoneデータ抽出!$K$2:$K$5000="企業内")), ROW(A48)))&lt;&gt;"",
IF(COUNTIF(INDEX(Kintoneデータ抽出!L:L, _xlfn.AGGREGATE(15, 6, ROW(Kintoneデータ抽出!$K$2:$K$5000) / ((Kintoneデータ抽出!$K$2:$K$5000="企業内")), ROW(A48))),"*企業主導型以外*"),"",
IF(COUNTIF(INDEX(Kintoneデータ抽出!L:L, _xlfn.AGGREGATE(15, 6, ROW(Kintoneデータ抽出!$K$2:$K$5000) / ((Kintoneデータ抽出!$K$2:$K$5000="企業内")), ROW(A48))),"*その他*"),"",
IF(COUNTIF(INDEX(Kintoneデータ抽出!L:L, _xlfn.AGGREGATE(15, 6, ROW(Kintoneデータ抽出!$K$2:$K$5000) / ((Kintoneデータ抽出!$K$2:$K$5000="企業内")), ROW(A48))),"*新制度*"),"新制度","企業主導型"))),""), "")</f>
        <v/>
      </c>
    </row>
    <row r="356" spans="2:35" ht="34.799999999999997" customHeight="1" x14ac:dyDescent="0.45">
      <c r="B356" s="45"/>
      <c r="C356" s="46"/>
      <c r="D356" s="98" t="str">
        <f t="shared" si="7"/>
        <v/>
      </c>
      <c r="E356" s="99"/>
      <c r="F356" s="89" t="str">
        <f t="array" ref="F356">IFERROR(INDEX(Kintoneデータ抽出!A:A, _xlfn.AGGREGATE(15, 6, ROW(Kintoneデータ抽出!$K$2:$K$5000) / ((Kintoneデータ抽出!$K$2:$K$5000="企業内")), ROW(A49))), "")</f>
        <v/>
      </c>
      <c r="G356" s="90" t="str">
        <f t="array" ref="G356">IFERROR(INDEX(Kintoneデータ抽出!D:D,_xlfn.AGGREGATE(15,6,ROW(Kintoneデータ抽出!$K$2:$K$5000)/((Kintoneデータ抽出!$K$2:$K$5000="企業内")),ROW(A49))),"")</f>
        <v/>
      </c>
      <c r="H356" s="89" t="str">
        <f t="array" ref="H356">IFERROR(INDEX(Kintoneデータ抽出!C:C, _xlfn.AGGREGATE(15, 6, ROW(Kintoneデータ抽出!$K$2:$K$5000) / ((Kintoneデータ抽出!$K$2:$K$5000="企業内")), ROW(A49))), "")</f>
        <v/>
      </c>
      <c r="I356" s="75" t="str">
        <f t="array" ref="I356">IFERROR(IF(INDEX(Kintoneデータ抽出!G:G, _xlfn.AGGREGATE(15, 6, ROW(Kintoneデータ抽出!$K$2:$K$5000) / ((Kintoneデータ抽出!$K$2:$K$5000="企業内")), ROW(A49)))&lt;&gt;"",INDEX(Kintoneデータ抽出!G:G, _xlfn.AGGREGATE(15, 6, ROW(Kintoneデータ抽出!$K$2:$K$5000) / ((Kintoneデータ抽出!$K$2:$K$5000="企業内")), ROW(A49)))&amp;"名",""), "")</f>
        <v/>
      </c>
      <c r="J356" s="76" t="str">
        <f t="array" ref="J356">IFERROR(IF(INDEX(Kintoneデータ抽出!E:E, _xlfn.AGGREGATE(15, 6, ROW(Kintoneデータ抽出!$K$2:$K$5000) / ((Kintoneデータ抽出!$K$2:$K$5000="企業内")), ROW(A49)))&lt;&gt;"",
YEAR(INDEX(Kintoneデータ抽出!E:E, _xlfn.AGGREGATE(15, 6, ROW(Kintoneデータ抽出!$K$2:$K$5000) / ((Kintoneデータ抽出!$K$2:$K$5000="企業内")), ROW(A49))))&amp;"年"
&amp;MONTH(INDEX(Kintoneデータ抽出!E:E, _xlfn.AGGREGATE(15, 6, ROW(Kintoneデータ抽出!$K$2:$K$5000) / ((Kintoneデータ抽出!$K$2:$K$5000="企業内")), ROW(A49))))&amp;"月"
&amp;DAY(INDEX(Kintoneデータ抽出!E:E, _xlfn.AGGREGATE(15, 6, ROW(Kintoneデータ抽出!$K$2:$K$5000) /((Kintoneデータ抽出!$K$2:$K$5000="企業内")), ROW(A49))))&amp;"日",""), "")</f>
        <v/>
      </c>
      <c r="K356" s="77" t="str" cm="1">
        <f t="array" ref="K356">IFERROR(IF(INDEX(Kintoneデータ抽出!F:F, _xlfn.AGGREGATE(15, 6, ROW(Kintoneデータ抽出!$K$2:$K$5000) / ((Kintoneデータ抽出!$K$2:$K$5000="企業内")), ROW(A49)))&lt;&gt;"",
VLOOKUP(INDEX(Kintoneデータ抽出!F:F, _xlfn.AGGREGATE(15, 6, ROW(Kintoneデータ抽出!$K$2:$K$5000) / ((Kintoneデータ抽出!$K$2:$K$5000="企業内")), ROW(A49))),基本開園日の表記!$A$2:$B$13,2,FALSE),""), "")</f>
        <v/>
      </c>
      <c r="L356" s="75" t="str">
        <f t="array" ref="L356">IFERROR(IF(INDEX(Kintoneデータ抽出!F:F, _xlfn.AGGREGATE(15, 6, ROW(Kintoneデータ抽出!$K$2:$K$5000) / ((Kintoneデータ抽出!$K$2:$K$5000="企業内")), ROW(A49)))&lt;&gt;"",
IF(COUNTIF(INDEX(Kintoneデータ抽出!F:F, _xlfn.AGGREGATE(15, 6, ROW(Kintoneデータ抽出!$K$2:$K$5000) / ((Kintoneデータ抽出!$K$2:$K$5000="企業内")), ROW(A49))),"*あり*"),"夜間",""),""), "")</f>
        <v/>
      </c>
      <c r="M356" s="75" t="str">
        <f t="array" ref="M356">IFERROR(IF(INDEX(Kintoneデータ抽出!I:I, _xlfn.AGGREGATE(15, 6, ROW(Kintoneデータ抽出!$K$2:$K$5000) / ((Kintoneデータ抽出!$K$2:$K$5000="企業内")), ROW(A49)))&lt;&gt;"",
IF(COUNTIF(INDEX(Kintoneデータ抽出!I:I, _xlfn.AGGREGATE(15, 6, ROW(Kintoneデータ抽出!$K$2:$K$5000) / ((Kintoneデータ抽出!$K$2:$K$5000="企業内")), ROW(A49))),"*あり*"),"学童",""),""), "")</f>
        <v/>
      </c>
      <c r="N356" s="75" t="str">
        <f t="array" ref="N356">IFERROR(IF(INDEX(Kintoneデータ抽出!H:H, _xlfn.AGGREGATE(15, 6, ROW(Kintoneデータ抽出!$K$2:$K$5000) / ((Kintoneデータ抽出!$K$2:$K$5000="企業内")), ROW(A49)))&lt;&gt;"",
IF(COUNTIF(INDEX(Kintoneデータ抽出!H:H, _xlfn.AGGREGATE(15, 6, ROW(Kintoneデータ抽出!$K$2:$K$5000) / ((Kintoneデータ抽出!$K$2:$K$5000="企業内")), ROW(A49))),"*あり*"),"病児",""),""), "")</f>
        <v/>
      </c>
      <c r="O356" s="75" t="str" cm="1">
        <f t="array" ref="O356">IFERROR(
IF(INDEX(Kintoneデータ抽出!M:M, _xlfn.AGGREGATE(15, 6, ROW(Kintoneデータ抽出!$K$2:$K$5000) / ((Kintoneデータ抽出!$K$2:$K$5000="企業内")), ROW(A49)))&lt;&gt;0,INDEX(Kintoneデータ抽出!M:M, _xlfn.AGGREGATE(15, 6, ROW(Kintoneデータ抽出!$K$2:$K$5000) / ((Kintoneデータ抽出!$K$2:$K$5000="企業内")), ROW(A49))),""), "")</f>
        <v/>
      </c>
      <c r="P356" s="78" t="str">
        <f t="array" ref="P356">IFERROR(IF(INDEX(Kintoneデータ抽出!L:L, _xlfn.AGGREGATE(15, 6, ROW(Kintoneデータ抽出!$K$2:$K$5000) / ((Kintoneデータ抽出!$K$2:$K$5000="企業内")), ROW(A49)))&lt;&gt;"",
IF(COUNTIF(INDEX(Kintoneデータ抽出!L:L, _xlfn.AGGREGATE(15, 6, ROW(Kintoneデータ抽出!$K$2:$K$5000) / ((Kintoneデータ抽出!$K$2:$K$5000="企業内")), ROW(A49))),"*企業主導型以外*"),"",
IF(COUNTIF(INDEX(Kintoneデータ抽出!L:L, _xlfn.AGGREGATE(15, 6, ROW(Kintoneデータ抽出!$K$2:$K$5000) / ((Kintoneデータ抽出!$K$2:$K$5000="企業内")), ROW(A49))),"*その他*"),"",
IF(COUNTIF(INDEX(Kintoneデータ抽出!L:L, _xlfn.AGGREGATE(15, 6, ROW(Kintoneデータ抽出!$K$2:$K$5000) / ((Kintoneデータ抽出!$K$2:$K$5000="企業内")), ROW(A49))),"*新制度*"),"新制度","企業主導型"))),""), "")</f>
        <v/>
      </c>
    </row>
    <row r="357" spans="2:35" ht="34.799999999999997" customHeight="1" x14ac:dyDescent="0.45">
      <c r="B357" s="45"/>
      <c r="C357" s="46"/>
      <c r="D357" s="98" t="str">
        <f t="shared" si="7"/>
        <v/>
      </c>
      <c r="E357" s="99"/>
      <c r="F357" s="89" t="str">
        <f t="array" ref="F357">IFERROR(INDEX(Kintoneデータ抽出!A:A, _xlfn.AGGREGATE(15, 6, ROW(Kintoneデータ抽出!$K$2:$K$5000) / ((Kintoneデータ抽出!$K$2:$K$5000="企業内")), ROW(A50))), "")</f>
        <v/>
      </c>
      <c r="G357" s="90" t="str">
        <f t="array" ref="G357">IFERROR(INDEX(Kintoneデータ抽出!D:D,_xlfn.AGGREGATE(15,6,ROW(Kintoneデータ抽出!$K$2:$K$5000)/((Kintoneデータ抽出!$K$2:$K$5000="企業内")),ROW(A50))),"")</f>
        <v/>
      </c>
      <c r="H357" s="89" t="str">
        <f t="array" ref="H357">IFERROR(INDEX(Kintoneデータ抽出!C:C, _xlfn.AGGREGATE(15, 6, ROW(Kintoneデータ抽出!$K$2:$K$5000) / ((Kintoneデータ抽出!$K$2:$K$5000="企業内")), ROW(A50))), "")</f>
        <v/>
      </c>
      <c r="I357" s="75" t="str">
        <f t="array" ref="I357">IFERROR(IF(INDEX(Kintoneデータ抽出!G:G, _xlfn.AGGREGATE(15, 6, ROW(Kintoneデータ抽出!$K$2:$K$5000) / ((Kintoneデータ抽出!$K$2:$K$5000="企業内")), ROW(A50)))&lt;&gt;"",INDEX(Kintoneデータ抽出!G:G, _xlfn.AGGREGATE(15, 6, ROW(Kintoneデータ抽出!$K$2:$K$5000) / ((Kintoneデータ抽出!$K$2:$K$5000="企業内")), ROW(A50)))&amp;"名",""), "")</f>
        <v/>
      </c>
      <c r="J357" s="76" t="str">
        <f t="array" ref="J357">IFERROR(IF(INDEX(Kintoneデータ抽出!E:E, _xlfn.AGGREGATE(15, 6, ROW(Kintoneデータ抽出!$K$2:$K$5000) / ((Kintoneデータ抽出!$K$2:$K$5000="企業内")), ROW(A50)))&lt;&gt;"",
YEAR(INDEX(Kintoneデータ抽出!E:E, _xlfn.AGGREGATE(15, 6, ROW(Kintoneデータ抽出!$K$2:$K$5000) / ((Kintoneデータ抽出!$K$2:$K$5000="企業内")), ROW(A50))))&amp;"年"
&amp;MONTH(INDEX(Kintoneデータ抽出!E:E, _xlfn.AGGREGATE(15, 6, ROW(Kintoneデータ抽出!$K$2:$K$5000) / ((Kintoneデータ抽出!$K$2:$K$5000="企業内")), ROW(A50))))&amp;"月"
&amp;DAY(INDEX(Kintoneデータ抽出!E:E, _xlfn.AGGREGATE(15, 6, ROW(Kintoneデータ抽出!$K$2:$K$5000) /((Kintoneデータ抽出!$K$2:$K$5000="企業内")), ROW(A50))))&amp;"日",""), "")</f>
        <v/>
      </c>
      <c r="K357" s="77" t="str" cm="1">
        <f t="array" ref="K357">IFERROR(IF(INDEX(Kintoneデータ抽出!F:F, _xlfn.AGGREGATE(15, 6, ROW(Kintoneデータ抽出!$K$2:$K$5000) / ((Kintoneデータ抽出!$K$2:$K$5000="企業内")), ROW(A50)))&lt;&gt;"",
VLOOKUP(INDEX(Kintoneデータ抽出!F:F, _xlfn.AGGREGATE(15, 6, ROW(Kintoneデータ抽出!$K$2:$K$5000) / ((Kintoneデータ抽出!$K$2:$K$5000="企業内")), ROW(A50))),基本開園日の表記!$A$2:$B$13,2,FALSE),""), "")</f>
        <v/>
      </c>
      <c r="L357" s="75" t="str">
        <f t="array" ref="L357">IFERROR(IF(INDEX(Kintoneデータ抽出!F:F, _xlfn.AGGREGATE(15, 6, ROW(Kintoneデータ抽出!$K$2:$K$5000) / ((Kintoneデータ抽出!$K$2:$K$5000="企業内")), ROW(A50)))&lt;&gt;"",
IF(COUNTIF(INDEX(Kintoneデータ抽出!F:F, _xlfn.AGGREGATE(15, 6, ROW(Kintoneデータ抽出!$K$2:$K$5000) / ((Kintoneデータ抽出!$K$2:$K$5000="企業内")), ROW(A50))),"*あり*"),"夜間",""),""), "")</f>
        <v/>
      </c>
      <c r="M357" s="75" t="str">
        <f t="array" ref="M357">IFERROR(IF(INDEX(Kintoneデータ抽出!I:I, _xlfn.AGGREGATE(15, 6, ROW(Kintoneデータ抽出!$K$2:$K$5000) / ((Kintoneデータ抽出!$K$2:$K$5000="企業内")), ROW(A50)))&lt;&gt;"",
IF(COUNTIF(INDEX(Kintoneデータ抽出!I:I, _xlfn.AGGREGATE(15, 6, ROW(Kintoneデータ抽出!$K$2:$K$5000) / ((Kintoneデータ抽出!$K$2:$K$5000="企業内")), ROW(A50))),"*あり*"),"学童",""),""), "")</f>
        <v/>
      </c>
      <c r="N357" s="75" t="str">
        <f t="array" ref="N357">IFERROR(IF(INDEX(Kintoneデータ抽出!H:H, _xlfn.AGGREGATE(15, 6, ROW(Kintoneデータ抽出!$K$2:$K$5000) / ((Kintoneデータ抽出!$K$2:$K$5000="企業内")), ROW(A50)))&lt;&gt;"",
IF(COUNTIF(INDEX(Kintoneデータ抽出!H:H, _xlfn.AGGREGATE(15, 6, ROW(Kintoneデータ抽出!$K$2:$K$5000) / ((Kintoneデータ抽出!$K$2:$K$5000="企業内")), ROW(A50))),"*あり*"),"病児",""),""), "")</f>
        <v/>
      </c>
      <c r="O357" s="75" t="str" cm="1">
        <f t="array" ref="O357">IFERROR(
IF(INDEX(Kintoneデータ抽出!M:M, _xlfn.AGGREGATE(15, 6, ROW(Kintoneデータ抽出!$K$2:$K$5000) / ((Kintoneデータ抽出!$K$2:$K$5000="企業内")), ROW(A50)))&lt;&gt;0,INDEX(Kintoneデータ抽出!M:M, _xlfn.AGGREGATE(15, 6, ROW(Kintoneデータ抽出!$K$2:$K$5000) / ((Kintoneデータ抽出!$K$2:$K$5000="企業内")), ROW(A50))),""), "")</f>
        <v/>
      </c>
      <c r="P357" s="78" t="str">
        <f t="array" ref="P357">IFERROR(IF(INDEX(Kintoneデータ抽出!L:L, _xlfn.AGGREGATE(15, 6, ROW(Kintoneデータ抽出!$K$2:$K$5000) / ((Kintoneデータ抽出!$K$2:$K$5000="企業内")), ROW(A50)))&lt;&gt;"",
IF(COUNTIF(INDEX(Kintoneデータ抽出!L:L, _xlfn.AGGREGATE(15, 6, ROW(Kintoneデータ抽出!$K$2:$K$5000) / ((Kintoneデータ抽出!$K$2:$K$5000="企業内")), ROW(A50))),"*企業主導型以外*"),"",
IF(COUNTIF(INDEX(Kintoneデータ抽出!L:L, _xlfn.AGGREGATE(15, 6, ROW(Kintoneデータ抽出!$K$2:$K$5000) / ((Kintoneデータ抽出!$K$2:$K$5000="企業内")), ROW(A50))),"*その他*"),"",
IF(COUNTIF(INDEX(Kintoneデータ抽出!L:L, _xlfn.AGGREGATE(15, 6, ROW(Kintoneデータ抽出!$K$2:$K$5000) / ((Kintoneデータ抽出!$K$2:$K$5000="企業内")), ROW(A50))),"*新制度*"),"新制度","企業主導型"))),""), "")</f>
        <v/>
      </c>
      <c r="AI357" s="34"/>
    </row>
    <row r="358" spans="2:35" ht="34.799999999999997" customHeight="1" x14ac:dyDescent="0.45">
      <c r="B358" s="45"/>
      <c r="C358" s="46"/>
      <c r="D358" s="98" t="str">
        <f t="shared" si="7"/>
        <v/>
      </c>
      <c r="E358" s="99"/>
      <c r="F358" s="89" t="str">
        <f t="array" ref="F358">IFERROR(INDEX(Kintoneデータ抽出!A:A, _xlfn.AGGREGATE(15, 6, ROW(Kintoneデータ抽出!$K$2:$K$5000) / ((Kintoneデータ抽出!$K$2:$K$5000="企業内")), ROW(A51))), "")</f>
        <v/>
      </c>
      <c r="G358" s="90" t="str">
        <f t="array" ref="G358">IFERROR(INDEX(Kintoneデータ抽出!D:D,_xlfn.AGGREGATE(15,6,ROW(Kintoneデータ抽出!$K$2:$K$5000)/((Kintoneデータ抽出!$K$2:$K$5000="企業内")),ROW(A51))),"")</f>
        <v/>
      </c>
      <c r="H358" s="89" t="str">
        <f t="array" ref="H358">IFERROR(INDEX(Kintoneデータ抽出!C:C, _xlfn.AGGREGATE(15, 6, ROW(Kintoneデータ抽出!$K$2:$K$5000) / ((Kintoneデータ抽出!$K$2:$K$5000="企業内")), ROW(A51))), "")</f>
        <v/>
      </c>
      <c r="I358" s="75" t="str">
        <f t="array" ref="I358">IFERROR(IF(INDEX(Kintoneデータ抽出!G:G, _xlfn.AGGREGATE(15, 6, ROW(Kintoneデータ抽出!$K$2:$K$5000) / ((Kintoneデータ抽出!$K$2:$K$5000="企業内")), ROW(A51)))&lt;&gt;"",INDEX(Kintoneデータ抽出!G:G, _xlfn.AGGREGATE(15, 6, ROW(Kintoneデータ抽出!$K$2:$K$5000) / ((Kintoneデータ抽出!$K$2:$K$5000="企業内")), ROW(A51)))&amp;"名",""), "")</f>
        <v/>
      </c>
      <c r="J358" s="76" t="str">
        <f t="array" ref="J358">IFERROR(IF(INDEX(Kintoneデータ抽出!E:E, _xlfn.AGGREGATE(15, 6, ROW(Kintoneデータ抽出!$K$2:$K$5000) / ((Kintoneデータ抽出!$K$2:$K$5000="企業内")), ROW(A51)))&lt;&gt;"",
YEAR(INDEX(Kintoneデータ抽出!E:E, _xlfn.AGGREGATE(15, 6, ROW(Kintoneデータ抽出!$K$2:$K$5000) / ((Kintoneデータ抽出!$K$2:$K$5000="企業内")), ROW(A51))))&amp;"年"
&amp;MONTH(INDEX(Kintoneデータ抽出!E:E, _xlfn.AGGREGATE(15, 6, ROW(Kintoneデータ抽出!$K$2:$K$5000) / ((Kintoneデータ抽出!$K$2:$K$5000="企業内")), ROW(A51))))&amp;"月"
&amp;DAY(INDEX(Kintoneデータ抽出!E:E, _xlfn.AGGREGATE(15, 6, ROW(Kintoneデータ抽出!$K$2:$K$5000) /((Kintoneデータ抽出!$K$2:$K$5000="企業内")), ROW(A51))))&amp;"日",""), "")</f>
        <v/>
      </c>
      <c r="K358" s="77" t="str" cm="1">
        <f t="array" ref="K358">IFERROR(IF(INDEX(Kintoneデータ抽出!F:F, _xlfn.AGGREGATE(15, 6, ROW(Kintoneデータ抽出!$K$2:$K$5000) / ((Kintoneデータ抽出!$K$2:$K$5000="企業内")), ROW(A51)))&lt;&gt;"",
VLOOKUP(INDEX(Kintoneデータ抽出!F:F, _xlfn.AGGREGATE(15, 6, ROW(Kintoneデータ抽出!$K$2:$K$5000) / ((Kintoneデータ抽出!$K$2:$K$5000="企業内")), ROW(A51))),基本開園日の表記!$A$2:$B$13,2,FALSE),""), "")</f>
        <v/>
      </c>
      <c r="L358" s="75" t="str">
        <f t="array" ref="L358">IFERROR(IF(INDEX(Kintoneデータ抽出!F:F, _xlfn.AGGREGATE(15, 6, ROW(Kintoneデータ抽出!$K$2:$K$5000) / ((Kintoneデータ抽出!$K$2:$K$5000="企業内")), ROW(A51)))&lt;&gt;"",
IF(COUNTIF(INDEX(Kintoneデータ抽出!F:F, _xlfn.AGGREGATE(15, 6, ROW(Kintoneデータ抽出!$K$2:$K$5000) / ((Kintoneデータ抽出!$K$2:$K$5000="企業内")), ROW(A51))),"*あり*"),"夜間",""),""), "")</f>
        <v/>
      </c>
      <c r="M358" s="75" t="str">
        <f t="array" ref="M358">IFERROR(IF(INDEX(Kintoneデータ抽出!I:I, _xlfn.AGGREGATE(15, 6, ROW(Kintoneデータ抽出!$K$2:$K$5000) / ((Kintoneデータ抽出!$K$2:$K$5000="企業内")), ROW(A51)))&lt;&gt;"",
IF(COUNTIF(INDEX(Kintoneデータ抽出!I:I, _xlfn.AGGREGATE(15, 6, ROW(Kintoneデータ抽出!$K$2:$K$5000) / ((Kintoneデータ抽出!$K$2:$K$5000="企業内")), ROW(A51))),"*あり*"),"学童",""),""), "")</f>
        <v/>
      </c>
      <c r="N358" s="75" t="str">
        <f t="array" ref="N358">IFERROR(IF(INDEX(Kintoneデータ抽出!H:H, _xlfn.AGGREGATE(15, 6, ROW(Kintoneデータ抽出!$K$2:$K$5000) / ((Kintoneデータ抽出!$K$2:$K$5000="企業内")), ROW(A51)))&lt;&gt;"",
IF(COUNTIF(INDEX(Kintoneデータ抽出!H:H, _xlfn.AGGREGATE(15, 6, ROW(Kintoneデータ抽出!$K$2:$K$5000) / ((Kintoneデータ抽出!$K$2:$K$5000="企業内")), ROW(A51))),"*あり*"),"病児",""),""), "")</f>
        <v/>
      </c>
      <c r="O358" s="75" t="str" cm="1">
        <f t="array" ref="O358">IFERROR(
IF(INDEX(Kintoneデータ抽出!M:M, _xlfn.AGGREGATE(15, 6, ROW(Kintoneデータ抽出!$K$2:$K$5000) / ((Kintoneデータ抽出!$K$2:$K$5000="企業内")), ROW(A51)))&lt;&gt;0,INDEX(Kintoneデータ抽出!M:M, _xlfn.AGGREGATE(15, 6, ROW(Kintoneデータ抽出!$K$2:$K$5000) / ((Kintoneデータ抽出!$K$2:$K$5000="企業内")), ROW(A51))),""), "")</f>
        <v/>
      </c>
      <c r="P358" s="78" t="str">
        <f t="array" ref="P358">IFERROR(IF(INDEX(Kintoneデータ抽出!L:L, _xlfn.AGGREGATE(15, 6, ROW(Kintoneデータ抽出!$K$2:$K$5000) / ((Kintoneデータ抽出!$K$2:$K$5000="企業内")), ROW(A51)))&lt;&gt;"",
IF(COUNTIF(INDEX(Kintoneデータ抽出!L:L, _xlfn.AGGREGATE(15, 6, ROW(Kintoneデータ抽出!$K$2:$K$5000) / ((Kintoneデータ抽出!$K$2:$K$5000="企業内")), ROW(A51))),"*企業主導型以外*"),"",
IF(COUNTIF(INDEX(Kintoneデータ抽出!L:L, _xlfn.AGGREGATE(15, 6, ROW(Kintoneデータ抽出!$K$2:$K$5000) / ((Kintoneデータ抽出!$K$2:$K$5000="企業内")), ROW(A51))),"*その他*"),"",
IF(COUNTIF(INDEX(Kintoneデータ抽出!L:L, _xlfn.AGGREGATE(15, 6, ROW(Kintoneデータ抽出!$K$2:$K$5000) / ((Kintoneデータ抽出!$K$2:$K$5000="企業内")), ROW(A51))),"*新制度*"),"新制度","企業主導型"))),""), "")</f>
        <v/>
      </c>
    </row>
    <row r="359" spans="2:35" ht="34.799999999999997" customHeight="1" x14ac:dyDescent="0.45">
      <c r="B359" s="45"/>
      <c r="C359" s="46"/>
      <c r="D359" s="98" t="str">
        <f t="shared" si="7"/>
        <v/>
      </c>
      <c r="E359" s="99"/>
      <c r="F359" s="89" t="str">
        <f t="array" ref="F359">IFERROR(INDEX(Kintoneデータ抽出!A:A, _xlfn.AGGREGATE(15, 6, ROW(Kintoneデータ抽出!$K$2:$K$5000) / ((Kintoneデータ抽出!$K$2:$K$5000="企業内")), ROW(A52))), "")</f>
        <v/>
      </c>
      <c r="G359" s="90" t="str">
        <f t="array" ref="G359">IFERROR(INDEX(Kintoneデータ抽出!D:D,_xlfn.AGGREGATE(15,6,ROW(Kintoneデータ抽出!$K$2:$K$5000)/((Kintoneデータ抽出!$K$2:$K$5000="企業内")),ROW(A52))),"")</f>
        <v/>
      </c>
      <c r="H359" s="89" t="str">
        <f t="array" ref="H359">IFERROR(INDEX(Kintoneデータ抽出!C:C, _xlfn.AGGREGATE(15, 6, ROW(Kintoneデータ抽出!$K$2:$K$5000) / ((Kintoneデータ抽出!$K$2:$K$5000="企業内")), ROW(A52))), "")</f>
        <v/>
      </c>
      <c r="I359" s="75" t="str">
        <f t="array" ref="I359">IFERROR(IF(INDEX(Kintoneデータ抽出!G:G, _xlfn.AGGREGATE(15, 6, ROW(Kintoneデータ抽出!$K$2:$K$5000) / ((Kintoneデータ抽出!$K$2:$K$5000="企業内")), ROW(A52)))&lt;&gt;"",INDEX(Kintoneデータ抽出!G:G, _xlfn.AGGREGATE(15, 6, ROW(Kintoneデータ抽出!$K$2:$K$5000) / ((Kintoneデータ抽出!$K$2:$K$5000="企業内")), ROW(A52)))&amp;"名",""), "")</f>
        <v/>
      </c>
      <c r="J359" s="76" t="str">
        <f t="array" ref="J359">IFERROR(IF(INDEX(Kintoneデータ抽出!E:E, _xlfn.AGGREGATE(15, 6, ROW(Kintoneデータ抽出!$K$2:$K$5000) / ((Kintoneデータ抽出!$K$2:$K$5000="企業内")), ROW(A52)))&lt;&gt;"",
YEAR(INDEX(Kintoneデータ抽出!E:E, _xlfn.AGGREGATE(15, 6, ROW(Kintoneデータ抽出!$K$2:$K$5000) / ((Kintoneデータ抽出!$K$2:$K$5000="企業内")), ROW(A52))))&amp;"年"
&amp;MONTH(INDEX(Kintoneデータ抽出!E:E, _xlfn.AGGREGATE(15, 6, ROW(Kintoneデータ抽出!$K$2:$K$5000) / ((Kintoneデータ抽出!$K$2:$K$5000="企業内")), ROW(A52))))&amp;"月"
&amp;DAY(INDEX(Kintoneデータ抽出!E:E, _xlfn.AGGREGATE(15, 6, ROW(Kintoneデータ抽出!$K$2:$K$5000) /((Kintoneデータ抽出!$K$2:$K$5000="企業内")), ROW(A52))))&amp;"日",""), "")</f>
        <v/>
      </c>
      <c r="K359" s="77" t="str" cm="1">
        <f t="array" ref="K359">IFERROR(IF(INDEX(Kintoneデータ抽出!F:F, _xlfn.AGGREGATE(15, 6, ROW(Kintoneデータ抽出!$K$2:$K$5000) / ((Kintoneデータ抽出!$K$2:$K$5000="企業内")), ROW(A52)))&lt;&gt;"",
VLOOKUP(INDEX(Kintoneデータ抽出!F:F, _xlfn.AGGREGATE(15, 6, ROW(Kintoneデータ抽出!$K$2:$K$5000) / ((Kintoneデータ抽出!$K$2:$K$5000="企業内")), ROW(A52))),基本開園日の表記!$A$2:$B$13,2,FALSE),""), "")</f>
        <v/>
      </c>
      <c r="L359" s="75" t="str">
        <f t="array" ref="L359">IFERROR(IF(INDEX(Kintoneデータ抽出!F:F, _xlfn.AGGREGATE(15, 6, ROW(Kintoneデータ抽出!$K$2:$K$5000) / ((Kintoneデータ抽出!$K$2:$K$5000="企業内")), ROW(A52)))&lt;&gt;"",
IF(COUNTIF(INDEX(Kintoneデータ抽出!F:F, _xlfn.AGGREGATE(15, 6, ROW(Kintoneデータ抽出!$K$2:$K$5000) / ((Kintoneデータ抽出!$K$2:$K$5000="企業内")), ROW(A52))),"*あり*"),"夜間",""),""), "")</f>
        <v/>
      </c>
      <c r="M359" s="75" t="str">
        <f t="array" ref="M359">IFERROR(IF(INDEX(Kintoneデータ抽出!I:I, _xlfn.AGGREGATE(15, 6, ROW(Kintoneデータ抽出!$K$2:$K$5000) / ((Kintoneデータ抽出!$K$2:$K$5000="企業内")), ROW(A52)))&lt;&gt;"",
IF(COUNTIF(INDEX(Kintoneデータ抽出!I:I, _xlfn.AGGREGATE(15, 6, ROW(Kintoneデータ抽出!$K$2:$K$5000) / ((Kintoneデータ抽出!$K$2:$K$5000="企業内")), ROW(A52))),"*あり*"),"学童",""),""), "")</f>
        <v/>
      </c>
      <c r="N359" s="75" t="str">
        <f t="array" ref="N359">IFERROR(IF(INDEX(Kintoneデータ抽出!H:H, _xlfn.AGGREGATE(15, 6, ROW(Kintoneデータ抽出!$K$2:$K$5000) / ((Kintoneデータ抽出!$K$2:$K$5000="企業内")), ROW(A52)))&lt;&gt;"",
IF(COUNTIF(INDEX(Kintoneデータ抽出!H:H, _xlfn.AGGREGATE(15, 6, ROW(Kintoneデータ抽出!$K$2:$K$5000) / ((Kintoneデータ抽出!$K$2:$K$5000="企業内")), ROW(A52))),"*あり*"),"病児",""),""), "")</f>
        <v/>
      </c>
      <c r="O359" s="75" t="str" cm="1">
        <f t="array" ref="O359">IFERROR(
IF(INDEX(Kintoneデータ抽出!M:M, _xlfn.AGGREGATE(15, 6, ROW(Kintoneデータ抽出!$K$2:$K$5000) / ((Kintoneデータ抽出!$K$2:$K$5000="企業内")), ROW(A52)))&lt;&gt;0,INDEX(Kintoneデータ抽出!M:M, _xlfn.AGGREGATE(15, 6, ROW(Kintoneデータ抽出!$K$2:$K$5000) / ((Kintoneデータ抽出!$K$2:$K$5000="企業内")), ROW(A52))),""), "")</f>
        <v/>
      </c>
      <c r="P359" s="78" t="str">
        <f t="array" ref="P359">IFERROR(IF(INDEX(Kintoneデータ抽出!L:L, _xlfn.AGGREGATE(15, 6, ROW(Kintoneデータ抽出!$K$2:$K$5000) / ((Kintoneデータ抽出!$K$2:$K$5000="企業内")), ROW(A52)))&lt;&gt;"",
IF(COUNTIF(INDEX(Kintoneデータ抽出!L:L, _xlfn.AGGREGATE(15, 6, ROW(Kintoneデータ抽出!$K$2:$K$5000) / ((Kintoneデータ抽出!$K$2:$K$5000="企業内")), ROW(A52))),"*企業主導型以外*"),"",
IF(COUNTIF(INDEX(Kintoneデータ抽出!L:L, _xlfn.AGGREGATE(15, 6, ROW(Kintoneデータ抽出!$K$2:$K$5000) / ((Kintoneデータ抽出!$K$2:$K$5000="企業内")), ROW(A52))),"*その他*"),"",
IF(COUNTIF(INDEX(Kintoneデータ抽出!L:L, _xlfn.AGGREGATE(15, 6, ROW(Kintoneデータ抽出!$K$2:$K$5000) / ((Kintoneデータ抽出!$K$2:$K$5000="企業内")), ROW(A52))),"*新制度*"),"新制度","企業主導型"))),""), "")</f>
        <v/>
      </c>
    </row>
    <row r="360" spans="2:35" ht="34.799999999999997" customHeight="1" x14ac:dyDescent="0.45">
      <c r="B360" s="45"/>
      <c r="C360" s="46"/>
      <c r="D360" s="98" t="str">
        <f t="shared" si="7"/>
        <v/>
      </c>
      <c r="E360" s="99"/>
      <c r="F360" s="89" t="str">
        <f t="array" ref="F360">IFERROR(INDEX(Kintoneデータ抽出!A:A, _xlfn.AGGREGATE(15, 6, ROW(Kintoneデータ抽出!$K$2:$K$5000) / ((Kintoneデータ抽出!$K$2:$K$5000="企業内")), ROW(A53))), "")</f>
        <v/>
      </c>
      <c r="G360" s="90" t="str">
        <f t="array" ref="G360">IFERROR(INDEX(Kintoneデータ抽出!D:D,_xlfn.AGGREGATE(15,6,ROW(Kintoneデータ抽出!$K$2:$K$5000)/((Kintoneデータ抽出!$K$2:$K$5000="企業内")),ROW(A53))),"")</f>
        <v/>
      </c>
      <c r="H360" s="89" t="str">
        <f t="array" ref="H360">IFERROR(INDEX(Kintoneデータ抽出!C:C, _xlfn.AGGREGATE(15, 6, ROW(Kintoneデータ抽出!$K$2:$K$5000) / ((Kintoneデータ抽出!$K$2:$K$5000="企業内")), ROW(A53))), "")</f>
        <v/>
      </c>
      <c r="I360" s="75" t="str">
        <f t="array" ref="I360">IFERROR(IF(INDEX(Kintoneデータ抽出!G:G, _xlfn.AGGREGATE(15, 6, ROW(Kintoneデータ抽出!$K$2:$K$5000) / ((Kintoneデータ抽出!$K$2:$K$5000="企業内")), ROW(A53)))&lt;&gt;"",INDEX(Kintoneデータ抽出!G:G, _xlfn.AGGREGATE(15, 6, ROW(Kintoneデータ抽出!$K$2:$K$5000) / ((Kintoneデータ抽出!$K$2:$K$5000="企業内")), ROW(A53)))&amp;"名",""), "")</f>
        <v/>
      </c>
      <c r="J360" s="76" t="str">
        <f t="array" ref="J360">IFERROR(IF(INDEX(Kintoneデータ抽出!E:E, _xlfn.AGGREGATE(15, 6, ROW(Kintoneデータ抽出!$K$2:$K$5000) / ((Kintoneデータ抽出!$K$2:$K$5000="企業内")), ROW(A53)))&lt;&gt;"",
YEAR(INDEX(Kintoneデータ抽出!E:E, _xlfn.AGGREGATE(15, 6, ROW(Kintoneデータ抽出!$K$2:$K$5000) / ((Kintoneデータ抽出!$K$2:$K$5000="企業内")), ROW(A53))))&amp;"年"
&amp;MONTH(INDEX(Kintoneデータ抽出!E:E, _xlfn.AGGREGATE(15, 6, ROW(Kintoneデータ抽出!$K$2:$K$5000) / ((Kintoneデータ抽出!$K$2:$K$5000="企業内")), ROW(A53))))&amp;"月"
&amp;DAY(INDEX(Kintoneデータ抽出!E:E, _xlfn.AGGREGATE(15, 6, ROW(Kintoneデータ抽出!$K$2:$K$5000) /((Kintoneデータ抽出!$K$2:$K$5000="企業内")), ROW(A53))))&amp;"日",""), "")</f>
        <v/>
      </c>
      <c r="K360" s="77" t="str" cm="1">
        <f t="array" ref="K360">IFERROR(IF(INDEX(Kintoneデータ抽出!F:F, _xlfn.AGGREGATE(15, 6, ROW(Kintoneデータ抽出!$K$2:$K$5000) / ((Kintoneデータ抽出!$K$2:$K$5000="企業内")), ROW(A53)))&lt;&gt;"",
VLOOKUP(INDEX(Kintoneデータ抽出!F:F, _xlfn.AGGREGATE(15, 6, ROW(Kintoneデータ抽出!$K$2:$K$5000) / ((Kintoneデータ抽出!$K$2:$K$5000="企業内")), ROW(A53))),基本開園日の表記!$A$2:$B$13,2,FALSE),""), "")</f>
        <v/>
      </c>
      <c r="L360" s="75" t="str">
        <f t="array" ref="L360">IFERROR(IF(INDEX(Kintoneデータ抽出!F:F, _xlfn.AGGREGATE(15, 6, ROW(Kintoneデータ抽出!$K$2:$K$5000) / ((Kintoneデータ抽出!$K$2:$K$5000="企業内")), ROW(A53)))&lt;&gt;"",
IF(COUNTIF(INDEX(Kintoneデータ抽出!F:F, _xlfn.AGGREGATE(15, 6, ROW(Kintoneデータ抽出!$K$2:$K$5000) / ((Kintoneデータ抽出!$K$2:$K$5000="企業内")), ROW(A53))),"*あり*"),"夜間",""),""), "")</f>
        <v/>
      </c>
      <c r="M360" s="75" t="str">
        <f t="array" ref="M360">IFERROR(IF(INDEX(Kintoneデータ抽出!I:I, _xlfn.AGGREGATE(15, 6, ROW(Kintoneデータ抽出!$K$2:$K$5000) / ((Kintoneデータ抽出!$K$2:$K$5000="企業内")), ROW(A53)))&lt;&gt;"",
IF(COUNTIF(INDEX(Kintoneデータ抽出!I:I, _xlfn.AGGREGATE(15, 6, ROW(Kintoneデータ抽出!$K$2:$K$5000) / ((Kintoneデータ抽出!$K$2:$K$5000="企業内")), ROW(A53))),"*あり*"),"学童",""),""), "")</f>
        <v/>
      </c>
      <c r="N360" s="75" t="str">
        <f t="array" ref="N360">IFERROR(IF(INDEX(Kintoneデータ抽出!H:H, _xlfn.AGGREGATE(15, 6, ROW(Kintoneデータ抽出!$K$2:$K$5000) / ((Kintoneデータ抽出!$K$2:$K$5000="企業内")), ROW(A53)))&lt;&gt;"",
IF(COUNTIF(INDEX(Kintoneデータ抽出!H:H, _xlfn.AGGREGATE(15, 6, ROW(Kintoneデータ抽出!$K$2:$K$5000) / ((Kintoneデータ抽出!$K$2:$K$5000="企業内")), ROW(A53))),"*あり*"),"病児",""),""), "")</f>
        <v/>
      </c>
      <c r="O360" s="75" t="str" cm="1">
        <f t="array" ref="O360">IFERROR(
IF(INDEX(Kintoneデータ抽出!M:M, _xlfn.AGGREGATE(15, 6, ROW(Kintoneデータ抽出!$K$2:$K$5000) / ((Kintoneデータ抽出!$K$2:$K$5000="企業内")), ROW(A53)))&lt;&gt;0,INDEX(Kintoneデータ抽出!M:M, _xlfn.AGGREGATE(15, 6, ROW(Kintoneデータ抽出!$K$2:$K$5000) / ((Kintoneデータ抽出!$K$2:$K$5000="企業内")), ROW(A53))),""), "")</f>
        <v/>
      </c>
      <c r="P360" s="78" t="str">
        <f t="array" ref="P360">IFERROR(IF(INDEX(Kintoneデータ抽出!L:L, _xlfn.AGGREGATE(15, 6, ROW(Kintoneデータ抽出!$K$2:$K$5000) / ((Kintoneデータ抽出!$K$2:$K$5000="企業内")), ROW(A53)))&lt;&gt;"",
IF(COUNTIF(INDEX(Kintoneデータ抽出!L:L, _xlfn.AGGREGATE(15, 6, ROW(Kintoneデータ抽出!$K$2:$K$5000) / ((Kintoneデータ抽出!$K$2:$K$5000="企業内")), ROW(A53))),"*企業主導型以外*"),"",
IF(COUNTIF(INDEX(Kintoneデータ抽出!L:L, _xlfn.AGGREGATE(15, 6, ROW(Kintoneデータ抽出!$K$2:$K$5000) / ((Kintoneデータ抽出!$K$2:$K$5000="企業内")), ROW(A53))),"*その他*"),"",
IF(COUNTIF(INDEX(Kintoneデータ抽出!L:L, _xlfn.AGGREGATE(15, 6, ROW(Kintoneデータ抽出!$K$2:$K$5000) / ((Kintoneデータ抽出!$K$2:$K$5000="企業内")), ROW(A53))),"*新制度*"),"新制度","企業主導型"))),""), "")</f>
        <v/>
      </c>
    </row>
    <row r="361" spans="2:35" ht="34.799999999999997" customHeight="1" x14ac:dyDescent="0.45">
      <c r="B361" s="47"/>
      <c r="C361" s="48"/>
      <c r="D361" s="98" t="str">
        <f t="shared" si="7"/>
        <v/>
      </c>
      <c r="E361" s="99"/>
      <c r="F361" s="89" t="str">
        <f t="array" ref="F361">IFERROR(INDEX(Kintoneデータ抽出!A:A, _xlfn.AGGREGATE(15, 6, ROW(Kintoneデータ抽出!$K$2:$K$5000) / ((Kintoneデータ抽出!$K$2:$K$5000="企業内")), ROW(A54))), "")</f>
        <v/>
      </c>
      <c r="G361" s="90" t="str">
        <f t="array" ref="G361">IFERROR(INDEX(Kintoneデータ抽出!D:D,_xlfn.AGGREGATE(15,6,ROW(Kintoneデータ抽出!$K$2:$K$5000)/((Kintoneデータ抽出!$K$2:$K$5000="企業内")),ROW(A54))),"")</f>
        <v/>
      </c>
      <c r="H361" s="89" t="str">
        <f t="array" ref="H361">IFERROR(INDEX(Kintoneデータ抽出!C:C, _xlfn.AGGREGATE(15, 6, ROW(Kintoneデータ抽出!$K$2:$K$5000) / ((Kintoneデータ抽出!$K$2:$K$5000="企業内")), ROW(A54))), "")</f>
        <v/>
      </c>
      <c r="I361" s="75" t="str">
        <f t="array" ref="I361">IFERROR(IF(INDEX(Kintoneデータ抽出!G:G, _xlfn.AGGREGATE(15, 6, ROW(Kintoneデータ抽出!$K$2:$K$5000) / ((Kintoneデータ抽出!$K$2:$K$5000="企業内")), ROW(A54)))&lt;&gt;"",INDEX(Kintoneデータ抽出!G:G, _xlfn.AGGREGATE(15, 6, ROW(Kintoneデータ抽出!$K$2:$K$5000) / ((Kintoneデータ抽出!$K$2:$K$5000="企業内")), ROW(A54)))&amp;"名",""), "")</f>
        <v/>
      </c>
      <c r="J361" s="76" t="str">
        <f t="array" ref="J361">IFERROR(IF(INDEX(Kintoneデータ抽出!E:E, _xlfn.AGGREGATE(15, 6, ROW(Kintoneデータ抽出!$K$2:$K$5000) / ((Kintoneデータ抽出!$K$2:$K$5000="企業内")), ROW(A54)))&lt;&gt;"",
YEAR(INDEX(Kintoneデータ抽出!E:E, _xlfn.AGGREGATE(15, 6, ROW(Kintoneデータ抽出!$K$2:$K$5000) / ((Kintoneデータ抽出!$K$2:$K$5000="企業内")), ROW(A54))))&amp;"年"
&amp;MONTH(INDEX(Kintoneデータ抽出!E:E, _xlfn.AGGREGATE(15, 6, ROW(Kintoneデータ抽出!$K$2:$K$5000) / ((Kintoneデータ抽出!$K$2:$K$5000="企業内")), ROW(A54))))&amp;"月"
&amp;DAY(INDEX(Kintoneデータ抽出!E:E, _xlfn.AGGREGATE(15, 6, ROW(Kintoneデータ抽出!$K$2:$K$5000) /((Kintoneデータ抽出!$K$2:$K$5000="企業内")), ROW(A54))))&amp;"日",""), "")</f>
        <v/>
      </c>
      <c r="K361" s="77" t="str" cm="1">
        <f t="array" ref="K361">IFERROR(IF(INDEX(Kintoneデータ抽出!F:F, _xlfn.AGGREGATE(15, 6, ROW(Kintoneデータ抽出!$K$2:$K$5000) / ((Kintoneデータ抽出!$K$2:$K$5000="企業内")), ROW(A54)))&lt;&gt;"",
VLOOKUP(INDEX(Kintoneデータ抽出!F:F, _xlfn.AGGREGATE(15, 6, ROW(Kintoneデータ抽出!$K$2:$K$5000) / ((Kintoneデータ抽出!$K$2:$K$5000="企業内")), ROW(A54))),基本開園日の表記!$A$2:$B$13,2,FALSE),""), "")</f>
        <v/>
      </c>
      <c r="L361" s="75" t="str">
        <f t="array" ref="L361">IFERROR(IF(INDEX(Kintoneデータ抽出!F:F, _xlfn.AGGREGATE(15, 6, ROW(Kintoneデータ抽出!$K$2:$K$5000) / ((Kintoneデータ抽出!$K$2:$K$5000="企業内")), ROW(A54)))&lt;&gt;"",
IF(COUNTIF(INDEX(Kintoneデータ抽出!F:F, _xlfn.AGGREGATE(15, 6, ROW(Kintoneデータ抽出!$K$2:$K$5000) / ((Kintoneデータ抽出!$K$2:$K$5000="企業内")), ROW(A54))),"*あり*"),"夜間",""),""), "")</f>
        <v/>
      </c>
      <c r="M361" s="75" t="str">
        <f t="array" ref="M361">IFERROR(IF(INDEX(Kintoneデータ抽出!I:I, _xlfn.AGGREGATE(15, 6, ROW(Kintoneデータ抽出!$K$2:$K$5000) / ((Kintoneデータ抽出!$K$2:$K$5000="企業内")), ROW(A54)))&lt;&gt;"",
IF(COUNTIF(INDEX(Kintoneデータ抽出!I:I, _xlfn.AGGREGATE(15, 6, ROW(Kintoneデータ抽出!$K$2:$K$5000) / ((Kintoneデータ抽出!$K$2:$K$5000="企業内")), ROW(A54))),"*あり*"),"学童",""),""), "")</f>
        <v/>
      </c>
      <c r="N361" s="75" t="str">
        <f t="array" ref="N361">IFERROR(IF(INDEX(Kintoneデータ抽出!H:H, _xlfn.AGGREGATE(15, 6, ROW(Kintoneデータ抽出!$K$2:$K$5000) / ((Kintoneデータ抽出!$K$2:$K$5000="企業内")), ROW(A54)))&lt;&gt;"",
IF(COUNTIF(INDEX(Kintoneデータ抽出!H:H, _xlfn.AGGREGATE(15, 6, ROW(Kintoneデータ抽出!$K$2:$K$5000) / ((Kintoneデータ抽出!$K$2:$K$5000="企業内")), ROW(A54))),"*あり*"),"病児",""),""), "")</f>
        <v/>
      </c>
      <c r="O361" s="75" t="str" cm="1">
        <f t="array" ref="O361">IFERROR(
IF(INDEX(Kintoneデータ抽出!M:M, _xlfn.AGGREGATE(15, 6, ROW(Kintoneデータ抽出!$K$2:$K$5000) / ((Kintoneデータ抽出!$K$2:$K$5000="企業内")), ROW(A54)))&lt;&gt;0,INDEX(Kintoneデータ抽出!M:M, _xlfn.AGGREGATE(15, 6, ROW(Kintoneデータ抽出!$K$2:$K$5000) / ((Kintoneデータ抽出!$K$2:$K$5000="企業内")), ROW(A54))),""), "")</f>
        <v/>
      </c>
      <c r="P361" s="78" t="str">
        <f t="array" ref="P361">IFERROR(IF(INDEX(Kintoneデータ抽出!L:L, _xlfn.AGGREGATE(15, 6, ROW(Kintoneデータ抽出!$K$2:$K$5000) / ((Kintoneデータ抽出!$K$2:$K$5000="企業内")), ROW(A54)))&lt;&gt;"",
IF(COUNTIF(INDEX(Kintoneデータ抽出!L:L, _xlfn.AGGREGATE(15, 6, ROW(Kintoneデータ抽出!$K$2:$K$5000) / ((Kintoneデータ抽出!$K$2:$K$5000="企業内")), ROW(A54))),"*企業主導型以外*"),"",
IF(COUNTIF(INDEX(Kintoneデータ抽出!L:L, _xlfn.AGGREGATE(15, 6, ROW(Kintoneデータ抽出!$K$2:$K$5000) / ((Kintoneデータ抽出!$K$2:$K$5000="企業内")), ROW(A54))),"*その他*"),"",
IF(COUNTIF(INDEX(Kintoneデータ抽出!L:L, _xlfn.AGGREGATE(15, 6, ROW(Kintoneデータ抽出!$K$2:$K$5000) / ((Kintoneデータ抽出!$K$2:$K$5000="企業内")), ROW(A54))),"*新制度*"),"新制度","企業主導型"))),""), "")</f>
        <v/>
      </c>
    </row>
    <row r="362" spans="2:35" ht="34.799999999999997" customHeight="1" x14ac:dyDescent="0.45">
      <c r="B362" s="61" t="s">
        <v>49</v>
      </c>
      <c r="C362" s="50"/>
      <c r="D362" s="98" t="str">
        <f t="shared" si="7"/>
        <v/>
      </c>
      <c r="E362" s="99"/>
      <c r="F362" s="89" t="str">
        <f t="array" ref="F362">IFERROR(INDEX(Kintoneデータ抽出!A:A, _xlfn.AGGREGATE(15, 6, ROW(Kintoneデータ抽出!$K$2:$K$5000) / ((Kintoneデータ抽出!$K$2:$K$5000="企業内")), ROW(A55))), "")</f>
        <v/>
      </c>
      <c r="G362" s="90" t="str">
        <f t="array" ref="G362">IFERROR(INDEX(Kintoneデータ抽出!D:D,_xlfn.AGGREGATE(15,6,ROW(Kintoneデータ抽出!$K$2:$K$5000)/((Kintoneデータ抽出!$K$2:$K$5000="企業内")),ROW(A55))),"")</f>
        <v/>
      </c>
      <c r="H362" s="89" t="str">
        <f t="array" ref="H362">IFERROR(INDEX(Kintoneデータ抽出!C:C, _xlfn.AGGREGATE(15, 6, ROW(Kintoneデータ抽出!$K$2:$K$5000) / ((Kintoneデータ抽出!$K$2:$K$5000="企業内")), ROW(A55))), "")</f>
        <v/>
      </c>
      <c r="I362" s="75" t="str">
        <f t="array" ref="I362">IFERROR(IF(INDEX(Kintoneデータ抽出!G:G, _xlfn.AGGREGATE(15, 6, ROW(Kintoneデータ抽出!$K$2:$K$5000) / ((Kintoneデータ抽出!$K$2:$K$5000="企業内")), ROW(A55)))&lt;&gt;"",INDEX(Kintoneデータ抽出!G:G, _xlfn.AGGREGATE(15, 6, ROW(Kintoneデータ抽出!$K$2:$K$5000) / ((Kintoneデータ抽出!$K$2:$K$5000="企業内")), ROW(A55)))&amp;"名",""), "")</f>
        <v/>
      </c>
      <c r="J362" s="76" t="str">
        <f t="array" ref="J362">IFERROR(IF(INDEX(Kintoneデータ抽出!E:E, _xlfn.AGGREGATE(15, 6, ROW(Kintoneデータ抽出!$K$2:$K$5000) / ((Kintoneデータ抽出!$K$2:$K$5000="企業内")), ROW(A55)))&lt;&gt;"",
YEAR(INDEX(Kintoneデータ抽出!E:E, _xlfn.AGGREGATE(15, 6, ROW(Kintoneデータ抽出!$K$2:$K$5000) / ((Kintoneデータ抽出!$K$2:$K$5000="企業内")), ROW(A55))))&amp;"年"
&amp;MONTH(INDEX(Kintoneデータ抽出!E:E, _xlfn.AGGREGATE(15, 6, ROW(Kintoneデータ抽出!$K$2:$K$5000) / ((Kintoneデータ抽出!$K$2:$K$5000="企業内")), ROW(A55))))&amp;"月"
&amp;DAY(INDEX(Kintoneデータ抽出!E:E, _xlfn.AGGREGATE(15, 6, ROW(Kintoneデータ抽出!$K$2:$K$5000) /((Kintoneデータ抽出!$K$2:$K$5000="企業内")), ROW(A55))))&amp;"日",""), "")</f>
        <v/>
      </c>
      <c r="K362" s="77" t="str" cm="1">
        <f t="array" ref="K362">IFERROR(IF(INDEX(Kintoneデータ抽出!F:F, _xlfn.AGGREGATE(15, 6, ROW(Kintoneデータ抽出!$K$2:$K$5000) / ((Kintoneデータ抽出!$K$2:$K$5000="企業内")), ROW(A55)))&lt;&gt;"",
VLOOKUP(INDEX(Kintoneデータ抽出!F:F, _xlfn.AGGREGATE(15, 6, ROW(Kintoneデータ抽出!$K$2:$K$5000) / ((Kintoneデータ抽出!$K$2:$K$5000="企業内")), ROW(A55))),基本開園日の表記!$A$2:$B$13,2,FALSE),""), "")</f>
        <v/>
      </c>
      <c r="L362" s="75" t="str">
        <f t="array" ref="L362">IFERROR(IF(INDEX(Kintoneデータ抽出!F:F, _xlfn.AGGREGATE(15, 6, ROW(Kintoneデータ抽出!$K$2:$K$5000) / ((Kintoneデータ抽出!$K$2:$K$5000="企業内")), ROW(A55)))&lt;&gt;"",
IF(COUNTIF(INDEX(Kintoneデータ抽出!F:F, _xlfn.AGGREGATE(15, 6, ROW(Kintoneデータ抽出!$K$2:$K$5000) / ((Kintoneデータ抽出!$K$2:$K$5000="企業内")), ROW(A55))),"*あり*"),"夜間",""),""), "")</f>
        <v/>
      </c>
      <c r="M362" s="75" t="str">
        <f t="array" ref="M362">IFERROR(IF(INDEX(Kintoneデータ抽出!I:I, _xlfn.AGGREGATE(15, 6, ROW(Kintoneデータ抽出!$K$2:$K$5000) / ((Kintoneデータ抽出!$K$2:$K$5000="企業内")), ROW(A55)))&lt;&gt;"",
IF(COUNTIF(INDEX(Kintoneデータ抽出!I:I, _xlfn.AGGREGATE(15, 6, ROW(Kintoneデータ抽出!$K$2:$K$5000) / ((Kintoneデータ抽出!$K$2:$K$5000="企業内")), ROW(A55))),"*あり*"),"学童",""),""), "")</f>
        <v/>
      </c>
      <c r="N362" s="75" t="str">
        <f t="array" ref="N362">IFERROR(IF(INDEX(Kintoneデータ抽出!H:H, _xlfn.AGGREGATE(15, 6, ROW(Kintoneデータ抽出!$K$2:$K$5000) / ((Kintoneデータ抽出!$K$2:$K$5000="企業内")), ROW(A55)))&lt;&gt;"",
IF(COUNTIF(INDEX(Kintoneデータ抽出!H:H, _xlfn.AGGREGATE(15, 6, ROW(Kintoneデータ抽出!$K$2:$K$5000) / ((Kintoneデータ抽出!$K$2:$K$5000="企業内")), ROW(A55))),"*あり*"),"病児",""),""), "")</f>
        <v/>
      </c>
      <c r="O362" s="75" t="str" cm="1">
        <f t="array" ref="O362">IFERROR(
IF(INDEX(Kintoneデータ抽出!M:M, _xlfn.AGGREGATE(15, 6, ROW(Kintoneデータ抽出!$K$2:$K$5000) / ((Kintoneデータ抽出!$K$2:$K$5000="企業内")), ROW(A55)))&lt;&gt;0,INDEX(Kintoneデータ抽出!M:M, _xlfn.AGGREGATE(15, 6, ROW(Kintoneデータ抽出!$K$2:$K$5000) / ((Kintoneデータ抽出!$K$2:$K$5000="企業内")), ROW(A55))),""), "")</f>
        <v/>
      </c>
      <c r="P362" s="78" t="str">
        <f t="array" ref="P362">IFERROR(IF(INDEX(Kintoneデータ抽出!L:L, _xlfn.AGGREGATE(15, 6, ROW(Kintoneデータ抽出!$K$2:$K$5000) / ((Kintoneデータ抽出!$K$2:$K$5000="企業内")), ROW(A55)))&lt;&gt;"",
IF(COUNTIF(INDEX(Kintoneデータ抽出!L:L, _xlfn.AGGREGATE(15, 6, ROW(Kintoneデータ抽出!$K$2:$K$5000) / ((Kintoneデータ抽出!$K$2:$K$5000="企業内")), ROW(A55))),"*企業主導型以外*"),"",
IF(COUNTIF(INDEX(Kintoneデータ抽出!L:L, _xlfn.AGGREGATE(15, 6, ROW(Kintoneデータ抽出!$K$2:$K$5000) / ((Kintoneデータ抽出!$K$2:$K$5000="企業内")), ROW(A55))),"*その他*"),"",
IF(COUNTIF(INDEX(Kintoneデータ抽出!L:L, _xlfn.AGGREGATE(15, 6, ROW(Kintoneデータ抽出!$K$2:$K$5000) / ((Kintoneデータ抽出!$K$2:$K$5000="企業内")), ROW(A55))),"*新制度*"),"新制度","企業主導型"))),""), "")</f>
        <v/>
      </c>
    </row>
    <row r="363" spans="2:35" ht="34.799999999999997" customHeight="1" x14ac:dyDescent="0.45">
      <c r="B363" s="45"/>
      <c r="C363" s="46"/>
      <c r="D363" s="98" t="str">
        <f t="shared" si="7"/>
        <v/>
      </c>
      <c r="E363" s="99"/>
      <c r="F363" s="89" t="str">
        <f t="array" ref="F363">IFERROR(INDEX(Kintoneデータ抽出!A:A, _xlfn.AGGREGATE(15, 6, ROW(Kintoneデータ抽出!$K$2:$K$5000) / ((Kintoneデータ抽出!$K$2:$K$5000="企業内")), ROW(A56))), "")</f>
        <v/>
      </c>
      <c r="G363" s="90" t="str">
        <f t="array" ref="G363">IFERROR(INDEX(Kintoneデータ抽出!D:D,_xlfn.AGGREGATE(15,6,ROW(Kintoneデータ抽出!$K$2:$K$5000)/((Kintoneデータ抽出!$K$2:$K$5000="企業内")),ROW(A56))),"")</f>
        <v/>
      </c>
      <c r="H363" s="89" t="str">
        <f t="array" ref="H363">IFERROR(INDEX(Kintoneデータ抽出!C:C, _xlfn.AGGREGATE(15, 6, ROW(Kintoneデータ抽出!$K$2:$K$5000) / ((Kintoneデータ抽出!$K$2:$K$5000="企業内")), ROW(A56))), "")</f>
        <v/>
      </c>
      <c r="I363" s="75" t="str">
        <f t="array" ref="I363">IFERROR(IF(INDEX(Kintoneデータ抽出!G:G, _xlfn.AGGREGATE(15, 6, ROW(Kintoneデータ抽出!$K$2:$K$5000) / ((Kintoneデータ抽出!$K$2:$K$5000="企業内")), ROW(A56)))&lt;&gt;"",INDEX(Kintoneデータ抽出!G:G, _xlfn.AGGREGATE(15, 6, ROW(Kintoneデータ抽出!$K$2:$K$5000) / ((Kintoneデータ抽出!$K$2:$K$5000="企業内")), ROW(A56)))&amp;"名",""), "")</f>
        <v/>
      </c>
      <c r="J363" s="76" t="str">
        <f t="array" ref="J363">IFERROR(IF(INDEX(Kintoneデータ抽出!E:E, _xlfn.AGGREGATE(15, 6, ROW(Kintoneデータ抽出!$K$2:$K$5000) / ((Kintoneデータ抽出!$K$2:$K$5000="企業内")), ROW(A56)))&lt;&gt;"",
YEAR(INDEX(Kintoneデータ抽出!E:E, _xlfn.AGGREGATE(15, 6, ROW(Kintoneデータ抽出!$K$2:$K$5000) / ((Kintoneデータ抽出!$K$2:$K$5000="企業内")), ROW(A56))))&amp;"年"
&amp;MONTH(INDEX(Kintoneデータ抽出!E:E, _xlfn.AGGREGATE(15, 6, ROW(Kintoneデータ抽出!$K$2:$K$5000) / ((Kintoneデータ抽出!$K$2:$K$5000="企業内")), ROW(A56))))&amp;"月"
&amp;DAY(INDEX(Kintoneデータ抽出!E:E, _xlfn.AGGREGATE(15, 6, ROW(Kintoneデータ抽出!$K$2:$K$5000) /((Kintoneデータ抽出!$K$2:$K$5000="企業内")), ROW(A56))))&amp;"日",""), "")</f>
        <v/>
      </c>
      <c r="K363" s="77" t="str" cm="1">
        <f t="array" ref="K363">IFERROR(IF(INDEX(Kintoneデータ抽出!F:F, _xlfn.AGGREGATE(15, 6, ROW(Kintoneデータ抽出!$K$2:$K$5000) / ((Kintoneデータ抽出!$K$2:$K$5000="企業内")), ROW(A56)))&lt;&gt;"",
VLOOKUP(INDEX(Kintoneデータ抽出!F:F, _xlfn.AGGREGATE(15, 6, ROW(Kintoneデータ抽出!$K$2:$K$5000) / ((Kintoneデータ抽出!$K$2:$K$5000="企業内")), ROW(A56))),基本開園日の表記!$A$2:$B$13,2,FALSE),""), "")</f>
        <v/>
      </c>
      <c r="L363" s="75" t="str">
        <f t="array" ref="L363">IFERROR(IF(INDEX(Kintoneデータ抽出!F:F, _xlfn.AGGREGATE(15, 6, ROW(Kintoneデータ抽出!$K$2:$K$5000) / ((Kintoneデータ抽出!$K$2:$K$5000="企業内")), ROW(A56)))&lt;&gt;"",
IF(COUNTIF(INDEX(Kintoneデータ抽出!F:F, _xlfn.AGGREGATE(15, 6, ROW(Kintoneデータ抽出!$K$2:$K$5000) / ((Kintoneデータ抽出!$K$2:$K$5000="企業内")), ROW(A56))),"*あり*"),"夜間",""),""), "")</f>
        <v/>
      </c>
      <c r="M363" s="75" t="str">
        <f t="array" ref="M363">IFERROR(IF(INDEX(Kintoneデータ抽出!I:I, _xlfn.AGGREGATE(15, 6, ROW(Kintoneデータ抽出!$K$2:$K$5000) / ((Kintoneデータ抽出!$K$2:$K$5000="企業内")), ROW(A56)))&lt;&gt;"",
IF(COUNTIF(INDEX(Kintoneデータ抽出!I:I, _xlfn.AGGREGATE(15, 6, ROW(Kintoneデータ抽出!$K$2:$K$5000) / ((Kintoneデータ抽出!$K$2:$K$5000="企業内")), ROW(A56))),"*あり*"),"学童",""),""), "")</f>
        <v/>
      </c>
      <c r="N363" s="75" t="str">
        <f t="array" ref="N363">IFERROR(IF(INDEX(Kintoneデータ抽出!H:H, _xlfn.AGGREGATE(15, 6, ROW(Kintoneデータ抽出!$K$2:$K$5000) / ((Kintoneデータ抽出!$K$2:$K$5000="企業内")), ROW(A56)))&lt;&gt;"",
IF(COUNTIF(INDEX(Kintoneデータ抽出!H:H, _xlfn.AGGREGATE(15, 6, ROW(Kintoneデータ抽出!$K$2:$K$5000) / ((Kintoneデータ抽出!$K$2:$K$5000="企業内")), ROW(A56))),"*あり*"),"病児",""),""), "")</f>
        <v/>
      </c>
      <c r="O363" s="75" t="str" cm="1">
        <f t="array" ref="O363">IFERROR(
IF(INDEX(Kintoneデータ抽出!M:M, _xlfn.AGGREGATE(15, 6, ROW(Kintoneデータ抽出!$K$2:$K$5000) / ((Kintoneデータ抽出!$K$2:$K$5000="企業内")), ROW(A56)))&lt;&gt;0,INDEX(Kintoneデータ抽出!M:M, _xlfn.AGGREGATE(15, 6, ROW(Kintoneデータ抽出!$K$2:$K$5000) / ((Kintoneデータ抽出!$K$2:$K$5000="企業内")), ROW(A56))),""), "")</f>
        <v/>
      </c>
      <c r="P363" s="78" t="str">
        <f t="array" ref="P363">IFERROR(IF(INDEX(Kintoneデータ抽出!L:L, _xlfn.AGGREGATE(15, 6, ROW(Kintoneデータ抽出!$K$2:$K$5000) / ((Kintoneデータ抽出!$K$2:$K$5000="企業内")), ROW(A56)))&lt;&gt;"",
IF(COUNTIF(INDEX(Kintoneデータ抽出!L:L, _xlfn.AGGREGATE(15, 6, ROW(Kintoneデータ抽出!$K$2:$K$5000) / ((Kintoneデータ抽出!$K$2:$K$5000="企業内")), ROW(A56))),"*企業主導型以外*"),"",
IF(COUNTIF(INDEX(Kintoneデータ抽出!L:L, _xlfn.AGGREGATE(15, 6, ROW(Kintoneデータ抽出!$K$2:$K$5000) / ((Kintoneデータ抽出!$K$2:$K$5000="企業内")), ROW(A56))),"*その他*"),"",
IF(COUNTIF(INDEX(Kintoneデータ抽出!L:L, _xlfn.AGGREGATE(15, 6, ROW(Kintoneデータ抽出!$K$2:$K$5000) / ((Kintoneデータ抽出!$K$2:$K$5000="企業内")), ROW(A56))),"*新制度*"),"新制度","企業主導型"))),""), "")</f>
        <v/>
      </c>
    </row>
    <row r="364" spans="2:35" ht="34.799999999999997" customHeight="1" x14ac:dyDescent="0.45">
      <c r="B364" s="45"/>
      <c r="C364" s="46"/>
      <c r="D364" s="98" t="str">
        <f t="shared" si="7"/>
        <v/>
      </c>
      <c r="E364" s="99"/>
      <c r="F364" s="89" t="str">
        <f t="array" ref="F364">IFERROR(INDEX(Kintoneデータ抽出!A:A, _xlfn.AGGREGATE(15, 6, ROW(Kintoneデータ抽出!$K$2:$K$5000) / ((Kintoneデータ抽出!$K$2:$K$5000="企業内")), ROW(A57))), "")</f>
        <v/>
      </c>
      <c r="G364" s="90" t="str">
        <f t="array" ref="G364">IFERROR(INDEX(Kintoneデータ抽出!D:D,_xlfn.AGGREGATE(15,6,ROW(Kintoneデータ抽出!$K$2:$K$5000)/((Kintoneデータ抽出!$K$2:$K$5000="企業内")),ROW(A57))),"")</f>
        <v/>
      </c>
      <c r="H364" s="89" t="str">
        <f t="array" ref="H364">IFERROR(INDEX(Kintoneデータ抽出!C:C, _xlfn.AGGREGATE(15, 6, ROW(Kintoneデータ抽出!$K$2:$K$5000) / ((Kintoneデータ抽出!$K$2:$K$5000="企業内")), ROW(A57))), "")</f>
        <v/>
      </c>
      <c r="I364" s="75" t="str">
        <f t="array" ref="I364">IFERROR(IF(INDEX(Kintoneデータ抽出!G:G, _xlfn.AGGREGATE(15, 6, ROW(Kintoneデータ抽出!$K$2:$K$5000) / ((Kintoneデータ抽出!$K$2:$K$5000="企業内")), ROW(A57)))&lt;&gt;"",INDEX(Kintoneデータ抽出!G:G, _xlfn.AGGREGATE(15, 6, ROW(Kintoneデータ抽出!$K$2:$K$5000) / ((Kintoneデータ抽出!$K$2:$K$5000="企業内")), ROW(A57)))&amp;"名",""), "")</f>
        <v/>
      </c>
      <c r="J364" s="76" t="str">
        <f t="array" ref="J364">IFERROR(IF(INDEX(Kintoneデータ抽出!E:E, _xlfn.AGGREGATE(15, 6, ROW(Kintoneデータ抽出!$K$2:$K$5000) / ((Kintoneデータ抽出!$K$2:$K$5000="企業内")), ROW(A57)))&lt;&gt;"",
YEAR(INDEX(Kintoneデータ抽出!E:E, _xlfn.AGGREGATE(15, 6, ROW(Kintoneデータ抽出!$K$2:$K$5000) / ((Kintoneデータ抽出!$K$2:$K$5000="企業内")), ROW(A57))))&amp;"年"
&amp;MONTH(INDEX(Kintoneデータ抽出!E:E, _xlfn.AGGREGATE(15, 6, ROW(Kintoneデータ抽出!$K$2:$K$5000) / ((Kintoneデータ抽出!$K$2:$K$5000="企業内")), ROW(A57))))&amp;"月"
&amp;DAY(INDEX(Kintoneデータ抽出!E:E, _xlfn.AGGREGATE(15, 6, ROW(Kintoneデータ抽出!$K$2:$K$5000) /((Kintoneデータ抽出!$K$2:$K$5000="企業内")), ROW(A57))))&amp;"日",""), "")</f>
        <v/>
      </c>
      <c r="K364" s="77" t="str" cm="1">
        <f t="array" ref="K364">IFERROR(IF(INDEX(Kintoneデータ抽出!F:F, _xlfn.AGGREGATE(15, 6, ROW(Kintoneデータ抽出!$K$2:$K$5000) / ((Kintoneデータ抽出!$K$2:$K$5000="企業内")), ROW(A57)))&lt;&gt;"",
VLOOKUP(INDEX(Kintoneデータ抽出!F:F, _xlfn.AGGREGATE(15, 6, ROW(Kintoneデータ抽出!$K$2:$K$5000) / ((Kintoneデータ抽出!$K$2:$K$5000="企業内")), ROW(A57))),基本開園日の表記!$A$2:$B$13,2,FALSE),""), "")</f>
        <v/>
      </c>
      <c r="L364" s="75" t="str">
        <f t="array" ref="L364">IFERROR(IF(INDEX(Kintoneデータ抽出!F:F, _xlfn.AGGREGATE(15, 6, ROW(Kintoneデータ抽出!$K$2:$K$5000) / ((Kintoneデータ抽出!$K$2:$K$5000="企業内")), ROW(A57)))&lt;&gt;"",
IF(COUNTIF(INDEX(Kintoneデータ抽出!F:F, _xlfn.AGGREGATE(15, 6, ROW(Kintoneデータ抽出!$K$2:$K$5000) / ((Kintoneデータ抽出!$K$2:$K$5000="企業内")), ROW(A57))),"*あり*"),"夜間",""),""), "")</f>
        <v/>
      </c>
      <c r="M364" s="75" t="str">
        <f t="array" ref="M364">IFERROR(IF(INDEX(Kintoneデータ抽出!I:I, _xlfn.AGGREGATE(15, 6, ROW(Kintoneデータ抽出!$K$2:$K$5000) / ((Kintoneデータ抽出!$K$2:$K$5000="企業内")), ROW(A57)))&lt;&gt;"",
IF(COUNTIF(INDEX(Kintoneデータ抽出!I:I, _xlfn.AGGREGATE(15, 6, ROW(Kintoneデータ抽出!$K$2:$K$5000) / ((Kintoneデータ抽出!$K$2:$K$5000="企業内")), ROW(A57))),"*あり*"),"学童",""),""), "")</f>
        <v/>
      </c>
      <c r="N364" s="75" t="str">
        <f t="array" ref="N364">IFERROR(IF(INDEX(Kintoneデータ抽出!H:H, _xlfn.AGGREGATE(15, 6, ROW(Kintoneデータ抽出!$K$2:$K$5000) / ((Kintoneデータ抽出!$K$2:$K$5000="企業内")), ROW(A57)))&lt;&gt;"",
IF(COUNTIF(INDEX(Kintoneデータ抽出!H:H, _xlfn.AGGREGATE(15, 6, ROW(Kintoneデータ抽出!$K$2:$K$5000) / ((Kintoneデータ抽出!$K$2:$K$5000="企業内")), ROW(A57))),"*あり*"),"病児",""),""), "")</f>
        <v/>
      </c>
      <c r="O364" s="75" t="str" cm="1">
        <f t="array" ref="O364">IFERROR(
IF(INDEX(Kintoneデータ抽出!M:M, _xlfn.AGGREGATE(15, 6, ROW(Kintoneデータ抽出!$K$2:$K$5000) / ((Kintoneデータ抽出!$K$2:$K$5000="企業内")), ROW(A57)))&lt;&gt;0,INDEX(Kintoneデータ抽出!M:M, _xlfn.AGGREGATE(15, 6, ROW(Kintoneデータ抽出!$K$2:$K$5000) / ((Kintoneデータ抽出!$K$2:$K$5000="企業内")), ROW(A57))),""), "")</f>
        <v/>
      </c>
      <c r="P364" s="78" t="str">
        <f t="array" ref="P364">IFERROR(IF(INDEX(Kintoneデータ抽出!L:L, _xlfn.AGGREGATE(15, 6, ROW(Kintoneデータ抽出!$K$2:$K$5000) / ((Kintoneデータ抽出!$K$2:$K$5000="企業内")), ROW(A57)))&lt;&gt;"",
IF(COUNTIF(INDEX(Kintoneデータ抽出!L:L, _xlfn.AGGREGATE(15, 6, ROW(Kintoneデータ抽出!$K$2:$K$5000) / ((Kintoneデータ抽出!$K$2:$K$5000="企業内")), ROW(A57))),"*企業主導型以外*"),"",
IF(COUNTIF(INDEX(Kintoneデータ抽出!L:L, _xlfn.AGGREGATE(15, 6, ROW(Kintoneデータ抽出!$K$2:$K$5000) / ((Kintoneデータ抽出!$K$2:$K$5000="企業内")), ROW(A57))),"*その他*"),"",
IF(COUNTIF(INDEX(Kintoneデータ抽出!L:L, _xlfn.AGGREGATE(15, 6, ROW(Kintoneデータ抽出!$K$2:$K$5000) / ((Kintoneデータ抽出!$K$2:$K$5000="企業内")), ROW(A57))),"*新制度*"),"新制度","企業主導型"))),""), "")</f>
        <v/>
      </c>
    </row>
    <row r="365" spans="2:35" ht="34.799999999999997" customHeight="1" x14ac:dyDescent="0.45">
      <c r="B365" s="45"/>
      <c r="C365" s="46"/>
      <c r="D365" s="98" t="str">
        <f t="shared" si="7"/>
        <v/>
      </c>
      <c r="E365" s="99"/>
      <c r="F365" s="89" t="str">
        <f t="array" ref="F365">IFERROR(INDEX(Kintoneデータ抽出!A:A, _xlfn.AGGREGATE(15, 6, ROW(Kintoneデータ抽出!$K$2:$K$5000) / ((Kintoneデータ抽出!$K$2:$K$5000="企業内")), ROW(A58))), "")</f>
        <v/>
      </c>
      <c r="G365" s="90" t="str">
        <f t="array" ref="G365">IFERROR(INDEX(Kintoneデータ抽出!D:D,_xlfn.AGGREGATE(15,6,ROW(Kintoneデータ抽出!$K$2:$K$5000)/((Kintoneデータ抽出!$K$2:$K$5000="企業内")),ROW(A58))),"")</f>
        <v/>
      </c>
      <c r="H365" s="89" t="str">
        <f t="array" ref="H365">IFERROR(INDEX(Kintoneデータ抽出!C:C, _xlfn.AGGREGATE(15, 6, ROW(Kintoneデータ抽出!$K$2:$K$5000) / ((Kintoneデータ抽出!$K$2:$K$5000="企業内")), ROW(A58))), "")</f>
        <v/>
      </c>
      <c r="I365" s="75" t="str">
        <f t="array" ref="I365">IFERROR(IF(INDEX(Kintoneデータ抽出!G:G, _xlfn.AGGREGATE(15, 6, ROW(Kintoneデータ抽出!$K$2:$K$5000) / ((Kintoneデータ抽出!$K$2:$K$5000="企業内")), ROW(A58)))&lt;&gt;"",INDEX(Kintoneデータ抽出!G:G, _xlfn.AGGREGATE(15, 6, ROW(Kintoneデータ抽出!$K$2:$K$5000) / ((Kintoneデータ抽出!$K$2:$K$5000="企業内")), ROW(A58)))&amp;"名",""), "")</f>
        <v/>
      </c>
      <c r="J365" s="76" t="str">
        <f t="array" ref="J365">IFERROR(IF(INDEX(Kintoneデータ抽出!E:E, _xlfn.AGGREGATE(15, 6, ROW(Kintoneデータ抽出!$K$2:$K$5000) / ((Kintoneデータ抽出!$K$2:$K$5000="企業内")), ROW(A58)))&lt;&gt;"",
YEAR(INDEX(Kintoneデータ抽出!E:E, _xlfn.AGGREGATE(15, 6, ROW(Kintoneデータ抽出!$K$2:$K$5000) / ((Kintoneデータ抽出!$K$2:$K$5000="企業内")), ROW(A58))))&amp;"年"
&amp;MONTH(INDEX(Kintoneデータ抽出!E:E, _xlfn.AGGREGATE(15, 6, ROW(Kintoneデータ抽出!$K$2:$K$5000) / ((Kintoneデータ抽出!$K$2:$K$5000="企業内")), ROW(A58))))&amp;"月"
&amp;DAY(INDEX(Kintoneデータ抽出!E:E, _xlfn.AGGREGATE(15, 6, ROW(Kintoneデータ抽出!$K$2:$K$5000) /((Kintoneデータ抽出!$K$2:$K$5000="企業内")), ROW(A58))))&amp;"日",""), "")</f>
        <v/>
      </c>
      <c r="K365" s="77" t="str" cm="1">
        <f t="array" ref="K365">IFERROR(IF(INDEX(Kintoneデータ抽出!F:F, _xlfn.AGGREGATE(15, 6, ROW(Kintoneデータ抽出!$K$2:$K$5000) / ((Kintoneデータ抽出!$K$2:$K$5000="企業内")), ROW(A58)))&lt;&gt;"",
VLOOKUP(INDEX(Kintoneデータ抽出!F:F, _xlfn.AGGREGATE(15, 6, ROW(Kintoneデータ抽出!$K$2:$K$5000) / ((Kintoneデータ抽出!$K$2:$K$5000="企業内")), ROW(A58))),基本開園日の表記!$A$2:$B$13,2,FALSE),""), "")</f>
        <v/>
      </c>
      <c r="L365" s="75" t="str">
        <f t="array" ref="L365">IFERROR(IF(INDEX(Kintoneデータ抽出!F:F, _xlfn.AGGREGATE(15, 6, ROW(Kintoneデータ抽出!$K$2:$K$5000) / ((Kintoneデータ抽出!$K$2:$K$5000="企業内")), ROW(A58)))&lt;&gt;"",
IF(COUNTIF(INDEX(Kintoneデータ抽出!F:F, _xlfn.AGGREGATE(15, 6, ROW(Kintoneデータ抽出!$K$2:$K$5000) / ((Kintoneデータ抽出!$K$2:$K$5000="企業内")), ROW(A58))),"*あり*"),"夜間",""),""), "")</f>
        <v/>
      </c>
      <c r="M365" s="75" t="str">
        <f t="array" ref="M365">IFERROR(IF(INDEX(Kintoneデータ抽出!I:I, _xlfn.AGGREGATE(15, 6, ROW(Kintoneデータ抽出!$K$2:$K$5000) / ((Kintoneデータ抽出!$K$2:$K$5000="企業内")), ROW(A58)))&lt;&gt;"",
IF(COUNTIF(INDEX(Kintoneデータ抽出!I:I, _xlfn.AGGREGATE(15, 6, ROW(Kintoneデータ抽出!$K$2:$K$5000) / ((Kintoneデータ抽出!$K$2:$K$5000="企業内")), ROW(A58))),"*あり*"),"学童",""),""), "")</f>
        <v/>
      </c>
      <c r="N365" s="75" t="str">
        <f t="array" ref="N365">IFERROR(IF(INDEX(Kintoneデータ抽出!H:H, _xlfn.AGGREGATE(15, 6, ROW(Kintoneデータ抽出!$K$2:$K$5000) / ((Kintoneデータ抽出!$K$2:$K$5000="企業内")), ROW(A58)))&lt;&gt;"",
IF(COUNTIF(INDEX(Kintoneデータ抽出!H:H, _xlfn.AGGREGATE(15, 6, ROW(Kintoneデータ抽出!$K$2:$K$5000) / ((Kintoneデータ抽出!$K$2:$K$5000="企業内")), ROW(A58))),"*あり*"),"病児",""),""), "")</f>
        <v/>
      </c>
      <c r="O365" s="75" t="str" cm="1">
        <f t="array" ref="O365">IFERROR(
IF(INDEX(Kintoneデータ抽出!M:M, _xlfn.AGGREGATE(15, 6, ROW(Kintoneデータ抽出!$K$2:$K$5000) / ((Kintoneデータ抽出!$K$2:$K$5000="企業内")), ROW(A58)))&lt;&gt;0,INDEX(Kintoneデータ抽出!M:M, _xlfn.AGGREGATE(15, 6, ROW(Kintoneデータ抽出!$K$2:$K$5000) / ((Kintoneデータ抽出!$K$2:$K$5000="企業内")), ROW(A58))),""), "")</f>
        <v/>
      </c>
      <c r="P365" s="78" t="str">
        <f t="array" ref="P365">IFERROR(IF(INDEX(Kintoneデータ抽出!L:L, _xlfn.AGGREGATE(15, 6, ROW(Kintoneデータ抽出!$K$2:$K$5000) / ((Kintoneデータ抽出!$K$2:$K$5000="企業内")), ROW(A58)))&lt;&gt;"",
IF(COUNTIF(INDEX(Kintoneデータ抽出!L:L, _xlfn.AGGREGATE(15, 6, ROW(Kintoneデータ抽出!$K$2:$K$5000) / ((Kintoneデータ抽出!$K$2:$K$5000="企業内")), ROW(A58))),"*企業主導型以外*"),"",
IF(COUNTIF(INDEX(Kintoneデータ抽出!L:L, _xlfn.AGGREGATE(15, 6, ROW(Kintoneデータ抽出!$K$2:$K$5000) / ((Kintoneデータ抽出!$K$2:$K$5000="企業内")), ROW(A58))),"*その他*"),"",
IF(COUNTIF(INDEX(Kintoneデータ抽出!L:L, _xlfn.AGGREGATE(15, 6, ROW(Kintoneデータ抽出!$K$2:$K$5000) / ((Kintoneデータ抽出!$K$2:$K$5000="企業内")), ROW(A58))),"*新制度*"),"新制度","企業主導型"))),""), "")</f>
        <v/>
      </c>
    </row>
    <row r="366" spans="2:35" ht="34.799999999999997" customHeight="1" x14ac:dyDescent="0.45">
      <c r="B366" s="47"/>
      <c r="C366" s="48"/>
      <c r="D366" s="98" t="str">
        <f t="shared" si="7"/>
        <v/>
      </c>
      <c r="E366" s="99"/>
      <c r="F366" s="89" t="str">
        <f t="array" ref="F366">IFERROR(INDEX(Kintoneデータ抽出!A:A, _xlfn.AGGREGATE(15, 6, ROW(Kintoneデータ抽出!$K$2:$K$5000) / ((Kintoneデータ抽出!$K$2:$K$5000="企業内")), ROW(A59))), "")</f>
        <v/>
      </c>
      <c r="G366" s="90" t="str">
        <f t="array" ref="G366">IFERROR(INDEX(Kintoneデータ抽出!D:D,_xlfn.AGGREGATE(15,6,ROW(Kintoneデータ抽出!$K$2:$K$5000)/((Kintoneデータ抽出!$K$2:$K$5000="企業内")),ROW(A59))),"")</f>
        <v/>
      </c>
      <c r="H366" s="89" t="str">
        <f t="array" ref="H366">IFERROR(INDEX(Kintoneデータ抽出!C:C, _xlfn.AGGREGATE(15, 6, ROW(Kintoneデータ抽出!$K$2:$K$5000) / ((Kintoneデータ抽出!$K$2:$K$5000="企業内")), ROW(A59))), "")</f>
        <v/>
      </c>
      <c r="I366" s="75" t="str">
        <f t="array" ref="I366">IFERROR(IF(INDEX(Kintoneデータ抽出!G:G, _xlfn.AGGREGATE(15, 6, ROW(Kintoneデータ抽出!$K$2:$K$5000) / ((Kintoneデータ抽出!$K$2:$K$5000="企業内")), ROW(A59)))&lt;&gt;"",INDEX(Kintoneデータ抽出!G:G, _xlfn.AGGREGATE(15, 6, ROW(Kintoneデータ抽出!$K$2:$K$5000) / ((Kintoneデータ抽出!$K$2:$K$5000="企業内")), ROW(A59)))&amp;"名",""), "")</f>
        <v/>
      </c>
      <c r="J366" s="76" t="str">
        <f t="array" ref="J366">IFERROR(IF(INDEX(Kintoneデータ抽出!E:E, _xlfn.AGGREGATE(15, 6, ROW(Kintoneデータ抽出!$K$2:$K$5000) / ((Kintoneデータ抽出!$K$2:$K$5000="企業内")), ROW(A59)))&lt;&gt;"",
YEAR(INDEX(Kintoneデータ抽出!E:E, _xlfn.AGGREGATE(15, 6, ROW(Kintoneデータ抽出!$K$2:$K$5000) / ((Kintoneデータ抽出!$K$2:$K$5000="企業内")), ROW(A59))))&amp;"年"
&amp;MONTH(INDEX(Kintoneデータ抽出!E:E, _xlfn.AGGREGATE(15, 6, ROW(Kintoneデータ抽出!$K$2:$K$5000) / ((Kintoneデータ抽出!$K$2:$K$5000="企業内")), ROW(A59))))&amp;"月"
&amp;DAY(INDEX(Kintoneデータ抽出!E:E, _xlfn.AGGREGATE(15, 6, ROW(Kintoneデータ抽出!$K$2:$K$5000) /((Kintoneデータ抽出!$K$2:$K$5000="企業内")), ROW(A59))))&amp;"日",""), "")</f>
        <v/>
      </c>
      <c r="K366" s="77" t="str" cm="1">
        <f t="array" ref="K366">IFERROR(IF(INDEX(Kintoneデータ抽出!F:F, _xlfn.AGGREGATE(15, 6, ROW(Kintoneデータ抽出!$K$2:$K$5000) / ((Kintoneデータ抽出!$K$2:$K$5000="企業内")), ROW(A59)))&lt;&gt;"",
VLOOKUP(INDEX(Kintoneデータ抽出!F:F, _xlfn.AGGREGATE(15, 6, ROW(Kintoneデータ抽出!$K$2:$K$5000) / ((Kintoneデータ抽出!$K$2:$K$5000="企業内")), ROW(A59))),基本開園日の表記!$A$2:$B$13,2,FALSE),""), "")</f>
        <v/>
      </c>
      <c r="L366" s="75" t="str">
        <f t="array" ref="L366">IFERROR(IF(INDEX(Kintoneデータ抽出!F:F, _xlfn.AGGREGATE(15, 6, ROW(Kintoneデータ抽出!$K$2:$K$5000) / ((Kintoneデータ抽出!$K$2:$K$5000="企業内")), ROW(A59)))&lt;&gt;"",
IF(COUNTIF(INDEX(Kintoneデータ抽出!F:F, _xlfn.AGGREGATE(15, 6, ROW(Kintoneデータ抽出!$K$2:$K$5000) / ((Kintoneデータ抽出!$K$2:$K$5000="企業内")), ROW(A59))),"*あり*"),"夜間",""),""), "")</f>
        <v/>
      </c>
      <c r="M366" s="75" t="str">
        <f t="array" ref="M366">IFERROR(IF(INDEX(Kintoneデータ抽出!I:I, _xlfn.AGGREGATE(15, 6, ROW(Kintoneデータ抽出!$K$2:$K$5000) / ((Kintoneデータ抽出!$K$2:$K$5000="企業内")), ROW(A59)))&lt;&gt;"",
IF(COUNTIF(INDEX(Kintoneデータ抽出!I:I, _xlfn.AGGREGATE(15, 6, ROW(Kintoneデータ抽出!$K$2:$K$5000) / ((Kintoneデータ抽出!$K$2:$K$5000="企業内")), ROW(A59))),"*あり*"),"学童",""),""), "")</f>
        <v/>
      </c>
      <c r="N366" s="75" t="str">
        <f t="array" ref="N366">IFERROR(IF(INDEX(Kintoneデータ抽出!H:H, _xlfn.AGGREGATE(15, 6, ROW(Kintoneデータ抽出!$K$2:$K$5000) / ((Kintoneデータ抽出!$K$2:$K$5000="企業内")), ROW(A59)))&lt;&gt;"",
IF(COUNTIF(INDEX(Kintoneデータ抽出!H:H, _xlfn.AGGREGATE(15, 6, ROW(Kintoneデータ抽出!$K$2:$K$5000) / ((Kintoneデータ抽出!$K$2:$K$5000="企業内")), ROW(A59))),"*あり*"),"病児",""),""), "")</f>
        <v/>
      </c>
      <c r="O366" s="75" t="str" cm="1">
        <f t="array" ref="O366">IFERROR(
IF(INDEX(Kintoneデータ抽出!M:M, _xlfn.AGGREGATE(15, 6, ROW(Kintoneデータ抽出!$K$2:$K$5000) / ((Kintoneデータ抽出!$K$2:$K$5000="企業内")), ROW(A59)))&lt;&gt;0,INDEX(Kintoneデータ抽出!M:M, _xlfn.AGGREGATE(15, 6, ROW(Kintoneデータ抽出!$K$2:$K$5000) / ((Kintoneデータ抽出!$K$2:$K$5000="企業内")), ROW(A59))),""), "")</f>
        <v/>
      </c>
      <c r="P366" s="78" t="str">
        <f t="array" ref="P366">IFERROR(IF(INDEX(Kintoneデータ抽出!L:L, _xlfn.AGGREGATE(15, 6, ROW(Kintoneデータ抽出!$K$2:$K$5000) / ((Kintoneデータ抽出!$K$2:$K$5000="企業内")), ROW(A59)))&lt;&gt;"",
IF(COUNTIF(INDEX(Kintoneデータ抽出!L:L, _xlfn.AGGREGATE(15, 6, ROW(Kintoneデータ抽出!$K$2:$K$5000) / ((Kintoneデータ抽出!$K$2:$K$5000="企業内")), ROW(A59))),"*企業主導型以外*"),"",
IF(COUNTIF(INDEX(Kintoneデータ抽出!L:L, _xlfn.AGGREGATE(15, 6, ROW(Kintoneデータ抽出!$K$2:$K$5000) / ((Kintoneデータ抽出!$K$2:$K$5000="企業内")), ROW(A59))),"*その他*"),"",
IF(COUNTIF(INDEX(Kintoneデータ抽出!L:L, _xlfn.AGGREGATE(15, 6, ROW(Kintoneデータ抽出!$K$2:$K$5000) / ((Kintoneデータ抽出!$K$2:$K$5000="企業内")), ROW(A59))),"*新制度*"),"新制度","企業主導型"))),""), "")</f>
        <v/>
      </c>
    </row>
    <row r="367" spans="2:35" ht="34.799999999999997" customHeight="1" x14ac:dyDescent="0.45">
      <c r="B367" s="65" t="s">
        <v>44</v>
      </c>
      <c r="C367" s="50"/>
      <c r="D367" s="98" t="str">
        <f t="shared" si="7"/>
        <v/>
      </c>
      <c r="E367" s="99"/>
      <c r="F367" s="89" t="str">
        <f t="array" ref="F367">IFERROR(INDEX(Kintoneデータ抽出!A:A, _xlfn.AGGREGATE(15, 6, ROW(Kintoneデータ抽出!$K$2:$K$5000) / ((Kintoneデータ抽出!$K$2:$K$5000="企業内")), ROW(A60))), "")</f>
        <v/>
      </c>
      <c r="G367" s="90" t="str">
        <f t="array" ref="G367">IFERROR(INDEX(Kintoneデータ抽出!D:D,_xlfn.AGGREGATE(15,6,ROW(Kintoneデータ抽出!$K$2:$K$5000)/((Kintoneデータ抽出!$K$2:$K$5000="企業内")),ROW(A60))),"")</f>
        <v/>
      </c>
      <c r="H367" s="89" t="str">
        <f t="array" ref="H367">IFERROR(INDEX(Kintoneデータ抽出!C:C, _xlfn.AGGREGATE(15, 6, ROW(Kintoneデータ抽出!$K$2:$K$5000) / ((Kintoneデータ抽出!$K$2:$K$5000="企業内")), ROW(A60))), "")</f>
        <v/>
      </c>
      <c r="I367" s="75" t="str">
        <f t="array" ref="I367">IFERROR(IF(INDEX(Kintoneデータ抽出!G:G, _xlfn.AGGREGATE(15, 6, ROW(Kintoneデータ抽出!$K$2:$K$5000) / ((Kintoneデータ抽出!$K$2:$K$5000="企業内")), ROW(A60)))&lt;&gt;"",INDEX(Kintoneデータ抽出!G:G, _xlfn.AGGREGATE(15, 6, ROW(Kintoneデータ抽出!$K$2:$K$5000) / ((Kintoneデータ抽出!$K$2:$K$5000="企業内")), ROW(A60)))&amp;"名",""), "")</f>
        <v/>
      </c>
      <c r="J367" s="76" t="str">
        <f t="array" ref="J367">IFERROR(IF(INDEX(Kintoneデータ抽出!E:E, _xlfn.AGGREGATE(15, 6, ROW(Kintoneデータ抽出!$K$2:$K$5000) / ((Kintoneデータ抽出!$K$2:$K$5000="企業内")), ROW(A60)))&lt;&gt;"",
YEAR(INDEX(Kintoneデータ抽出!E:E, _xlfn.AGGREGATE(15, 6, ROW(Kintoneデータ抽出!$K$2:$K$5000) / ((Kintoneデータ抽出!$K$2:$K$5000="企業内")), ROW(A60))))&amp;"年"
&amp;MONTH(INDEX(Kintoneデータ抽出!E:E, _xlfn.AGGREGATE(15, 6, ROW(Kintoneデータ抽出!$K$2:$K$5000) / ((Kintoneデータ抽出!$K$2:$K$5000="企業内")), ROW(A60))))&amp;"月"
&amp;DAY(INDEX(Kintoneデータ抽出!E:E, _xlfn.AGGREGATE(15, 6, ROW(Kintoneデータ抽出!$K$2:$K$5000) /((Kintoneデータ抽出!$K$2:$K$5000="企業内")), ROW(A60))))&amp;"日",""), "")</f>
        <v/>
      </c>
      <c r="K367" s="77" t="str" cm="1">
        <f t="array" ref="K367">IFERROR(IF(INDEX(Kintoneデータ抽出!F:F, _xlfn.AGGREGATE(15, 6, ROW(Kintoneデータ抽出!$K$2:$K$5000) / ((Kintoneデータ抽出!$K$2:$K$5000="企業内")), ROW(A60)))&lt;&gt;"",
VLOOKUP(INDEX(Kintoneデータ抽出!F:F, _xlfn.AGGREGATE(15, 6, ROW(Kintoneデータ抽出!$K$2:$K$5000) / ((Kintoneデータ抽出!$K$2:$K$5000="企業内")), ROW(A60))),基本開園日の表記!$A$2:$B$13,2,FALSE),""), "")</f>
        <v/>
      </c>
      <c r="L367" s="75" t="str">
        <f t="array" ref="L367">IFERROR(IF(INDEX(Kintoneデータ抽出!F:F, _xlfn.AGGREGATE(15, 6, ROW(Kintoneデータ抽出!$K$2:$K$5000) / ((Kintoneデータ抽出!$K$2:$K$5000="企業内")), ROW(A60)))&lt;&gt;"",
IF(COUNTIF(INDEX(Kintoneデータ抽出!F:F, _xlfn.AGGREGATE(15, 6, ROW(Kintoneデータ抽出!$K$2:$K$5000) / ((Kintoneデータ抽出!$K$2:$K$5000="企業内")), ROW(A60))),"*あり*"),"夜間",""),""), "")</f>
        <v/>
      </c>
      <c r="M367" s="75" t="str">
        <f t="array" ref="M367">IFERROR(IF(INDEX(Kintoneデータ抽出!I:I, _xlfn.AGGREGATE(15, 6, ROW(Kintoneデータ抽出!$K$2:$K$5000) / ((Kintoneデータ抽出!$K$2:$K$5000="企業内")), ROW(A60)))&lt;&gt;"",
IF(COUNTIF(INDEX(Kintoneデータ抽出!I:I, _xlfn.AGGREGATE(15, 6, ROW(Kintoneデータ抽出!$K$2:$K$5000) / ((Kintoneデータ抽出!$K$2:$K$5000="企業内")), ROW(A60))),"*あり*"),"学童",""),""), "")</f>
        <v/>
      </c>
      <c r="N367" s="75" t="str">
        <f t="array" ref="N367">IFERROR(IF(INDEX(Kintoneデータ抽出!H:H, _xlfn.AGGREGATE(15, 6, ROW(Kintoneデータ抽出!$K$2:$K$5000) / ((Kintoneデータ抽出!$K$2:$K$5000="企業内")), ROW(A60)))&lt;&gt;"",
IF(COUNTIF(INDEX(Kintoneデータ抽出!H:H, _xlfn.AGGREGATE(15, 6, ROW(Kintoneデータ抽出!$K$2:$K$5000) / ((Kintoneデータ抽出!$K$2:$K$5000="企業内")), ROW(A60))),"*あり*"),"病児",""),""), "")</f>
        <v/>
      </c>
      <c r="O367" s="75" t="str" cm="1">
        <f t="array" ref="O367">IFERROR(
IF(INDEX(Kintoneデータ抽出!M:M, _xlfn.AGGREGATE(15, 6, ROW(Kintoneデータ抽出!$K$2:$K$5000) / ((Kintoneデータ抽出!$K$2:$K$5000="企業内")), ROW(A60)))&lt;&gt;0,INDEX(Kintoneデータ抽出!M:M, _xlfn.AGGREGATE(15, 6, ROW(Kintoneデータ抽出!$K$2:$K$5000) / ((Kintoneデータ抽出!$K$2:$K$5000="企業内")), ROW(A60))),""), "")</f>
        <v/>
      </c>
      <c r="P367" s="78" t="str">
        <f t="array" ref="P367">IFERROR(IF(INDEX(Kintoneデータ抽出!L:L, _xlfn.AGGREGATE(15, 6, ROW(Kintoneデータ抽出!$K$2:$K$5000) / ((Kintoneデータ抽出!$K$2:$K$5000="企業内")), ROW(A60)))&lt;&gt;"",
IF(COUNTIF(INDEX(Kintoneデータ抽出!L:L, _xlfn.AGGREGATE(15, 6, ROW(Kintoneデータ抽出!$K$2:$K$5000) / ((Kintoneデータ抽出!$K$2:$K$5000="企業内")), ROW(A60))),"*企業主導型以外*"),"",
IF(COUNTIF(INDEX(Kintoneデータ抽出!L:L, _xlfn.AGGREGATE(15, 6, ROW(Kintoneデータ抽出!$K$2:$K$5000) / ((Kintoneデータ抽出!$K$2:$K$5000="企業内")), ROW(A60))),"*その他*"),"",
IF(COUNTIF(INDEX(Kintoneデータ抽出!L:L, _xlfn.AGGREGATE(15, 6, ROW(Kintoneデータ抽出!$K$2:$K$5000) / ((Kintoneデータ抽出!$K$2:$K$5000="企業内")), ROW(A60))),"*新制度*"),"新制度","企業主導型"))),""), "")</f>
        <v/>
      </c>
    </row>
    <row r="368" spans="2:35" ht="36" customHeight="1" x14ac:dyDescent="0.45">
      <c r="B368" s="45"/>
      <c r="C368" s="46"/>
      <c r="D368" s="98" t="str">
        <f t="shared" si="7"/>
        <v/>
      </c>
      <c r="E368" s="99"/>
      <c r="F368" s="89" t="str">
        <f t="array" ref="F368">IFERROR(INDEX(Kintoneデータ抽出!A:A, _xlfn.AGGREGATE(15, 6, ROW(Kintoneデータ抽出!$K$2:$K$5000) / ((Kintoneデータ抽出!$K$2:$K$5000="企業内")), ROW(A61))), "")</f>
        <v/>
      </c>
      <c r="G368" s="90" t="str">
        <f t="array" ref="G368">IFERROR(INDEX(Kintoneデータ抽出!D:D,_xlfn.AGGREGATE(15,6,ROW(Kintoneデータ抽出!$K$2:$K$5000)/((Kintoneデータ抽出!$K$2:$K$5000="企業内")),ROW(A61))),"")</f>
        <v/>
      </c>
      <c r="H368" s="89" t="str">
        <f t="array" ref="H368">IFERROR(INDEX(Kintoneデータ抽出!C:C, _xlfn.AGGREGATE(15, 6, ROW(Kintoneデータ抽出!$K$2:$K$5000) / ((Kintoneデータ抽出!$K$2:$K$5000="企業内")), ROW(A61))), "")</f>
        <v/>
      </c>
      <c r="I368" s="75" t="str">
        <f t="array" ref="I368">IFERROR(IF(INDEX(Kintoneデータ抽出!G:G, _xlfn.AGGREGATE(15, 6, ROW(Kintoneデータ抽出!$K$2:$K$5000) / ((Kintoneデータ抽出!$K$2:$K$5000="企業内")), ROW(A61)))&lt;&gt;"",INDEX(Kintoneデータ抽出!G:G, _xlfn.AGGREGATE(15, 6, ROW(Kintoneデータ抽出!$K$2:$K$5000) / ((Kintoneデータ抽出!$K$2:$K$5000="企業内")), ROW(A61)))&amp;"名",""), "")</f>
        <v/>
      </c>
      <c r="J368" s="76" t="str">
        <f t="array" ref="J368">IFERROR(IF(INDEX(Kintoneデータ抽出!E:E, _xlfn.AGGREGATE(15, 6, ROW(Kintoneデータ抽出!$K$2:$K$5000) / ((Kintoneデータ抽出!$K$2:$K$5000="企業内")), ROW(A61)))&lt;&gt;"",
YEAR(INDEX(Kintoneデータ抽出!E:E, _xlfn.AGGREGATE(15, 6, ROW(Kintoneデータ抽出!$K$2:$K$5000) / ((Kintoneデータ抽出!$K$2:$K$5000="企業内")), ROW(A61))))&amp;"年"
&amp;MONTH(INDEX(Kintoneデータ抽出!E:E, _xlfn.AGGREGATE(15, 6, ROW(Kintoneデータ抽出!$K$2:$K$5000) / ((Kintoneデータ抽出!$K$2:$K$5000="企業内")), ROW(A61))))&amp;"月"
&amp;DAY(INDEX(Kintoneデータ抽出!E:E, _xlfn.AGGREGATE(15, 6, ROW(Kintoneデータ抽出!$K$2:$K$5000) /((Kintoneデータ抽出!$K$2:$K$5000="企業内")), ROW(A61))))&amp;"日",""), "")</f>
        <v/>
      </c>
      <c r="K368" s="77" t="str" cm="1">
        <f t="array" ref="K368">IFERROR(IF(INDEX(Kintoneデータ抽出!F:F, _xlfn.AGGREGATE(15, 6, ROW(Kintoneデータ抽出!$K$2:$K$5000) / ((Kintoneデータ抽出!$K$2:$K$5000="企業内")), ROW(A61)))&lt;&gt;"",
VLOOKUP(INDEX(Kintoneデータ抽出!F:F, _xlfn.AGGREGATE(15, 6, ROW(Kintoneデータ抽出!$K$2:$K$5000) / ((Kintoneデータ抽出!$K$2:$K$5000="企業内")), ROW(A61))),基本開園日の表記!$A$2:$B$13,2,FALSE),""), "")</f>
        <v/>
      </c>
      <c r="L368" s="75" t="str">
        <f t="array" ref="L368">IFERROR(IF(INDEX(Kintoneデータ抽出!F:F, _xlfn.AGGREGATE(15, 6, ROW(Kintoneデータ抽出!$K$2:$K$5000) / ((Kintoneデータ抽出!$K$2:$K$5000="企業内")), ROW(A61)))&lt;&gt;"",
IF(COUNTIF(INDEX(Kintoneデータ抽出!F:F, _xlfn.AGGREGATE(15, 6, ROW(Kintoneデータ抽出!$K$2:$K$5000) / ((Kintoneデータ抽出!$K$2:$K$5000="企業内")), ROW(A61))),"*あり*"),"夜間",""),""), "")</f>
        <v/>
      </c>
      <c r="M368" s="75" t="str">
        <f t="array" ref="M368">IFERROR(IF(INDEX(Kintoneデータ抽出!I:I, _xlfn.AGGREGATE(15, 6, ROW(Kintoneデータ抽出!$K$2:$K$5000) / ((Kintoneデータ抽出!$K$2:$K$5000="企業内")), ROW(A61)))&lt;&gt;"",
IF(COUNTIF(INDEX(Kintoneデータ抽出!I:I, _xlfn.AGGREGATE(15, 6, ROW(Kintoneデータ抽出!$K$2:$K$5000) / ((Kintoneデータ抽出!$K$2:$K$5000="企業内")), ROW(A61))),"*あり*"),"学童",""),""), "")</f>
        <v/>
      </c>
      <c r="N368" s="75" t="str">
        <f t="array" ref="N368">IFERROR(IF(INDEX(Kintoneデータ抽出!H:H, _xlfn.AGGREGATE(15, 6, ROW(Kintoneデータ抽出!$K$2:$K$5000) / ((Kintoneデータ抽出!$K$2:$K$5000="企業内")), ROW(A61)))&lt;&gt;"",
IF(COUNTIF(INDEX(Kintoneデータ抽出!H:H, _xlfn.AGGREGATE(15, 6, ROW(Kintoneデータ抽出!$K$2:$K$5000) / ((Kintoneデータ抽出!$K$2:$K$5000="企業内")), ROW(A61))),"*あり*"),"病児",""),""), "")</f>
        <v/>
      </c>
      <c r="O368" s="75" t="str" cm="1">
        <f t="array" ref="O368">IFERROR(
IF(INDEX(Kintoneデータ抽出!M:M, _xlfn.AGGREGATE(15, 6, ROW(Kintoneデータ抽出!$K$2:$K$5000) / ((Kintoneデータ抽出!$K$2:$K$5000="企業内")), ROW(A61)))&lt;&gt;0,INDEX(Kintoneデータ抽出!M:M, _xlfn.AGGREGATE(15, 6, ROW(Kintoneデータ抽出!$K$2:$K$5000) / ((Kintoneデータ抽出!$K$2:$K$5000="企業内")), ROW(A61))),""), "")</f>
        <v/>
      </c>
      <c r="P368" s="78" t="str">
        <f t="array" ref="P368">IFERROR(IF(INDEX(Kintoneデータ抽出!L:L, _xlfn.AGGREGATE(15, 6, ROW(Kintoneデータ抽出!$K$2:$K$5000) / ((Kintoneデータ抽出!$K$2:$K$5000="企業内")), ROW(A61)))&lt;&gt;"",
IF(COUNTIF(INDEX(Kintoneデータ抽出!L:L, _xlfn.AGGREGATE(15, 6, ROW(Kintoneデータ抽出!$K$2:$K$5000) / ((Kintoneデータ抽出!$K$2:$K$5000="企業内")), ROW(A61))),"*企業主導型以外*"),"",
IF(COUNTIF(INDEX(Kintoneデータ抽出!L:L, _xlfn.AGGREGATE(15, 6, ROW(Kintoneデータ抽出!$K$2:$K$5000) / ((Kintoneデータ抽出!$K$2:$K$5000="企業内")), ROW(A61))),"*その他*"),"",
IF(COUNTIF(INDEX(Kintoneデータ抽出!L:L, _xlfn.AGGREGATE(15, 6, ROW(Kintoneデータ抽出!$K$2:$K$5000) / ((Kintoneデータ抽出!$K$2:$K$5000="企業内")), ROW(A61))),"*新制度*"),"新制度","企業主導型"))),""), "")</f>
        <v/>
      </c>
    </row>
    <row r="369" spans="2:16" ht="36" customHeight="1" x14ac:dyDescent="0.45">
      <c r="B369" s="45"/>
      <c r="C369" s="46"/>
      <c r="D369" s="98" t="str">
        <f t="shared" si="7"/>
        <v/>
      </c>
      <c r="E369" s="99"/>
      <c r="F369" s="89" t="str">
        <f t="array" ref="F369">IFERROR(INDEX(Kintoneデータ抽出!A:A, _xlfn.AGGREGATE(15, 6, ROW(Kintoneデータ抽出!$K$2:$K$5000) / ((Kintoneデータ抽出!$K$2:$K$5000="企業内")), ROW(A62))), "")</f>
        <v/>
      </c>
      <c r="G369" s="90" t="str">
        <f t="array" ref="G369">IFERROR(INDEX(Kintoneデータ抽出!D:D,_xlfn.AGGREGATE(15,6,ROW(Kintoneデータ抽出!$K$2:$K$5000)/((Kintoneデータ抽出!$K$2:$K$5000="企業内")),ROW(A62))),"")</f>
        <v/>
      </c>
      <c r="H369" s="89" t="str">
        <f t="array" ref="H369">IFERROR(INDEX(Kintoneデータ抽出!C:C, _xlfn.AGGREGATE(15, 6, ROW(Kintoneデータ抽出!$K$2:$K$5000) / ((Kintoneデータ抽出!$K$2:$K$5000="企業内")), ROW(A62))), "")</f>
        <v/>
      </c>
      <c r="I369" s="75" t="str">
        <f t="array" ref="I369">IFERROR(IF(INDEX(Kintoneデータ抽出!G:G, _xlfn.AGGREGATE(15, 6, ROW(Kintoneデータ抽出!$K$2:$K$5000) / ((Kintoneデータ抽出!$K$2:$K$5000="企業内")), ROW(A62)))&lt;&gt;"",INDEX(Kintoneデータ抽出!G:G, _xlfn.AGGREGATE(15, 6, ROW(Kintoneデータ抽出!$K$2:$K$5000) / ((Kintoneデータ抽出!$K$2:$K$5000="企業内")), ROW(A62)))&amp;"名",""), "")</f>
        <v/>
      </c>
      <c r="J369" s="76" t="str">
        <f t="array" ref="J369">IFERROR(IF(INDEX(Kintoneデータ抽出!E:E, _xlfn.AGGREGATE(15, 6, ROW(Kintoneデータ抽出!$K$2:$K$5000) / ((Kintoneデータ抽出!$K$2:$K$5000="企業内")), ROW(A62)))&lt;&gt;"",
YEAR(INDEX(Kintoneデータ抽出!E:E, _xlfn.AGGREGATE(15, 6, ROW(Kintoneデータ抽出!$K$2:$K$5000) / ((Kintoneデータ抽出!$K$2:$K$5000="企業内")), ROW(A62))))&amp;"年"
&amp;MONTH(INDEX(Kintoneデータ抽出!E:E, _xlfn.AGGREGATE(15, 6, ROW(Kintoneデータ抽出!$K$2:$K$5000) / ((Kintoneデータ抽出!$K$2:$K$5000="企業内")), ROW(A62))))&amp;"月"
&amp;DAY(INDEX(Kintoneデータ抽出!E:E, _xlfn.AGGREGATE(15, 6, ROW(Kintoneデータ抽出!$K$2:$K$5000) /((Kintoneデータ抽出!$K$2:$K$5000="企業内")), ROW(A62))))&amp;"日",""), "")</f>
        <v/>
      </c>
      <c r="K369" s="77" t="str" cm="1">
        <f t="array" ref="K369">IFERROR(IF(INDEX(Kintoneデータ抽出!F:F, _xlfn.AGGREGATE(15, 6, ROW(Kintoneデータ抽出!$K$2:$K$5000) / ((Kintoneデータ抽出!$K$2:$K$5000="企業内")), ROW(A62)))&lt;&gt;"",
VLOOKUP(INDEX(Kintoneデータ抽出!F:F, _xlfn.AGGREGATE(15, 6, ROW(Kintoneデータ抽出!$K$2:$K$5000) / ((Kintoneデータ抽出!$K$2:$K$5000="企業内")), ROW(A62))),基本開園日の表記!$A$2:$B$13,2,FALSE),""), "")</f>
        <v/>
      </c>
      <c r="L369" s="75" t="str">
        <f t="array" ref="L369">IFERROR(IF(INDEX(Kintoneデータ抽出!F:F, _xlfn.AGGREGATE(15, 6, ROW(Kintoneデータ抽出!$K$2:$K$5000) / ((Kintoneデータ抽出!$K$2:$K$5000="企業内")), ROW(A62)))&lt;&gt;"",
IF(COUNTIF(INDEX(Kintoneデータ抽出!F:F, _xlfn.AGGREGATE(15, 6, ROW(Kintoneデータ抽出!$K$2:$K$5000) / ((Kintoneデータ抽出!$K$2:$K$5000="企業内")), ROW(A62))),"*あり*"),"夜間",""),""), "")</f>
        <v/>
      </c>
      <c r="M369" s="75" t="str">
        <f t="array" ref="M369">IFERROR(IF(INDEX(Kintoneデータ抽出!I:I, _xlfn.AGGREGATE(15, 6, ROW(Kintoneデータ抽出!$K$2:$K$5000) / ((Kintoneデータ抽出!$K$2:$K$5000="企業内")), ROW(A62)))&lt;&gt;"",
IF(COUNTIF(INDEX(Kintoneデータ抽出!I:I, _xlfn.AGGREGATE(15, 6, ROW(Kintoneデータ抽出!$K$2:$K$5000) / ((Kintoneデータ抽出!$K$2:$K$5000="企業内")), ROW(A62))),"*あり*"),"学童",""),""), "")</f>
        <v/>
      </c>
      <c r="N369" s="75" t="str">
        <f t="array" ref="N369">IFERROR(IF(INDEX(Kintoneデータ抽出!H:H, _xlfn.AGGREGATE(15, 6, ROW(Kintoneデータ抽出!$K$2:$K$5000) / ((Kintoneデータ抽出!$K$2:$K$5000="企業内")), ROW(A62)))&lt;&gt;"",
IF(COUNTIF(INDEX(Kintoneデータ抽出!H:H, _xlfn.AGGREGATE(15, 6, ROW(Kintoneデータ抽出!$K$2:$K$5000) / ((Kintoneデータ抽出!$K$2:$K$5000="企業内")), ROW(A62))),"*あり*"),"病児",""),""), "")</f>
        <v/>
      </c>
      <c r="O369" s="75" t="str" cm="1">
        <f t="array" ref="O369">IFERROR(
IF(INDEX(Kintoneデータ抽出!M:M, _xlfn.AGGREGATE(15, 6, ROW(Kintoneデータ抽出!$K$2:$K$5000) / ((Kintoneデータ抽出!$K$2:$K$5000="企業内")), ROW(A62)))&lt;&gt;0,INDEX(Kintoneデータ抽出!M:M, _xlfn.AGGREGATE(15, 6, ROW(Kintoneデータ抽出!$K$2:$K$5000) / ((Kintoneデータ抽出!$K$2:$K$5000="企業内")), ROW(A62))),""), "")</f>
        <v/>
      </c>
      <c r="P369" s="78" t="str">
        <f t="array" ref="P369">IFERROR(IF(INDEX(Kintoneデータ抽出!L:L, _xlfn.AGGREGATE(15, 6, ROW(Kintoneデータ抽出!$K$2:$K$5000) / ((Kintoneデータ抽出!$K$2:$K$5000="企業内")), ROW(A62)))&lt;&gt;"",
IF(COUNTIF(INDEX(Kintoneデータ抽出!L:L, _xlfn.AGGREGATE(15, 6, ROW(Kintoneデータ抽出!$K$2:$K$5000) / ((Kintoneデータ抽出!$K$2:$K$5000="企業内")), ROW(A62))),"*企業主導型以外*"),"",
IF(COUNTIF(INDEX(Kintoneデータ抽出!L:L, _xlfn.AGGREGATE(15, 6, ROW(Kintoneデータ抽出!$K$2:$K$5000) / ((Kintoneデータ抽出!$K$2:$K$5000="企業内")), ROW(A62))),"*その他*"),"",
IF(COUNTIF(INDEX(Kintoneデータ抽出!L:L, _xlfn.AGGREGATE(15, 6, ROW(Kintoneデータ抽出!$K$2:$K$5000) / ((Kintoneデータ抽出!$K$2:$K$5000="企業内")), ROW(A62))),"*新制度*"),"新制度","企業主導型"))),""), "")</f>
        <v/>
      </c>
    </row>
    <row r="370" spans="2:16" ht="34.799999999999997" customHeight="1" x14ac:dyDescent="0.45">
      <c r="B370" s="45"/>
      <c r="C370" s="46"/>
      <c r="D370" s="98" t="str">
        <f t="shared" si="7"/>
        <v/>
      </c>
      <c r="E370" s="99"/>
      <c r="F370" s="89" t="str">
        <f t="array" ref="F370">IFERROR(INDEX(Kintoneデータ抽出!A:A, _xlfn.AGGREGATE(15, 6, ROW(Kintoneデータ抽出!$K$2:$K$5000) / ((Kintoneデータ抽出!$K$2:$K$5000="企業内")), ROW(A63))), "")</f>
        <v/>
      </c>
      <c r="G370" s="90" t="str">
        <f t="array" ref="G370">IFERROR(INDEX(Kintoneデータ抽出!D:D,_xlfn.AGGREGATE(15,6,ROW(Kintoneデータ抽出!$K$2:$K$5000)/((Kintoneデータ抽出!$K$2:$K$5000="企業内")),ROW(A63))),"")</f>
        <v/>
      </c>
      <c r="H370" s="89" t="str">
        <f t="array" ref="H370">IFERROR(INDEX(Kintoneデータ抽出!C:C, _xlfn.AGGREGATE(15, 6, ROW(Kintoneデータ抽出!$K$2:$K$5000) / ((Kintoneデータ抽出!$K$2:$K$5000="企業内")), ROW(A63))), "")</f>
        <v/>
      </c>
      <c r="I370" s="75" t="str">
        <f t="array" ref="I370">IFERROR(IF(INDEX(Kintoneデータ抽出!G:G, _xlfn.AGGREGATE(15, 6, ROW(Kintoneデータ抽出!$K$2:$K$5000) / ((Kintoneデータ抽出!$K$2:$K$5000="企業内")), ROW(A63)))&lt;&gt;"",INDEX(Kintoneデータ抽出!G:G, _xlfn.AGGREGATE(15, 6, ROW(Kintoneデータ抽出!$K$2:$K$5000) / ((Kintoneデータ抽出!$K$2:$K$5000="企業内")), ROW(A63)))&amp;"名",""), "")</f>
        <v/>
      </c>
      <c r="J370" s="76" t="str">
        <f t="array" ref="J370">IFERROR(IF(INDEX(Kintoneデータ抽出!E:E, _xlfn.AGGREGATE(15, 6, ROW(Kintoneデータ抽出!$K$2:$K$5000) / ((Kintoneデータ抽出!$K$2:$K$5000="企業内")), ROW(A63)))&lt;&gt;"",
YEAR(INDEX(Kintoneデータ抽出!E:E, _xlfn.AGGREGATE(15, 6, ROW(Kintoneデータ抽出!$K$2:$K$5000) / ((Kintoneデータ抽出!$K$2:$K$5000="企業内")), ROW(A63))))&amp;"年"
&amp;MONTH(INDEX(Kintoneデータ抽出!E:E, _xlfn.AGGREGATE(15, 6, ROW(Kintoneデータ抽出!$K$2:$K$5000) / ((Kintoneデータ抽出!$K$2:$K$5000="企業内")), ROW(A63))))&amp;"月"
&amp;DAY(INDEX(Kintoneデータ抽出!E:E, _xlfn.AGGREGATE(15, 6, ROW(Kintoneデータ抽出!$K$2:$K$5000) /((Kintoneデータ抽出!$K$2:$K$5000="企業内")), ROW(A63))))&amp;"日",""), "")</f>
        <v/>
      </c>
      <c r="K370" s="77" t="str" cm="1">
        <f t="array" ref="K370">IFERROR(IF(INDEX(Kintoneデータ抽出!F:F, _xlfn.AGGREGATE(15, 6, ROW(Kintoneデータ抽出!$K$2:$K$5000) / ((Kintoneデータ抽出!$K$2:$K$5000="企業内")), ROW(A63)))&lt;&gt;"",
VLOOKUP(INDEX(Kintoneデータ抽出!F:F, _xlfn.AGGREGATE(15, 6, ROW(Kintoneデータ抽出!$K$2:$K$5000) / ((Kintoneデータ抽出!$K$2:$K$5000="企業内")), ROW(A63))),基本開園日の表記!$A$2:$B$13,2,FALSE),""), "")</f>
        <v/>
      </c>
      <c r="L370" s="75" t="str">
        <f t="array" ref="L370">IFERROR(IF(INDEX(Kintoneデータ抽出!F:F, _xlfn.AGGREGATE(15, 6, ROW(Kintoneデータ抽出!$K$2:$K$5000) / ((Kintoneデータ抽出!$K$2:$K$5000="企業内")), ROW(A63)))&lt;&gt;"",
IF(COUNTIF(INDEX(Kintoneデータ抽出!F:F, _xlfn.AGGREGATE(15, 6, ROW(Kintoneデータ抽出!$K$2:$K$5000) / ((Kintoneデータ抽出!$K$2:$K$5000="企業内")), ROW(A63))),"*あり*"),"夜間",""),""), "")</f>
        <v/>
      </c>
      <c r="M370" s="75" t="str">
        <f t="array" ref="M370">IFERROR(IF(INDEX(Kintoneデータ抽出!I:I, _xlfn.AGGREGATE(15, 6, ROW(Kintoneデータ抽出!$K$2:$K$5000) / ((Kintoneデータ抽出!$K$2:$K$5000="企業内")), ROW(A63)))&lt;&gt;"",
IF(COUNTIF(INDEX(Kintoneデータ抽出!I:I, _xlfn.AGGREGATE(15, 6, ROW(Kintoneデータ抽出!$K$2:$K$5000) / ((Kintoneデータ抽出!$K$2:$K$5000="企業内")), ROW(A63))),"*あり*"),"学童",""),""), "")</f>
        <v/>
      </c>
      <c r="N370" s="75" t="str">
        <f t="array" ref="N370">IFERROR(IF(INDEX(Kintoneデータ抽出!H:H, _xlfn.AGGREGATE(15, 6, ROW(Kintoneデータ抽出!$K$2:$K$5000) / ((Kintoneデータ抽出!$K$2:$K$5000="企業内")), ROW(A63)))&lt;&gt;"",
IF(COUNTIF(INDEX(Kintoneデータ抽出!H:H, _xlfn.AGGREGATE(15, 6, ROW(Kintoneデータ抽出!$K$2:$K$5000) / ((Kintoneデータ抽出!$K$2:$K$5000="企業内")), ROW(A63))),"*あり*"),"病児",""),""), "")</f>
        <v/>
      </c>
      <c r="O370" s="75" t="str" cm="1">
        <f t="array" ref="O370">IFERROR(
IF(INDEX(Kintoneデータ抽出!M:M, _xlfn.AGGREGATE(15, 6, ROW(Kintoneデータ抽出!$K$2:$K$5000) / ((Kintoneデータ抽出!$K$2:$K$5000="企業内")), ROW(A63)))&lt;&gt;0,INDEX(Kintoneデータ抽出!M:M, _xlfn.AGGREGATE(15, 6, ROW(Kintoneデータ抽出!$K$2:$K$5000) / ((Kintoneデータ抽出!$K$2:$K$5000="企業内")), ROW(A63))),""), "")</f>
        <v/>
      </c>
      <c r="P370" s="78" t="str">
        <f t="array" ref="P370">IFERROR(IF(INDEX(Kintoneデータ抽出!L:L, _xlfn.AGGREGATE(15, 6, ROW(Kintoneデータ抽出!$K$2:$K$5000) / ((Kintoneデータ抽出!$K$2:$K$5000="企業内")), ROW(A63)))&lt;&gt;"",
IF(COUNTIF(INDEX(Kintoneデータ抽出!L:L, _xlfn.AGGREGATE(15, 6, ROW(Kintoneデータ抽出!$K$2:$K$5000) / ((Kintoneデータ抽出!$K$2:$K$5000="企業内")), ROW(A63))),"*企業主導型以外*"),"",
IF(COUNTIF(INDEX(Kintoneデータ抽出!L:L, _xlfn.AGGREGATE(15, 6, ROW(Kintoneデータ抽出!$K$2:$K$5000) / ((Kintoneデータ抽出!$K$2:$K$5000="企業内")), ROW(A63))),"*その他*"),"",
IF(COUNTIF(INDEX(Kintoneデータ抽出!L:L, _xlfn.AGGREGATE(15, 6, ROW(Kintoneデータ抽出!$K$2:$K$5000) / ((Kintoneデータ抽出!$K$2:$K$5000="企業内")), ROW(A63))),"*新制度*"),"新制度","企業主導型"))),""), "")</f>
        <v/>
      </c>
    </row>
    <row r="371" spans="2:16" ht="34.799999999999997" customHeight="1" x14ac:dyDescent="0.45">
      <c r="B371" s="66" t="s">
        <v>38</v>
      </c>
      <c r="C371" s="50"/>
      <c r="D371" s="98" t="str">
        <f t="shared" si="7"/>
        <v/>
      </c>
      <c r="E371" s="99"/>
      <c r="F371" s="89" t="str">
        <f t="array" ref="F371">IFERROR(INDEX(Kintoneデータ抽出!A:A, _xlfn.AGGREGATE(15, 6, ROW(Kintoneデータ抽出!$K$2:$K$5000) / ((Kintoneデータ抽出!$K$2:$K$5000="企業内")), ROW(A64))), "")</f>
        <v/>
      </c>
      <c r="G371" s="90" t="str">
        <f t="array" ref="G371">IFERROR(INDEX(Kintoneデータ抽出!D:D,_xlfn.AGGREGATE(15,6,ROW(Kintoneデータ抽出!$K$2:$K$5000)/((Kintoneデータ抽出!$K$2:$K$5000="企業内")),ROW(A64))),"")</f>
        <v/>
      </c>
      <c r="H371" s="89" t="str">
        <f t="array" ref="H371">IFERROR(INDEX(Kintoneデータ抽出!C:C, _xlfn.AGGREGATE(15, 6, ROW(Kintoneデータ抽出!$K$2:$K$5000) / ((Kintoneデータ抽出!$K$2:$K$5000="企業内")), ROW(A64))), "")</f>
        <v/>
      </c>
      <c r="I371" s="75" t="str">
        <f t="array" ref="I371">IFERROR(IF(INDEX(Kintoneデータ抽出!G:G, _xlfn.AGGREGATE(15, 6, ROW(Kintoneデータ抽出!$K$2:$K$5000) / ((Kintoneデータ抽出!$K$2:$K$5000="企業内")), ROW(A64)))&lt;&gt;"",INDEX(Kintoneデータ抽出!G:G, _xlfn.AGGREGATE(15, 6, ROW(Kintoneデータ抽出!$K$2:$K$5000) / ((Kintoneデータ抽出!$K$2:$K$5000="企業内")), ROW(A64)))&amp;"名",""), "")</f>
        <v/>
      </c>
      <c r="J371" s="76" t="str">
        <f t="array" ref="J371">IFERROR(IF(INDEX(Kintoneデータ抽出!E:E, _xlfn.AGGREGATE(15, 6, ROW(Kintoneデータ抽出!$K$2:$K$5000) / ((Kintoneデータ抽出!$K$2:$K$5000="企業内")), ROW(A64)))&lt;&gt;"",
YEAR(INDEX(Kintoneデータ抽出!E:E, _xlfn.AGGREGATE(15, 6, ROW(Kintoneデータ抽出!$K$2:$K$5000) / ((Kintoneデータ抽出!$K$2:$K$5000="企業内")), ROW(A64))))&amp;"年"
&amp;MONTH(INDEX(Kintoneデータ抽出!E:E, _xlfn.AGGREGATE(15, 6, ROW(Kintoneデータ抽出!$K$2:$K$5000) / ((Kintoneデータ抽出!$K$2:$K$5000="企業内")), ROW(A64))))&amp;"月"
&amp;DAY(INDEX(Kintoneデータ抽出!E:E, _xlfn.AGGREGATE(15, 6, ROW(Kintoneデータ抽出!$K$2:$K$5000) /((Kintoneデータ抽出!$K$2:$K$5000="企業内")), ROW(A64))))&amp;"日",""), "")</f>
        <v/>
      </c>
      <c r="K371" s="77" t="str" cm="1">
        <f t="array" ref="K371">IFERROR(IF(INDEX(Kintoneデータ抽出!F:F, _xlfn.AGGREGATE(15, 6, ROW(Kintoneデータ抽出!$K$2:$K$5000) / ((Kintoneデータ抽出!$K$2:$K$5000="企業内")), ROW(A64)))&lt;&gt;"",
VLOOKUP(INDEX(Kintoneデータ抽出!F:F, _xlfn.AGGREGATE(15, 6, ROW(Kintoneデータ抽出!$K$2:$K$5000) / ((Kintoneデータ抽出!$K$2:$K$5000="企業内")), ROW(A64))),基本開園日の表記!$A$2:$B$13,2,FALSE),""), "")</f>
        <v/>
      </c>
      <c r="L371" s="75" t="str">
        <f t="array" ref="L371">IFERROR(IF(INDEX(Kintoneデータ抽出!F:F, _xlfn.AGGREGATE(15, 6, ROW(Kintoneデータ抽出!$K$2:$K$5000) / ((Kintoneデータ抽出!$K$2:$K$5000="企業内")), ROW(A64)))&lt;&gt;"",
IF(COUNTIF(INDEX(Kintoneデータ抽出!F:F, _xlfn.AGGREGATE(15, 6, ROW(Kintoneデータ抽出!$K$2:$K$5000) / ((Kintoneデータ抽出!$K$2:$K$5000="企業内")), ROW(A64))),"*あり*"),"夜間",""),""), "")</f>
        <v/>
      </c>
      <c r="M371" s="75" t="str">
        <f t="array" ref="M371">IFERROR(IF(INDEX(Kintoneデータ抽出!I:I, _xlfn.AGGREGATE(15, 6, ROW(Kintoneデータ抽出!$K$2:$K$5000) / ((Kintoneデータ抽出!$K$2:$K$5000="企業内")), ROW(A64)))&lt;&gt;"",
IF(COUNTIF(INDEX(Kintoneデータ抽出!I:I, _xlfn.AGGREGATE(15, 6, ROW(Kintoneデータ抽出!$K$2:$K$5000) / ((Kintoneデータ抽出!$K$2:$K$5000="企業内")), ROW(A64))),"*あり*"),"学童",""),""), "")</f>
        <v/>
      </c>
      <c r="N371" s="75" t="str">
        <f t="array" ref="N371">IFERROR(IF(INDEX(Kintoneデータ抽出!H:H, _xlfn.AGGREGATE(15, 6, ROW(Kintoneデータ抽出!$K$2:$K$5000) / ((Kintoneデータ抽出!$K$2:$K$5000="企業内")), ROW(A64)))&lt;&gt;"",
IF(COUNTIF(INDEX(Kintoneデータ抽出!H:H, _xlfn.AGGREGATE(15, 6, ROW(Kintoneデータ抽出!$K$2:$K$5000) / ((Kintoneデータ抽出!$K$2:$K$5000="企業内")), ROW(A64))),"*あり*"),"病児",""),""), "")</f>
        <v/>
      </c>
      <c r="O371" s="75" t="str" cm="1">
        <f t="array" ref="O371">IFERROR(
IF(INDEX(Kintoneデータ抽出!M:M, _xlfn.AGGREGATE(15, 6, ROW(Kintoneデータ抽出!$K$2:$K$5000) / ((Kintoneデータ抽出!$K$2:$K$5000="企業内")), ROW(A64)))&lt;&gt;0,INDEX(Kintoneデータ抽出!M:M, _xlfn.AGGREGATE(15, 6, ROW(Kintoneデータ抽出!$K$2:$K$5000) / ((Kintoneデータ抽出!$K$2:$K$5000="企業内")), ROW(A64))),""), "")</f>
        <v/>
      </c>
      <c r="P371" s="78" t="str">
        <f t="array" ref="P371">IFERROR(IF(INDEX(Kintoneデータ抽出!L:L, _xlfn.AGGREGATE(15, 6, ROW(Kintoneデータ抽出!$K$2:$K$5000) / ((Kintoneデータ抽出!$K$2:$K$5000="企業内")), ROW(A64)))&lt;&gt;"",
IF(COUNTIF(INDEX(Kintoneデータ抽出!L:L, _xlfn.AGGREGATE(15, 6, ROW(Kintoneデータ抽出!$K$2:$K$5000) / ((Kintoneデータ抽出!$K$2:$K$5000="企業内")), ROW(A64))),"*企業主導型以外*"),"",
IF(COUNTIF(INDEX(Kintoneデータ抽出!L:L, _xlfn.AGGREGATE(15, 6, ROW(Kintoneデータ抽出!$K$2:$K$5000) / ((Kintoneデータ抽出!$K$2:$K$5000="企業内")), ROW(A64))),"*その他*"),"",
IF(COUNTIF(INDEX(Kintoneデータ抽出!L:L, _xlfn.AGGREGATE(15, 6, ROW(Kintoneデータ抽出!$K$2:$K$5000) / ((Kintoneデータ抽出!$K$2:$K$5000="企業内")), ROW(A64))),"*新制度*"),"新制度","企業主導型"))),""), "")</f>
        <v/>
      </c>
    </row>
    <row r="372" spans="2:16" ht="34.799999999999997" customHeight="1" x14ac:dyDescent="0.45">
      <c r="B372" s="51"/>
      <c r="C372" s="52"/>
      <c r="D372" s="113" t="str">
        <f t="shared" si="7"/>
        <v/>
      </c>
      <c r="E372" s="114"/>
      <c r="F372" s="91" t="str">
        <f t="array" ref="F372">IFERROR(INDEX(Kintoneデータ抽出!A:A, _xlfn.AGGREGATE(15, 6, ROW(Kintoneデータ抽出!$K$2:$K$5000) / ((Kintoneデータ抽出!$K$2:$K$5000="企業内")), ROW(A65))), "")</f>
        <v/>
      </c>
      <c r="G372" s="92" t="str">
        <f t="array" ref="G372">IFERROR(INDEX(Kintoneデータ抽出!D:D,_xlfn.AGGREGATE(15,6,ROW(Kintoneデータ抽出!$K$2:$K$5000)/((Kintoneデータ抽出!$K$2:$K$5000="企業内")),ROW(A65))),"")</f>
        <v/>
      </c>
      <c r="H372" s="91" t="str">
        <f t="array" ref="H372">IFERROR(INDEX(Kintoneデータ抽出!C:C, _xlfn.AGGREGATE(15, 6, ROW(Kintoneデータ抽出!$K$2:$K$5000) / ((Kintoneデータ抽出!$K$2:$K$5000="企業内")), ROW(A65))), "")</f>
        <v/>
      </c>
      <c r="I372" s="79" t="str">
        <f t="array" ref="I372">IFERROR(IF(INDEX(Kintoneデータ抽出!G:G, _xlfn.AGGREGATE(15, 6, ROW(Kintoneデータ抽出!$K$2:$K$5000) / ((Kintoneデータ抽出!$K$2:$K$5000="企業内")), ROW(A65)))&lt;&gt;"",INDEX(Kintoneデータ抽出!G:G, _xlfn.AGGREGATE(15, 6, ROW(Kintoneデータ抽出!$K$2:$K$5000) / ((Kintoneデータ抽出!$K$2:$K$5000="企業内")), ROW(A65)))&amp;"名",""), "")</f>
        <v/>
      </c>
      <c r="J372" s="80" t="str">
        <f t="array" ref="J372">IFERROR(IF(INDEX(Kintoneデータ抽出!E:E, _xlfn.AGGREGATE(15, 6, ROW(Kintoneデータ抽出!$K$2:$K$5000) / ((Kintoneデータ抽出!$K$2:$K$5000="企業内")), ROW(A65)))&lt;&gt;"",
YEAR(INDEX(Kintoneデータ抽出!E:E, _xlfn.AGGREGATE(15, 6, ROW(Kintoneデータ抽出!$K$2:$K$5000) / ((Kintoneデータ抽出!$K$2:$K$5000="企業内")), ROW(A65))))&amp;"年"
&amp;MONTH(INDEX(Kintoneデータ抽出!E:E, _xlfn.AGGREGATE(15, 6, ROW(Kintoneデータ抽出!$K$2:$K$5000) / ((Kintoneデータ抽出!$K$2:$K$5000="企業内")), ROW(A65))))&amp;"月"
&amp;DAY(INDEX(Kintoneデータ抽出!E:E, _xlfn.AGGREGATE(15, 6, ROW(Kintoneデータ抽出!$K$2:$K$5000) /((Kintoneデータ抽出!$K$2:$K$5000="企業内")), ROW(A65))))&amp;"日",""), "")</f>
        <v/>
      </c>
      <c r="K372" s="81" t="str" cm="1">
        <f t="array" ref="K372">IFERROR(IF(INDEX(Kintoneデータ抽出!F:F, _xlfn.AGGREGATE(15, 6, ROW(Kintoneデータ抽出!$K$2:$K$5000) / ((Kintoneデータ抽出!$K$2:$K$5000="企業内")), ROW(A65)))&lt;&gt;"",
VLOOKUP(INDEX(Kintoneデータ抽出!F:F, _xlfn.AGGREGATE(15, 6, ROW(Kintoneデータ抽出!$K$2:$K$5000) / ((Kintoneデータ抽出!$K$2:$K$5000="企業内")), ROW(A65))),基本開園日の表記!$A$2:$B$13,2,FALSE),""), "")</f>
        <v/>
      </c>
      <c r="L372" s="79" t="str">
        <f t="array" ref="L372">IFERROR(IF(INDEX(Kintoneデータ抽出!F:F, _xlfn.AGGREGATE(15, 6, ROW(Kintoneデータ抽出!$K$2:$K$5000) / ((Kintoneデータ抽出!$K$2:$K$5000="企業内")), ROW(A65)))&lt;&gt;"",
IF(COUNTIF(INDEX(Kintoneデータ抽出!F:F, _xlfn.AGGREGATE(15, 6, ROW(Kintoneデータ抽出!$K$2:$K$5000) / ((Kintoneデータ抽出!$K$2:$K$5000="企業内")), ROW(A65))),"*あり*"),"夜間",""),""), "")</f>
        <v/>
      </c>
      <c r="M372" s="79" t="str">
        <f t="array" ref="M372">IFERROR(IF(INDEX(Kintoneデータ抽出!I:I, _xlfn.AGGREGATE(15, 6, ROW(Kintoneデータ抽出!$K$2:$K$5000) / ((Kintoneデータ抽出!$K$2:$K$5000="企業内")), ROW(A65)))&lt;&gt;"",
IF(COUNTIF(INDEX(Kintoneデータ抽出!I:I, _xlfn.AGGREGATE(15, 6, ROW(Kintoneデータ抽出!$K$2:$K$5000) / ((Kintoneデータ抽出!$K$2:$K$5000="企業内")), ROW(A65))),"*あり*"),"学童",""),""), "")</f>
        <v/>
      </c>
      <c r="N372" s="79" t="str">
        <f t="array" ref="N372">IFERROR(IF(INDEX(Kintoneデータ抽出!H:H, _xlfn.AGGREGATE(15, 6, ROW(Kintoneデータ抽出!$K$2:$K$5000) / ((Kintoneデータ抽出!$K$2:$K$5000="企業内")), ROW(A65)))&lt;&gt;"",
IF(COUNTIF(INDEX(Kintoneデータ抽出!H:H, _xlfn.AGGREGATE(15, 6, ROW(Kintoneデータ抽出!$K$2:$K$5000) / ((Kintoneデータ抽出!$K$2:$K$5000="企業内")), ROW(A65))),"*あり*"),"病児",""),""), "")</f>
        <v/>
      </c>
      <c r="O372" s="79" t="str" cm="1">
        <f t="array" ref="O372">IFERROR(
IF(INDEX(Kintoneデータ抽出!M:M, _xlfn.AGGREGATE(15, 6, ROW(Kintoneデータ抽出!$K$2:$K$5000) / ((Kintoneデータ抽出!$K$2:$K$5000="企業内")), ROW(A65)))&lt;&gt;0,INDEX(Kintoneデータ抽出!M:M, _xlfn.AGGREGATE(15, 6, ROW(Kintoneデータ抽出!$K$2:$K$5000) / ((Kintoneデータ抽出!$K$2:$K$5000="企業内")), ROW(A65))),""), "")</f>
        <v/>
      </c>
      <c r="P372" s="82" t="str">
        <f t="array" ref="P372">IFERROR(IF(INDEX(Kintoneデータ抽出!L:L, _xlfn.AGGREGATE(15, 6, ROW(Kintoneデータ抽出!$K$2:$K$5000) / ((Kintoneデータ抽出!$K$2:$K$5000="企業内")), ROW(A65)))&lt;&gt;"",
IF(COUNTIF(INDEX(Kintoneデータ抽出!L:L, _xlfn.AGGREGATE(15, 6, ROW(Kintoneデータ抽出!$K$2:$K$5000) / ((Kintoneデータ抽出!$K$2:$K$5000="企業内")), ROW(A65))),"*企業主導型以外*"),"",
IF(COUNTIF(INDEX(Kintoneデータ抽出!L:L, _xlfn.AGGREGATE(15, 6, ROW(Kintoneデータ抽出!$K$2:$K$5000) / ((Kintoneデータ抽出!$K$2:$K$5000="企業内")), ROW(A65))),"*その他*"),"",
IF(COUNTIF(INDEX(Kintoneデータ抽出!L:L, _xlfn.AGGREGATE(15, 6, ROW(Kintoneデータ抽出!$K$2:$K$5000) / ((Kintoneデータ抽出!$K$2:$K$5000="企業内")), ROW(A65))),"*新制度*"),"新制度","企業主導型"))),""), "")</f>
        <v/>
      </c>
    </row>
  </sheetData>
  <mergeCells count="369">
    <mergeCell ref="D331:E331"/>
    <mergeCell ref="D57:E57"/>
    <mergeCell ref="D355:E355"/>
    <mergeCell ref="D293:E293"/>
    <mergeCell ref="D32:E32"/>
    <mergeCell ref="D268:E268"/>
    <mergeCell ref="D97:E97"/>
    <mergeCell ref="D184:E184"/>
    <mergeCell ref="A1:Q2"/>
    <mergeCell ref="D121:E121"/>
    <mergeCell ref="D192:E192"/>
    <mergeCell ref="D42:E42"/>
    <mergeCell ref="D173:E173"/>
    <mergeCell ref="D344:E344"/>
    <mergeCell ref="D123:E123"/>
    <mergeCell ref="D250:E250"/>
    <mergeCell ref="D50:E50"/>
    <mergeCell ref="D110:E110"/>
    <mergeCell ref="D44:E44"/>
    <mergeCell ref="D286:E286"/>
    <mergeCell ref="O3:P3"/>
    <mergeCell ref="D34:E34"/>
    <mergeCell ref="D243:E243"/>
    <mergeCell ref="D270:E270"/>
    <mergeCell ref="D99:E99"/>
    <mergeCell ref="D310:E310"/>
    <mergeCell ref="D101:E101"/>
    <mergeCell ref="D76:E76"/>
    <mergeCell ref="D175:E175"/>
    <mergeCell ref="D221:E221"/>
    <mergeCell ref="D165:E165"/>
    <mergeCell ref="D152:E152"/>
    <mergeCell ref="D223:E223"/>
    <mergeCell ref="D279:E279"/>
    <mergeCell ref="D29:E29"/>
    <mergeCell ref="D23:E23"/>
    <mergeCell ref="D216:E216"/>
    <mergeCell ref="D265:E265"/>
    <mergeCell ref="D252:E252"/>
    <mergeCell ref="D218:E218"/>
    <mergeCell ref="D247:E247"/>
    <mergeCell ref="D249:E249"/>
    <mergeCell ref="D276:E276"/>
    <mergeCell ref="D105:E105"/>
    <mergeCell ref="D368:E368"/>
    <mergeCell ref="D14:E14"/>
    <mergeCell ref="D85:E85"/>
    <mergeCell ref="D256:E256"/>
    <mergeCell ref="D207:E207"/>
    <mergeCell ref="D299:E299"/>
    <mergeCell ref="D370:E370"/>
    <mergeCell ref="D222:E222"/>
    <mergeCell ref="D314:E314"/>
    <mergeCell ref="D159:E159"/>
    <mergeCell ref="D80:E80"/>
    <mergeCell ref="D288:E288"/>
    <mergeCell ref="D136:E136"/>
    <mergeCell ref="D154:E154"/>
    <mergeCell ref="D225:E225"/>
    <mergeCell ref="D200:E200"/>
    <mergeCell ref="D292:E292"/>
    <mergeCell ref="D227:E227"/>
    <mergeCell ref="D202:E202"/>
    <mergeCell ref="D58:E58"/>
    <mergeCell ref="D294:E294"/>
    <mergeCell ref="D231:E231"/>
    <mergeCell ref="D358:E358"/>
    <mergeCell ref="D20:E20"/>
    <mergeCell ref="D367:E367"/>
    <mergeCell ref="D212:E212"/>
    <mergeCell ref="D317:E317"/>
    <mergeCell ref="D146:E146"/>
    <mergeCell ref="D304:E304"/>
    <mergeCell ref="D12:E12"/>
    <mergeCell ref="D83:E83"/>
    <mergeCell ref="D143:E143"/>
    <mergeCell ref="D319:E319"/>
    <mergeCell ref="D318:E318"/>
    <mergeCell ref="D84:E84"/>
    <mergeCell ref="D22:E22"/>
    <mergeCell ref="D155:E155"/>
    <mergeCell ref="D320:E320"/>
    <mergeCell ref="D149:E149"/>
    <mergeCell ref="D86:E86"/>
    <mergeCell ref="D257:E257"/>
    <mergeCell ref="D213:E213"/>
    <mergeCell ref="D13:E13"/>
    <mergeCell ref="D151:E151"/>
    <mergeCell ref="D321:E321"/>
    <mergeCell ref="D150:E150"/>
    <mergeCell ref="D215:E215"/>
    <mergeCell ref="D177:E177"/>
    <mergeCell ref="D39:E39"/>
    <mergeCell ref="D89:E89"/>
    <mergeCell ref="D153:E153"/>
    <mergeCell ref="D128:E128"/>
    <mergeCell ref="D199:E199"/>
    <mergeCell ref="D364:E364"/>
    <mergeCell ref="D186:E186"/>
    <mergeCell ref="D217:E217"/>
    <mergeCell ref="D65:E65"/>
    <mergeCell ref="D194:E194"/>
    <mergeCell ref="D17:E17"/>
    <mergeCell ref="D33:E33"/>
    <mergeCell ref="D226:E226"/>
    <mergeCell ref="D164:E164"/>
    <mergeCell ref="D241:E241"/>
    <mergeCell ref="D228:E228"/>
    <mergeCell ref="D333:E333"/>
    <mergeCell ref="D323:E323"/>
    <mergeCell ref="D170:E170"/>
    <mergeCell ref="D341:E341"/>
    <mergeCell ref="D49:E49"/>
    <mergeCell ref="B11:C11"/>
    <mergeCell ref="D11:E11"/>
    <mergeCell ref="D204:E204"/>
    <mergeCell ref="D198:E198"/>
    <mergeCell ref="D269:E269"/>
    <mergeCell ref="D296:E296"/>
    <mergeCell ref="D75:E75"/>
    <mergeCell ref="D206:E206"/>
    <mergeCell ref="D298:E298"/>
    <mergeCell ref="D181:E181"/>
    <mergeCell ref="D273:E273"/>
    <mergeCell ref="D242:E242"/>
    <mergeCell ref="D120:E120"/>
    <mergeCell ref="D278:E278"/>
    <mergeCell ref="D107:E107"/>
    <mergeCell ref="D163:E163"/>
    <mergeCell ref="D234:E234"/>
    <mergeCell ref="D244:E244"/>
    <mergeCell ref="D171:E171"/>
    <mergeCell ref="D102:E102"/>
    <mergeCell ref="D196:E196"/>
    <mergeCell ref="D25:E25"/>
    <mergeCell ref="D133:E133"/>
    <mergeCell ref="D54:E54"/>
    <mergeCell ref="D371:E371"/>
    <mergeCell ref="D43:E43"/>
    <mergeCell ref="D137:E137"/>
    <mergeCell ref="D74:E74"/>
    <mergeCell ref="D130:E130"/>
    <mergeCell ref="D372:E372"/>
    <mergeCell ref="D201:E201"/>
    <mergeCell ref="D335:E335"/>
    <mergeCell ref="D68:E68"/>
    <mergeCell ref="D188:E188"/>
    <mergeCell ref="D132:E132"/>
    <mergeCell ref="D59:E59"/>
    <mergeCell ref="D295:E295"/>
    <mergeCell ref="D178:E178"/>
    <mergeCell ref="D172:E172"/>
    <mergeCell ref="D61:E61"/>
    <mergeCell ref="D254:E254"/>
    <mergeCell ref="D48:E48"/>
    <mergeCell ref="D346:E346"/>
    <mergeCell ref="D125:E125"/>
    <mergeCell ref="D112:E112"/>
    <mergeCell ref="D283:E283"/>
    <mergeCell ref="D348:E348"/>
    <mergeCell ref="D62:E62"/>
    <mergeCell ref="D40:E40"/>
    <mergeCell ref="D233:E233"/>
    <mergeCell ref="D338:E338"/>
    <mergeCell ref="D282:E282"/>
    <mergeCell ref="D111:E111"/>
    <mergeCell ref="D183:E183"/>
    <mergeCell ref="D248:E248"/>
    <mergeCell ref="D219:E219"/>
    <mergeCell ref="D275:E275"/>
    <mergeCell ref="D104:E104"/>
    <mergeCell ref="D185:E185"/>
    <mergeCell ref="D41:E41"/>
    <mergeCell ref="D277:E277"/>
    <mergeCell ref="D56:E56"/>
    <mergeCell ref="D193:E193"/>
    <mergeCell ref="D127:E127"/>
    <mergeCell ref="D176:E176"/>
    <mergeCell ref="D114:E114"/>
    <mergeCell ref="D285:E285"/>
    <mergeCell ref="D64:E64"/>
    <mergeCell ref="D51:E51"/>
    <mergeCell ref="D138:E138"/>
    <mergeCell ref="D203:E203"/>
    <mergeCell ref="D140:E140"/>
    <mergeCell ref="B307:C307"/>
    <mergeCell ref="D52:E52"/>
    <mergeCell ref="D350:E350"/>
    <mergeCell ref="D27:E27"/>
    <mergeCell ref="D325:E325"/>
    <mergeCell ref="D116:E116"/>
    <mergeCell ref="D352:E352"/>
    <mergeCell ref="D91:E91"/>
    <mergeCell ref="D162:E162"/>
    <mergeCell ref="D156:E156"/>
    <mergeCell ref="D327:E327"/>
    <mergeCell ref="D106:E106"/>
    <mergeCell ref="D264:E264"/>
    <mergeCell ref="D93:E93"/>
    <mergeCell ref="D220:E220"/>
    <mergeCell ref="D157:E157"/>
    <mergeCell ref="D328:E328"/>
    <mergeCell ref="D251:E251"/>
    <mergeCell ref="D343:E343"/>
    <mergeCell ref="D182:E182"/>
    <mergeCell ref="D280:E280"/>
    <mergeCell ref="D109:E109"/>
    <mergeCell ref="D345:E345"/>
    <mergeCell ref="D119:E119"/>
    <mergeCell ref="D369:E369"/>
    <mergeCell ref="D160:E160"/>
    <mergeCell ref="D141:E141"/>
    <mergeCell ref="D135:E135"/>
    <mergeCell ref="D72:E72"/>
    <mergeCell ref="D235:E235"/>
    <mergeCell ref="D255:E255"/>
    <mergeCell ref="D24:E24"/>
    <mergeCell ref="D322:E322"/>
    <mergeCell ref="D260:E260"/>
    <mergeCell ref="D309:E309"/>
    <mergeCell ref="D113:E113"/>
    <mergeCell ref="D88:E88"/>
    <mergeCell ref="D148:E148"/>
    <mergeCell ref="D26:E26"/>
    <mergeCell ref="D324:E324"/>
    <mergeCell ref="D311:E311"/>
    <mergeCell ref="D115:E115"/>
    <mergeCell ref="D90:E90"/>
    <mergeCell ref="D261:E261"/>
    <mergeCell ref="D179:E179"/>
    <mergeCell ref="D166:E166"/>
    <mergeCell ref="D337:E337"/>
    <mergeCell ref="D103:E103"/>
    <mergeCell ref="D326:E326"/>
    <mergeCell ref="D313:E313"/>
    <mergeCell ref="D236:E236"/>
    <mergeCell ref="D117:E117"/>
    <mergeCell ref="D92:E92"/>
    <mergeCell ref="D55:E55"/>
    <mergeCell ref="D30:E30"/>
    <mergeCell ref="D353:E353"/>
    <mergeCell ref="D67:E67"/>
    <mergeCell ref="D303:E303"/>
    <mergeCell ref="D290:E290"/>
    <mergeCell ref="D94:E94"/>
    <mergeCell ref="D69:E69"/>
    <mergeCell ref="D21:E21"/>
    <mergeCell ref="B36:H36"/>
    <mergeCell ref="D145:E145"/>
    <mergeCell ref="D316:E316"/>
    <mergeCell ref="D272:E272"/>
    <mergeCell ref="D210:E210"/>
    <mergeCell ref="D308:E308"/>
    <mergeCell ref="D16:E16"/>
    <mergeCell ref="D87:E87"/>
    <mergeCell ref="D209:E209"/>
    <mergeCell ref="D366:E366"/>
    <mergeCell ref="D300:E300"/>
    <mergeCell ref="D139:E139"/>
    <mergeCell ref="D214:E214"/>
    <mergeCell ref="D284:E284"/>
    <mergeCell ref="D259:E259"/>
    <mergeCell ref="K11:N11"/>
    <mergeCell ref="D28:E28"/>
    <mergeCell ref="D361:E361"/>
    <mergeCell ref="D354:E354"/>
    <mergeCell ref="D356:E356"/>
    <mergeCell ref="D147:E147"/>
    <mergeCell ref="D274:E274"/>
    <mergeCell ref="D245:E245"/>
    <mergeCell ref="D301:E301"/>
    <mergeCell ref="D122:E122"/>
    <mergeCell ref="D224:E224"/>
    <mergeCell ref="D18:E18"/>
    <mergeCell ref="D211:E211"/>
    <mergeCell ref="D82:E82"/>
    <mergeCell ref="D240:E240"/>
    <mergeCell ref="D334:E334"/>
    <mergeCell ref="D100:E100"/>
    <mergeCell ref="D15:E15"/>
    <mergeCell ref="D142:E142"/>
    <mergeCell ref="K307:N307"/>
    <mergeCell ref="D129:E129"/>
    <mergeCell ref="B10:H10"/>
    <mergeCell ref="D365:E365"/>
    <mergeCell ref="D79:E79"/>
    <mergeCell ref="D315:E315"/>
    <mergeCell ref="D144:E144"/>
    <mergeCell ref="D302:E302"/>
    <mergeCell ref="D81:E81"/>
    <mergeCell ref="D208:E208"/>
    <mergeCell ref="D31:E31"/>
    <mergeCell ref="D329:E329"/>
    <mergeCell ref="D158:E158"/>
    <mergeCell ref="D229:E229"/>
    <mergeCell ref="D77:E77"/>
    <mergeCell ref="D108:E108"/>
    <mergeCell ref="D19:E19"/>
    <mergeCell ref="B37:C37"/>
    <mergeCell ref="D37:E37"/>
    <mergeCell ref="D230:E230"/>
    <mergeCell ref="D168:E168"/>
    <mergeCell ref="D339:E339"/>
    <mergeCell ref="K37:N37"/>
    <mergeCell ref="D124:E124"/>
    <mergeCell ref="D195:E195"/>
    <mergeCell ref="D360:E360"/>
    <mergeCell ref="D189:E189"/>
    <mergeCell ref="D287:E287"/>
    <mergeCell ref="D66:E66"/>
    <mergeCell ref="D126:E126"/>
    <mergeCell ref="D197:E197"/>
    <mergeCell ref="D253:E253"/>
    <mergeCell ref="D53:E53"/>
    <mergeCell ref="D351:E351"/>
    <mergeCell ref="D47:E47"/>
    <mergeCell ref="D289:E289"/>
    <mergeCell ref="D180:E180"/>
    <mergeCell ref="D118:E118"/>
    <mergeCell ref="D167:E167"/>
    <mergeCell ref="D161:E161"/>
    <mergeCell ref="D232:E232"/>
    <mergeCell ref="D38:E38"/>
    <mergeCell ref="D169:E169"/>
    <mergeCell ref="D63:E63"/>
    <mergeCell ref="D330:E330"/>
    <mergeCell ref="D96:E96"/>
    <mergeCell ref="D363:E363"/>
    <mergeCell ref="D357:E357"/>
    <mergeCell ref="D71:E71"/>
    <mergeCell ref="D332:E332"/>
    <mergeCell ref="D307:E307"/>
    <mergeCell ref="D98:E98"/>
    <mergeCell ref="D73:E73"/>
    <mergeCell ref="D131:E131"/>
    <mergeCell ref="D258:E258"/>
    <mergeCell ref="D190:E190"/>
    <mergeCell ref="D246:E246"/>
    <mergeCell ref="D340:E340"/>
    <mergeCell ref="D347:E347"/>
    <mergeCell ref="D362:E362"/>
    <mergeCell ref="D349:E349"/>
    <mergeCell ref="D267:E267"/>
    <mergeCell ref="D359:E359"/>
    <mergeCell ref="B306:H306"/>
    <mergeCell ref="D342:E342"/>
    <mergeCell ref="D336:E336"/>
    <mergeCell ref="D271:E271"/>
    <mergeCell ref="D191:E191"/>
    <mergeCell ref="D262:E262"/>
    <mergeCell ref="D237:E237"/>
    <mergeCell ref="D60:E60"/>
    <mergeCell ref="D187:E187"/>
    <mergeCell ref="D174:E174"/>
    <mergeCell ref="D45:E45"/>
    <mergeCell ref="D281:E281"/>
    <mergeCell ref="D297:E297"/>
    <mergeCell ref="D70:E70"/>
    <mergeCell ref="D312:E312"/>
    <mergeCell ref="D263:E263"/>
    <mergeCell ref="D238:E238"/>
    <mergeCell ref="D78:E78"/>
    <mergeCell ref="D134:E134"/>
    <mergeCell ref="D205:E205"/>
    <mergeCell ref="D46:E46"/>
    <mergeCell ref="D291:E291"/>
    <mergeCell ref="D239:E239"/>
    <mergeCell ref="D95:E95"/>
    <mergeCell ref="D266:E266"/>
  </mergeCells>
  <phoneticPr fontId="2"/>
  <dataValidations count="1">
    <dataValidation type="list" allowBlank="1" showInputMessage="1" sqref="K38:K304 K308:K372 K12:K35" xr:uid="{00000000-0002-0000-0100-000000000000}">
      <formula1>"月～金,月～土,365日"</formula1>
    </dataValidation>
  </dataValidations>
  <printOptions horizontalCentered="1"/>
  <pageMargins left="0.23622047244094491" right="0.23622047244094491" top="0.35433070866141742" bottom="0.35433070866141742" header="0.31496062992125978" footer="0.31496062992125978"/>
  <pageSetup paperSize="9" scale="3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CC"/>
    <pageSetUpPr fitToPage="1"/>
  </sheetPr>
  <dimension ref="A1:AS49"/>
  <sheetViews>
    <sheetView view="pageBreakPreview" zoomScale="70" zoomScaleNormal="100" zoomScaleSheetLayoutView="70" workbookViewId="0">
      <selection activeCell="N5" sqref="N5:O5"/>
    </sheetView>
  </sheetViews>
  <sheetFormatPr defaultColWidth="5.59765625" defaultRowHeight="18" x14ac:dyDescent="0.45"/>
  <cols>
    <col min="1" max="1" width="3.09765625" style="43" customWidth="1"/>
    <col min="2" max="3" width="5.59765625" style="5" customWidth="1"/>
    <col min="4" max="4" width="13.5" style="5" customWidth="1"/>
    <col min="5" max="7" width="5.59765625" style="5" customWidth="1"/>
    <col min="8" max="8" width="10.296875" style="5" customWidth="1"/>
    <col min="9" max="9" width="5.59765625" style="5" customWidth="1"/>
    <col min="10" max="10" width="8.19921875" style="5" customWidth="1"/>
    <col min="11" max="13" width="5.59765625" style="5" customWidth="1"/>
    <col min="14" max="14" width="9.3984375" style="5" bestFit="1" customWidth="1"/>
    <col min="15" max="15" width="8.796875" style="5" customWidth="1"/>
    <col min="16" max="34" width="5.59765625" style="5" customWidth="1"/>
    <col min="35" max="35" width="9.19921875" style="5" customWidth="1"/>
    <col min="36" max="36" width="11.796875" style="5" bestFit="1" customWidth="1"/>
    <col min="37" max="37" width="3.09765625" style="5" customWidth="1"/>
    <col min="38" max="38" width="16.5" style="5" customWidth="1"/>
    <col min="39" max="40" width="5.59765625" style="5" customWidth="1"/>
    <col min="41" max="41" width="5.59765625" style="6" customWidth="1"/>
    <col min="42" max="42" width="5.59765625" style="5" customWidth="1"/>
  </cols>
  <sheetData>
    <row r="1" spans="2:42" ht="18" customHeight="1" x14ac:dyDescent="0.45">
      <c r="J1" s="14"/>
      <c r="K1" s="14"/>
      <c r="L1" s="14"/>
      <c r="M1" s="14"/>
      <c r="N1" s="14"/>
      <c r="O1" s="14"/>
      <c r="P1" s="14"/>
      <c r="Q1" s="8"/>
      <c r="R1" s="8"/>
    </row>
    <row r="2" spans="2:42" ht="18" customHeight="1" x14ac:dyDescent="0.45">
      <c r="J2" s="14"/>
      <c r="K2" s="14"/>
      <c r="L2" s="14"/>
      <c r="M2" s="14"/>
      <c r="N2" s="14"/>
      <c r="O2" s="14"/>
      <c r="P2" s="14"/>
      <c r="Q2" s="8"/>
      <c r="R2" s="8"/>
    </row>
    <row r="3" spans="2:42" ht="18" customHeight="1" x14ac:dyDescent="0.45">
      <c r="B3" s="139" t="s">
        <v>50</v>
      </c>
      <c r="C3" s="118"/>
      <c r="D3" s="118"/>
      <c r="E3" s="118"/>
      <c r="F3" s="118"/>
      <c r="G3" s="118"/>
      <c r="H3" s="118"/>
      <c r="I3" s="118"/>
      <c r="J3" s="142"/>
      <c r="K3" s="121"/>
      <c r="L3" s="120" t="s">
        <v>51</v>
      </c>
      <c r="M3" s="121"/>
      <c r="N3" s="123">
        <f>SUM(N4:O6)</f>
        <v>0</v>
      </c>
      <c r="O3" s="121"/>
      <c r="P3" s="142" t="s">
        <v>52</v>
      </c>
      <c r="Q3" s="121"/>
      <c r="R3" s="15"/>
      <c r="AA3" s="156" t="s">
        <v>40</v>
      </c>
      <c r="AB3" s="118"/>
      <c r="AC3" s="146">
        <f>SUM(AC4)</f>
        <v>0</v>
      </c>
      <c r="AD3" s="118"/>
      <c r="AE3" s="147" t="s">
        <v>53</v>
      </c>
      <c r="AF3" s="118"/>
      <c r="AG3" s="9"/>
      <c r="AH3" s="9"/>
    </row>
    <row r="4" spans="2:42" ht="18.600000000000001" customHeight="1" x14ac:dyDescent="0.45">
      <c r="B4" s="118"/>
      <c r="C4" s="118"/>
      <c r="D4" s="118"/>
      <c r="E4" s="118"/>
      <c r="F4" s="118"/>
      <c r="G4" s="118"/>
      <c r="H4" s="118"/>
      <c r="I4" s="118"/>
      <c r="J4" s="129" t="s">
        <v>54</v>
      </c>
      <c r="K4" s="128"/>
      <c r="L4" s="128"/>
      <c r="M4" s="128"/>
      <c r="N4" s="127">
        <f>COUNTIF(Kintoneデータ抽出!K:K,"院内")</f>
        <v>0</v>
      </c>
      <c r="O4" s="128"/>
      <c r="P4" s="127" t="s">
        <v>53</v>
      </c>
      <c r="Q4" s="128"/>
      <c r="R4" s="16"/>
      <c r="U4" s="9"/>
      <c r="V4" s="9"/>
      <c r="W4" s="9"/>
      <c r="X4" s="9"/>
      <c r="Y4" s="9"/>
      <c r="Z4" s="9"/>
      <c r="AA4" s="117" t="s">
        <v>40</v>
      </c>
      <c r="AB4" s="118"/>
      <c r="AC4" s="10">
        <f>SUM(AG4+AJ4)</f>
        <v>0</v>
      </c>
      <c r="AD4" s="9" t="s">
        <v>53</v>
      </c>
      <c r="AE4" s="117" t="s">
        <v>55</v>
      </c>
      <c r="AF4" s="117"/>
      <c r="AG4" s="10">
        <f>COUNTIF('クライアント名あり（縦）'!$F$38:$F$304,"*北海道*")</f>
        <v>0</v>
      </c>
      <c r="AH4" s="125" t="s">
        <v>56</v>
      </c>
      <c r="AI4" s="125"/>
      <c r="AJ4" s="10">
        <f>COUNTIF('クライアント名あり（縦）'!$F$308:$F$372,"*北海道*")</f>
        <v>0</v>
      </c>
      <c r="AK4" s="12" t="s">
        <v>57</v>
      </c>
      <c r="AL4"/>
      <c r="AM4" s="18"/>
      <c r="AO4" s="10"/>
      <c r="AP4" s="9"/>
    </row>
    <row r="5" spans="2:42" ht="22.2" customHeight="1" x14ac:dyDescent="0.45">
      <c r="B5" s="118"/>
      <c r="C5" s="118"/>
      <c r="D5" s="118"/>
      <c r="E5" s="118"/>
      <c r="F5" s="118"/>
      <c r="G5" s="118"/>
      <c r="H5" s="118"/>
      <c r="I5" s="118"/>
      <c r="J5" s="129" t="s">
        <v>58</v>
      </c>
      <c r="K5" s="128"/>
      <c r="L5" s="128"/>
      <c r="M5" s="128"/>
      <c r="N5" s="127">
        <f>COUNTIF(Kintoneデータ抽出!K:K,"企業内")</f>
        <v>0</v>
      </c>
      <c r="O5" s="128"/>
      <c r="P5" s="127" t="s">
        <v>53</v>
      </c>
      <c r="Q5" s="128"/>
      <c r="R5" s="16"/>
      <c r="U5" s="9"/>
      <c r="V5" s="9"/>
      <c r="W5" s="9"/>
      <c r="X5" s="9"/>
      <c r="Y5" s="9"/>
      <c r="Z5" s="9"/>
      <c r="AA5" s="117"/>
      <c r="AB5" s="118"/>
      <c r="AC5" s="10"/>
      <c r="AD5" s="9"/>
      <c r="AE5" s="117"/>
      <c r="AF5" s="118"/>
      <c r="AG5" s="10"/>
      <c r="AH5" s="9"/>
      <c r="AI5" s="11"/>
      <c r="AL5"/>
      <c r="AM5" s="18"/>
    </row>
    <row r="6" spans="2:42" ht="22.2" customHeight="1" x14ac:dyDescent="0.45">
      <c r="B6" s="118"/>
      <c r="C6" s="118"/>
      <c r="D6" s="118"/>
      <c r="E6" s="118"/>
      <c r="F6" s="118"/>
      <c r="G6" s="118"/>
      <c r="H6" s="118"/>
      <c r="I6" s="118"/>
      <c r="J6" s="129" t="s">
        <v>59</v>
      </c>
      <c r="K6" s="128"/>
      <c r="L6" s="128"/>
      <c r="M6" s="128"/>
      <c r="N6" s="127">
        <f>COUNTIF(Kintoneデータ抽出!K:K,"認可")+COUNTIF(Kintoneデータ抽出!K:K,"小規模")</f>
        <v>0</v>
      </c>
      <c r="O6" s="128"/>
      <c r="P6" s="127" t="s">
        <v>53</v>
      </c>
      <c r="Q6" s="128"/>
      <c r="R6" s="16"/>
      <c r="U6" s="9"/>
      <c r="V6" s="9"/>
      <c r="W6" s="9"/>
      <c r="X6" s="9"/>
      <c r="Y6" s="9"/>
      <c r="Z6" s="9"/>
      <c r="AA6" s="136" t="s">
        <v>47</v>
      </c>
      <c r="AB6" s="118"/>
      <c r="AC6" s="157">
        <f>SUM(AC12:AC13,AC7:AC10)</f>
        <v>0</v>
      </c>
      <c r="AD6" s="118"/>
      <c r="AE6" s="158" t="s">
        <v>53</v>
      </c>
      <c r="AF6" s="118"/>
      <c r="AG6" s="10"/>
      <c r="AH6" s="9"/>
      <c r="AI6" s="11"/>
      <c r="AL6"/>
      <c r="AM6"/>
    </row>
    <row r="7" spans="2:42" ht="18.600000000000001" customHeight="1" x14ac:dyDescent="0.45">
      <c r="B7" s="118"/>
      <c r="C7" s="118"/>
      <c r="D7" s="118"/>
      <c r="E7" s="118"/>
      <c r="F7" s="118"/>
      <c r="G7" s="118"/>
      <c r="H7" s="118"/>
      <c r="I7" s="118"/>
      <c r="J7" s="20"/>
      <c r="K7" s="20"/>
      <c r="L7" s="20"/>
      <c r="M7" s="20"/>
      <c r="N7" s="20"/>
      <c r="O7" s="20"/>
      <c r="P7" s="20"/>
      <c r="Q7" s="20"/>
      <c r="R7" s="20"/>
      <c r="U7" s="9"/>
      <c r="V7" s="9"/>
      <c r="W7" s="9"/>
      <c r="X7" s="9"/>
      <c r="Y7" s="9"/>
      <c r="Z7" s="9"/>
      <c r="AA7" s="117" t="s">
        <v>60</v>
      </c>
      <c r="AB7" s="118"/>
      <c r="AC7" s="10">
        <f>SUM(AG7,AJ7)</f>
        <v>0</v>
      </c>
      <c r="AD7" s="9" t="s">
        <v>53</v>
      </c>
      <c r="AE7" s="117" t="s">
        <v>55</v>
      </c>
      <c r="AF7" s="118"/>
      <c r="AG7" s="10">
        <f>COUNTIFS(Kintoneデータ抽出!$A:$A,"*"&amp;AA7&amp;"*",Kintoneデータ抽出!$K:$K,"*院内*")</f>
        <v>0</v>
      </c>
      <c r="AH7" s="159" t="str">
        <f>IF(AJ7&lt;&gt;"","／ 事業所内","）")</f>
        <v>）</v>
      </c>
      <c r="AI7" s="159"/>
      <c r="AJ7" s="10" t="str">
        <f>IF(COUNTIFS(Kintoneデータ抽出!$A:$A,"*"&amp;AA7&amp;"*",Kintoneデータ抽出!$K:$K,"*企業内*")&lt;&gt;0,
COUNTIFS(Kintoneデータ抽出!$A:$A,"*"&amp;AA7&amp;"*",Kintoneデータ抽出!$K:$K,"*企業内*"),"")</f>
        <v/>
      </c>
      <c r="AK7" s="9" t="str">
        <f>IF(AJ7&lt;&gt;"","）","")</f>
        <v/>
      </c>
      <c r="AL7"/>
      <c r="AM7" s="18"/>
    </row>
    <row r="8" spans="2:42" ht="18.600000000000001" customHeight="1" x14ac:dyDescent="0.45">
      <c r="B8" s="118"/>
      <c r="C8" s="118"/>
      <c r="D8" s="118"/>
      <c r="E8" s="118"/>
      <c r="F8" s="118"/>
      <c r="G8" s="118"/>
      <c r="H8" s="118"/>
      <c r="I8" s="118"/>
      <c r="J8" s="138" t="s">
        <v>61</v>
      </c>
      <c r="K8" s="118"/>
      <c r="L8" s="118"/>
      <c r="M8" s="118"/>
      <c r="N8" s="149">
        <f>COUNTIF(Kintoneデータ抽出!B:B,"開園予定")</f>
        <v>0</v>
      </c>
      <c r="O8" s="118"/>
      <c r="P8" s="149" t="s">
        <v>53</v>
      </c>
      <c r="Q8" s="118"/>
      <c r="R8" s="19"/>
      <c r="U8" s="9"/>
      <c r="V8" s="9"/>
      <c r="W8" s="9"/>
      <c r="X8" s="9"/>
      <c r="Y8" s="9"/>
      <c r="Z8" s="9"/>
      <c r="AA8" s="117" t="s">
        <v>62</v>
      </c>
      <c r="AB8" s="118"/>
      <c r="AC8" s="10">
        <f>SUM(AG8,AJ8)</f>
        <v>0</v>
      </c>
      <c r="AD8" s="9" t="s">
        <v>53</v>
      </c>
      <c r="AE8" s="117" t="s">
        <v>55</v>
      </c>
      <c r="AF8" s="118"/>
      <c r="AG8" s="10">
        <f>COUNTIFS(Kintoneデータ抽出!$A:$A,"*"&amp;AA8&amp;"*",Kintoneデータ抽出!$K:$K,"*院内*")</f>
        <v>0</v>
      </c>
      <c r="AH8" s="159" t="str">
        <f>IF(AJ8&lt;&gt;"","／ 事業所内","）")</f>
        <v>）</v>
      </c>
      <c r="AI8" s="159"/>
      <c r="AJ8" s="10" t="str">
        <f>IF(COUNTIFS(Kintoneデータ抽出!$A:$A,"*"&amp;AA8&amp;"*",Kintoneデータ抽出!$K:$K,"*企業内*")&lt;&gt;0,
COUNTIFS(Kintoneデータ抽出!$A:$A,"*"&amp;AA8&amp;"*",Kintoneデータ抽出!$K:$K,"*企業内*"),"")</f>
        <v/>
      </c>
      <c r="AK8" s="9" t="str">
        <f>IF(AJ8&lt;&gt;"","）","")</f>
        <v/>
      </c>
      <c r="AL8"/>
      <c r="AM8" s="18"/>
    </row>
    <row r="9" spans="2:42" ht="18.600000000000001" customHeight="1" x14ac:dyDescent="0.45">
      <c r="B9" s="118"/>
      <c r="C9" s="118"/>
      <c r="D9" s="118"/>
      <c r="E9" s="118"/>
      <c r="F9" s="118"/>
      <c r="G9" s="118"/>
      <c r="H9" s="118"/>
      <c r="I9" s="118"/>
      <c r="U9" s="9"/>
      <c r="V9" s="9"/>
      <c r="W9" s="9"/>
      <c r="X9" s="9"/>
      <c r="Y9" s="9"/>
      <c r="Z9" s="9"/>
      <c r="AA9" s="117" t="s">
        <v>63</v>
      </c>
      <c r="AB9" s="118"/>
      <c r="AC9" s="10">
        <f>SUM(AG9,AJ9)</f>
        <v>0</v>
      </c>
      <c r="AD9" s="9" t="s">
        <v>53</v>
      </c>
      <c r="AE9" s="117" t="s">
        <v>168</v>
      </c>
      <c r="AF9" s="118"/>
      <c r="AG9" s="10">
        <f>COUNTIFS(Kintoneデータ抽出!$A:$A,"*"&amp;AA9&amp;"*",Kintoneデータ抽出!$K:$K,"*認可*")
+COUNTIFS(Kintoneデータ抽出!$A:$A,"*"&amp;AA9&amp;"*",Kintoneデータ抽出!$K:$K,"*小規模*")</f>
        <v>0</v>
      </c>
      <c r="AH9" s="125" t="s">
        <v>57</v>
      </c>
      <c r="AI9" s="118"/>
      <c r="AJ9" s="10" t="str">
        <f>IF(COUNTIFS(Kintoneデータ抽出!$A:$A,"*"&amp;AA9&amp;"*",Kintoneデータ抽出!$K:$K,"*企業内*")&lt;&gt;0,
COUNTIFS(Kintoneデータ抽出!$A:$A,"*"&amp;AA9&amp;"*",Kintoneデータ抽出!$K:$K,"*企業内*"),"")</f>
        <v/>
      </c>
      <c r="AK9" s="9" t="str">
        <f>IF(AJ9&lt;&gt;"","）","")</f>
        <v/>
      </c>
      <c r="AL9"/>
      <c r="AM9"/>
    </row>
    <row r="10" spans="2:42" ht="18.600000000000001" customHeight="1" x14ac:dyDescent="0.45">
      <c r="U10" s="9"/>
      <c r="V10" s="9"/>
      <c r="W10" s="9"/>
      <c r="X10" s="9"/>
      <c r="Y10" s="9"/>
      <c r="Z10" s="9"/>
      <c r="AA10" s="117" t="s">
        <v>64</v>
      </c>
      <c r="AB10" s="118"/>
      <c r="AC10" s="10">
        <f>SUM(AG10,AJ10)</f>
        <v>0</v>
      </c>
      <c r="AD10" s="9" t="s">
        <v>53</v>
      </c>
      <c r="AE10" s="117" t="s">
        <v>55</v>
      </c>
      <c r="AF10" s="118"/>
      <c r="AG10" s="10">
        <f>COUNTIFS(Kintoneデータ抽出!$A:$A,"*"&amp;AA10&amp;"*",Kintoneデータ抽出!$K:$K,"*院内*")</f>
        <v>0</v>
      </c>
      <c r="AH10" s="159" t="str">
        <f>IF(AJ10&lt;&gt;"","／ 事業所内","）")</f>
        <v>）</v>
      </c>
      <c r="AI10" s="159"/>
      <c r="AJ10" s="10" t="str">
        <f>IF(COUNTIFS(Kintoneデータ抽出!$A:$A,"*"&amp;AA10&amp;"*",Kintoneデータ抽出!$K:$K,"*企業内*")&lt;&gt;0,
COUNTIFS(Kintoneデータ抽出!$A:$A,"*"&amp;AA10&amp;"*",Kintoneデータ抽出!$K:$K,"*企業内*"),"")</f>
        <v/>
      </c>
      <c r="AK10" s="9" t="str">
        <f>IF(AJ10&lt;&gt;"","）","")</f>
        <v/>
      </c>
      <c r="AL10"/>
      <c r="AM10"/>
    </row>
    <row r="11" spans="2:42" ht="18.600000000000001" customHeight="1" x14ac:dyDescent="0.45">
      <c r="B11" s="135" t="s">
        <v>65</v>
      </c>
      <c r="C11" s="118"/>
      <c r="D11" s="137">
        <f>SUM(D12:D18)</f>
        <v>0</v>
      </c>
      <c r="E11" s="118"/>
      <c r="F11" s="152" t="s">
        <v>53</v>
      </c>
      <c r="G11" s="118"/>
      <c r="H11" s="9"/>
      <c r="I11" s="9"/>
      <c r="J11" s="9"/>
      <c r="K11" s="9"/>
      <c r="L11" s="9"/>
      <c r="V11" s="9"/>
      <c r="W11" s="9"/>
      <c r="X11" s="9"/>
      <c r="Y11" s="9"/>
      <c r="Z11" s="9"/>
      <c r="AA11" s="9"/>
      <c r="AB11" s="9"/>
      <c r="AC11" s="10"/>
      <c r="AD11" s="9"/>
      <c r="AE11" s="117" t="s">
        <v>168</v>
      </c>
      <c r="AF11" s="118"/>
      <c r="AG11" s="10">
        <f>COUNTIFS(Kintoneデータ抽出!$A:$A,"*"&amp;AA10&amp;"*",Kintoneデータ抽出!$K:$K,"*認可*")
+COUNTIFS(Kintoneデータ抽出!$A:$A,"*"&amp;AA10&amp;"*",Kintoneデータ抽出!$K:$K,"*小規模*")</f>
        <v>0</v>
      </c>
      <c r="AH11" s="125" t="s">
        <v>57</v>
      </c>
      <c r="AI11" s="118"/>
      <c r="AJ11" s="9"/>
      <c r="AK11" s="12"/>
    </row>
    <row r="12" spans="2:42" ht="18.600000000000001" customHeight="1" x14ac:dyDescent="0.45">
      <c r="B12" s="117" t="s">
        <v>66</v>
      </c>
      <c r="C12" s="118"/>
      <c r="D12" s="10">
        <f>SUM(H12,K12)</f>
        <v>0</v>
      </c>
      <c r="E12" s="9" t="s">
        <v>53</v>
      </c>
      <c r="F12" s="117" t="s">
        <v>55</v>
      </c>
      <c r="G12" s="118"/>
      <c r="H12" s="10">
        <f>COUNTIFS(Kintoneデータ抽出!$A:$A,"*"&amp;B12&amp;"*",Kintoneデータ抽出!$K:$K,"*院内*")</f>
        <v>0</v>
      </c>
      <c r="I12" s="159" t="str">
        <f>IF(K12&lt;&gt;"","／ 事業所内","）")</f>
        <v>）</v>
      </c>
      <c r="J12" s="159"/>
      <c r="K12" s="10" t="str">
        <f>IF(COUNTIFS(Kintoneデータ抽出!$A:$A,"*"&amp;B12&amp;"*",Kintoneデータ抽出!$K:$K,"*企業内*")&lt;&gt;0,
COUNTIFS(Kintoneデータ抽出!$A:$A,"*"&amp;B12&amp;"*",Kintoneデータ抽出!$K:$K,"*企業内*"),"")</f>
        <v/>
      </c>
      <c r="L12" s="9" t="str">
        <f>IF(K12&lt;&gt;"","）","")</f>
        <v/>
      </c>
      <c r="V12" s="9"/>
      <c r="W12" s="9"/>
      <c r="X12" s="9"/>
      <c r="Y12" s="9"/>
      <c r="Z12" s="9"/>
      <c r="AA12" s="117" t="s">
        <v>67</v>
      </c>
      <c r="AB12" s="118"/>
      <c r="AC12" s="10">
        <f>SUM(AG12,AJ12)</f>
        <v>0</v>
      </c>
      <c r="AD12" s="9" t="s">
        <v>53</v>
      </c>
      <c r="AE12" s="117" t="s">
        <v>55</v>
      </c>
      <c r="AF12" s="118"/>
      <c r="AG12" s="10">
        <f>COUNTIFS(Kintoneデータ抽出!$A:$A,"*"&amp;AA12&amp;"*",Kintoneデータ抽出!$K:$K,"*院内*")</f>
        <v>0</v>
      </c>
      <c r="AH12" s="159" t="str">
        <f>IF(AJ12&lt;&gt;"","／ 事業所内","）")</f>
        <v>）</v>
      </c>
      <c r="AI12" s="159"/>
      <c r="AJ12" s="10" t="str">
        <f>IF(COUNTIFS(Kintoneデータ抽出!$A:$A,"*"&amp;AA12&amp;"*",Kintoneデータ抽出!$K:$K,"*企業内*")&lt;&gt;0,
COUNTIFS(Kintoneデータ抽出!$A:$A,"*"&amp;AA12&amp;"*",Kintoneデータ抽出!$K:$K,"*企業内*"),"")</f>
        <v/>
      </c>
      <c r="AK12" s="9" t="str">
        <f>IF(AJ12&lt;&gt;"","）","")</f>
        <v/>
      </c>
      <c r="AL12"/>
    </row>
    <row r="13" spans="2:42" ht="18.600000000000001" customHeight="1" x14ac:dyDescent="0.45">
      <c r="B13" s="117" t="s">
        <v>68</v>
      </c>
      <c r="C13" s="118"/>
      <c r="D13" s="10">
        <f>SUM(H13,K13)</f>
        <v>0</v>
      </c>
      <c r="E13" s="9" t="s">
        <v>53</v>
      </c>
      <c r="F13" s="117" t="s">
        <v>55</v>
      </c>
      <c r="G13" s="118"/>
      <c r="H13" s="10">
        <f>COUNTIFS(Kintoneデータ抽出!$A:$A,"*"&amp;B13&amp;"*",Kintoneデータ抽出!$K:$K,"*院内*")</f>
        <v>0</v>
      </c>
      <c r="I13" s="159" t="str">
        <f>IF(K13&lt;&gt;"","／ 事業所内","）")</f>
        <v>）</v>
      </c>
      <c r="J13" s="159"/>
      <c r="K13" s="10" t="str">
        <f>IF(COUNTIFS(Kintoneデータ抽出!$A:$A,"*"&amp;B13&amp;"*",Kintoneデータ抽出!$K:$K,"*企業内*")&lt;&gt;0,
COUNTIFS(Kintoneデータ抽出!$A:$A,"*"&amp;B13&amp;"*",Kintoneデータ抽出!$K:$K,"*企業内*"),"")</f>
        <v/>
      </c>
      <c r="L13" s="9" t="str">
        <f>IF(K13&lt;&gt;"","）","")</f>
        <v/>
      </c>
      <c r="V13" s="9"/>
      <c r="W13" s="9"/>
      <c r="X13" s="9"/>
      <c r="Y13" s="9"/>
      <c r="Z13" s="9"/>
      <c r="AA13" s="117" t="s">
        <v>69</v>
      </c>
      <c r="AB13" s="118"/>
      <c r="AC13" s="10">
        <f>SUM(AG13,AJ13)</f>
        <v>0</v>
      </c>
      <c r="AD13" s="9" t="s">
        <v>53</v>
      </c>
      <c r="AE13" s="117" t="s">
        <v>55</v>
      </c>
      <c r="AF13" s="118"/>
      <c r="AG13" s="10">
        <f>COUNTIFS(Kintoneデータ抽出!$A:$A,"*"&amp;AA13&amp;"*",Kintoneデータ抽出!$K:$K,"*院内*")</f>
        <v>0</v>
      </c>
      <c r="AH13" s="159" t="str">
        <f>IF(AJ13&lt;&gt;"","／ 事業所内","）")</f>
        <v>）</v>
      </c>
      <c r="AI13" s="159"/>
      <c r="AJ13" s="10" t="str">
        <f>IF(COUNTIFS(Kintoneデータ抽出!$A:$A,"*"&amp;AA13&amp;"*",Kintoneデータ抽出!$K:$K,"*企業内*")&lt;&gt;0,
COUNTIFS(Kintoneデータ抽出!$A:$A,"*"&amp;AA13&amp;"*",Kintoneデータ抽出!$K:$K,"*企業内*"),"")</f>
        <v/>
      </c>
      <c r="AK13" s="9" t="str">
        <f>IF(AJ13&lt;&gt;"","）","")</f>
        <v/>
      </c>
      <c r="AL13"/>
    </row>
    <row r="14" spans="2:42" ht="22.2" customHeight="1" x14ac:dyDescent="0.45">
      <c r="B14" s="117" t="s">
        <v>70</v>
      </c>
      <c r="C14" s="118"/>
      <c r="D14" s="10">
        <f>SUM(H14,K14)</f>
        <v>0</v>
      </c>
      <c r="E14" s="9" t="s">
        <v>53</v>
      </c>
      <c r="F14" s="117" t="s">
        <v>55</v>
      </c>
      <c r="G14" s="118"/>
      <c r="H14" s="10">
        <f>COUNTIFS(Kintoneデータ抽出!$A:$A,"*"&amp;B14&amp;"*",Kintoneデータ抽出!$K:$K,"*院内*")</f>
        <v>0</v>
      </c>
      <c r="I14" s="159" t="str">
        <f>IF(K14&lt;&gt;"","／ 事業所内","）")</f>
        <v>）</v>
      </c>
      <c r="J14" s="159"/>
      <c r="K14" s="10" t="str">
        <f>IF(COUNTIFS(Kintoneデータ抽出!$A:$A,"*"&amp;B14&amp;"*",Kintoneデータ抽出!$K:$K,"*企業内*")&lt;&gt;0,
COUNTIFS(Kintoneデータ抽出!$A:$A,"*"&amp;B14&amp;"*",Kintoneデータ抽出!$K:$K,"*企業内*"),"")</f>
        <v/>
      </c>
      <c r="L14" s="9" t="str">
        <f>IF(K14&lt;&gt;"","）","")</f>
        <v/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9"/>
      <c r="AI14" s="11"/>
      <c r="AJ14" s="11"/>
      <c r="AK14" s="13"/>
    </row>
    <row r="15" spans="2:42" ht="18.600000000000001" customHeight="1" x14ac:dyDescent="0.45">
      <c r="B15" s="117" t="s">
        <v>71</v>
      </c>
      <c r="C15" s="118"/>
      <c r="D15" s="10">
        <f>SUM(H15,K15)</f>
        <v>0</v>
      </c>
      <c r="E15" s="9" t="s">
        <v>53</v>
      </c>
      <c r="F15" s="117" t="s">
        <v>55</v>
      </c>
      <c r="G15" s="118"/>
      <c r="H15" s="10">
        <f>COUNTIFS(Kintoneデータ抽出!$A:$A,"*"&amp;B15&amp;"*",Kintoneデータ抽出!$K:$K,"*院内*")</f>
        <v>0</v>
      </c>
      <c r="I15" s="159" t="str">
        <f>IF(K15&lt;&gt;"","／ 事業所内","）")</f>
        <v>）</v>
      </c>
      <c r="J15" s="159"/>
      <c r="K15" s="10" t="str">
        <f>IF(COUNTIFS(Kintoneデータ抽出!$A:$A,"*"&amp;B15&amp;"*",Kintoneデータ抽出!$K:$K,"*企業内*")&lt;&gt;0,
COUNTIFS(Kintoneデータ抽出!$A:$A,"*"&amp;B15&amp;"*",Kintoneデータ抽出!$K:$K,"*企業内*"),"")</f>
        <v/>
      </c>
      <c r="L15" s="9" t="str">
        <f>IF(K15&lt;&gt;"","）","")</f>
        <v/>
      </c>
      <c r="V15" s="9"/>
      <c r="W15" s="9"/>
      <c r="X15" s="9"/>
      <c r="Y15" s="9"/>
      <c r="Z15" s="9"/>
      <c r="AA15" s="124" t="s">
        <v>72</v>
      </c>
      <c r="AB15" s="118"/>
      <c r="AC15" s="126">
        <f>SUM(AC16:AC22)</f>
        <v>0</v>
      </c>
      <c r="AD15" s="118"/>
      <c r="AE15" s="151" t="s">
        <v>53</v>
      </c>
      <c r="AF15" s="118"/>
      <c r="AG15" s="9"/>
      <c r="AH15" s="9"/>
      <c r="AI15" s="9"/>
      <c r="AJ15" s="9"/>
      <c r="AK15" s="12"/>
    </row>
    <row r="16" spans="2:42" ht="18.600000000000001" customHeight="1" x14ac:dyDescent="0.45">
      <c r="B16" s="117" t="s">
        <v>73</v>
      </c>
      <c r="C16" s="118"/>
      <c r="D16" s="10">
        <f>SUM(H16,K16)</f>
        <v>0</v>
      </c>
      <c r="E16" s="9" t="s">
        <v>53</v>
      </c>
      <c r="F16" s="117" t="s">
        <v>55</v>
      </c>
      <c r="G16" s="118"/>
      <c r="H16" s="10">
        <f>COUNTIFS(Kintoneデータ抽出!$A:$A,"*"&amp;B16&amp;"*",Kintoneデータ抽出!$K:$K,"*院内*")</f>
        <v>0</v>
      </c>
      <c r="I16" s="159" t="str">
        <f>IF(K16&lt;&gt;"","／ 事業所内","）")</f>
        <v>）</v>
      </c>
      <c r="J16" s="159"/>
      <c r="K16" s="10" t="str">
        <f>IF(COUNTIFS(Kintoneデータ抽出!$A:$A,"*"&amp;B16&amp;"*",Kintoneデータ抽出!$K:$K,"*企業内*")&lt;&gt;0,
COUNTIFS(Kintoneデータ抽出!$A:$A,"*"&amp;B16&amp;"*",Kintoneデータ抽出!$K:$K,"*企業内*"),"")</f>
        <v/>
      </c>
      <c r="L16" s="9" t="str">
        <f>IF(K16&lt;&gt;"","）","")</f>
        <v/>
      </c>
      <c r="V16" s="9"/>
      <c r="W16" s="9"/>
      <c r="X16" s="9"/>
      <c r="Y16" s="9"/>
      <c r="Z16" s="9"/>
      <c r="AA16" s="117" t="s">
        <v>74</v>
      </c>
      <c r="AB16" s="118"/>
      <c r="AC16" s="10">
        <f>SUM(AG16,AJ16)</f>
        <v>0</v>
      </c>
      <c r="AD16" s="9" t="s">
        <v>53</v>
      </c>
      <c r="AE16" s="117" t="s">
        <v>55</v>
      </c>
      <c r="AF16" s="118"/>
      <c r="AG16" s="10">
        <f>COUNTIFS(Kintoneデータ抽出!$A:$A,"*"&amp;AA16&amp;"*",Kintoneデータ抽出!$K:$K,"*院内*")</f>
        <v>0</v>
      </c>
      <c r="AH16" s="159" t="str">
        <f>IF(AJ16&lt;&gt;"","／ 事業所内","）")</f>
        <v>）</v>
      </c>
      <c r="AI16" s="159"/>
      <c r="AJ16" s="10" t="str">
        <f>IF(COUNTIFS(Kintoneデータ抽出!$A:$A,"*"&amp;AA16&amp;"*",Kintoneデータ抽出!$K:$K,"*企業内*")&lt;&gt;0,
COUNTIFS(Kintoneデータ抽出!$A:$A,"*"&amp;AA16&amp;"*",Kintoneデータ抽出!$K:$K,"*企業内*"),"")</f>
        <v/>
      </c>
      <c r="AK16" s="9" t="str">
        <f>IF(AJ16&lt;&gt;"","）","")</f>
        <v/>
      </c>
    </row>
    <row r="17" spans="2:37" ht="18.600000000000001" customHeight="1" x14ac:dyDescent="0.45">
      <c r="B17" s="117" t="s">
        <v>75</v>
      </c>
      <c r="C17" s="118"/>
      <c r="D17" s="10">
        <f>SUM(H17,K17)</f>
        <v>0</v>
      </c>
      <c r="E17" s="9" t="s">
        <v>53</v>
      </c>
      <c r="F17" s="117" t="s">
        <v>55</v>
      </c>
      <c r="G17" s="118"/>
      <c r="H17" s="10">
        <f>COUNTIFS(Kintoneデータ抽出!$A:$A,"*"&amp;B17&amp;"*",Kintoneデータ抽出!$K:$K,"*院内*")</f>
        <v>0</v>
      </c>
      <c r="I17" s="159" t="str">
        <f>IF(K17&lt;&gt;"","／ 事業所内","）")</f>
        <v>）</v>
      </c>
      <c r="J17" s="159"/>
      <c r="K17" s="10" t="str">
        <f>IF(COUNTIFS(Kintoneデータ抽出!$A:$A,"*"&amp;B17&amp;"*",Kintoneデータ抽出!$K:$K,"*企業内*")&lt;&gt;0,
COUNTIFS(Kintoneデータ抽出!$A:$A,"*"&amp;B17&amp;"*",Kintoneデータ抽出!$K:$K,"*企業内*"),"")</f>
        <v/>
      </c>
      <c r="L17" s="9" t="str">
        <f>IF(K17&lt;&gt;"","）","")</f>
        <v/>
      </c>
      <c r="V17" s="9"/>
      <c r="W17" s="9"/>
      <c r="X17" s="9"/>
      <c r="Y17" s="9"/>
      <c r="Z17" s="9"/>
      <c r="AA17" s="117" t="s">
        <v>76</v>
      </c>
      <c r="AB17" s="118"/>
      <c r="AC17" s="10">
        <f>SUM(AG17,AJ17)</f>
        <v>0</v>
      </c>
      <c r="AD17" s="9" t="s">
        <v>53</v>
      </c>
      <c r="AE17" s="117" t="s">
        <v>55</v>
      </c>
      <c r="AF17" s="118"/>
      <c r="AG17" s="10">
        <f>COUNTIFS(Kintoneデータ抽出!$A:$A,"*"&amp;AA17&amp;"*",Kintoneデータ抽出!$K:$K,"*院内*")</f>
        <v>0</v>
      </c>
      <c r="AH17" s="159" t="str">
        <f>IF(AJ17&lt;&gt;"","／ 事業所内","）")</f>
        <v>）</v>
      </c>
      <c r="AI17" s="159"/>
      <c r="AJ17" s="10" t="str">
        <f>IF(COUNTIFS(Kintoneデータ抽出!$A:$A,"*"&amp;AA17&amp;"*",Kintoneデータ抽出!$K:$K,"*企業内*")&lt;&gt;0,
COUNTIFS(Kintoneデータ抽出!$A:$A,"*"&amp;AA17&amp;"*",Kintoneデータ抽出!$K:$K,"*企業内*"),"")</f>
        <v/>
      </c>
      <c r="AK17" s="9" t="str">
        <f>IF(AJ17&lt;&gt;"","）","")</f>
        <v/>
      </c>
    </row>
    <row r="18" spans="2:37" ht="18.600000000000001" customHeight="1" x14ac:dyDescent="0.45">
      <c r="B18" s="117" t="s">
        <v>77</v>
      </c>
      <c r="C18" s="118"/>
      <c r="D18" s="10">
        <f>SUM(H18,K18)</f>
        <v>0</v>
      </c>
      <c r="E18" s="9" t="s">
        <v>53</v>
      </c>
      <c r="F18" s="117" t="s">
        <v>55</v>
      </c>
      <c r="G18" s="118"/>
      <c r="H18" s="10">
        <f>COUNTIFS(Kintoneデータ抽出!$A:$A,"*"&amp;B18&amp;"*",Kintoneデータ抽出!$K:$K,"*院内*")</f>
        <v>0</v>
      </c>
      <c r="I18" s="159" t="str">
        <f>IF(K18&lt;&gt;"","／ 事業所内","）")</f>
        <v>）</v>
      </c>
      <c r="J18" s="159"/>
      <c r="K18" s="10" t="str">
        <f>IF(COUNTIFS(Kintoneデータ抽出!$A:$A,"*"&amp;B18&amp;"*",Kintoneデータ抽出!$K:$K,"*企業内*")&lt;&gt;0,
COUNTIFS(Kintoneデータ抽出!$A:$A,"*"&amp;B18&amp;"*",Kintoneデータ抽出!$K:$K,"*企業内*"),"")</f>
        <v/>
      </c>
      <c r="L18" s="9" t="str">
        <f>IF(K18&lt;&gt;"","）","")</f>
        <v/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17" t="s">
        <v>78</v>
      </c>
      <c r="AB18" s="118"/>
      <c r="AC18" s="10">
        <f>SUM(AG18,AJ18)</f>
        <v>0</v>
      </c>
      <c r="AD18" s="9" t="s">
        <v>53</v>
      </c>
      <c r="AE18" s="117" t="s">
        <v>55</v>
      </c>
      <c r="AF18" s="118"/>
      <c r="AG18" s="10">
        <f>COUNTIFS(Kintoneデータ抽出!$A:$A,"*"&amp;AA18&amp;"*",Kintoneデータ抽出!$K:$K,"*院内*")</f>
        <v>0</v>
      </c>
      <c r="AH18" s="159" t="str">
        <f>IF(AJ18&lt;&gt;"","／ 事業所内","）")</f>
        <v>）</v>
      </c>
      <c r="AI18" s="159"/>
      <c r="AJ18" s="10" t="str">
        <f>IF(COUNTIFS(Kintoneデータ抽出!$A:$A,"*"&amp;AA18&amp;"*",Kintoneデータ抽出!$K:$K,"*企業内*")&lt;&gt;0,
COUNTIFS(Kintoneデータ抽出!$A:$A,"*"&amp;AA18&amp;"*",Kintoneデータ抽出!$K:$K,"*企業内*"),"")</f>
        <v/>
      </c>
      <c r="AK18" s="9" t="str">
        <f>IF(AJ18&lt;&gt;"","）","")</f>
        <v/>
      </c>
    </row>
    <row r="19" spans="2:37" ht="18.600000000000001" customHeight="1" x14ac:dyDescent="0.45"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17" t="s">
        <v>79</v>
      </c>
      <c r="AB19" s="118"/>
      <c r="AC19" s="10">
        <f>SUM(AG19,AJ19)</f>
        <v>0</v>
      </c>
      <c r="AD19" s="9" t="s">
        <v>53</v>
      </c>
      <c r="AE19" s="117" t="s">
        <v>55</v>
      </c>
      <c r="AF19" s="118"/>
      <c r="AG19" s="10">
        <f>COUNTIFS(Kintoneデータ抽出!$A:$A,"*"&amp;AA19&amp;"*",Kintoneデータ抽出!$K:$K,"*院内*")</f>
        <v>0</v>
      </c>
      <c r="AH19" s="159" t="str">
        <f>IF(AJ19&lt;&gt;"","／ 事業所内","）")</f>
        <v>）</v>
      </c>
      <c r="AI19" s="159"/>
      <c r="AJ19" s="10" t="str">
        <f>IF(COUNTIFS(Kintoneデータ抽出!$A:$A,"*"&amp;AA19&amp;"*",Kintoneデータ抽出!$K:$K,"*企業内*")&lt;&gt;0,
COUNTIFS(Kintoneデータ抽出!$A:$A,"*"&amp;AA19&amp;"*",Kintoneデータ抽出!$K:$K,"*企業内*"),"")</f>
        <v/>
      </c>
      <c r="AK19" s="9" t="str">
        <f>IF(AJ19&lt;&gt;"","）","")</f>
        <v/>
      </c>
    </row>
    <row r="20" spans="2:37" ht="18.600000000000001" customHeight="1" x14ac:dyDescent="0.4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17" t="s">
        <v>80</v>
      </c>
      <c r="AB20" s="118"/>
      <c r="AC20" s="10">
        <f>SUM(AG20,AJ20)</f>
        <v>0</v>
      </c>
      <c r="AD20" s="9" t="s">
        <v>53</v>
      </c>
      <c r="AE20" s="117" t="s">
        <v>55</v>
      </c>
      <c r="AF20" s="118"/>
      <c r="AG20" s="10">
        <f>COUNTIFS(Kintoneデータ抽出!$A:$A,"*"&amp;AA20&amp;"*",Kintoneデータ抽出!$K:$K,"*院内*")</f>
        <v>0</v>
      </c>
      <c r="AH20" s="159" t="str">
        <f>IF(AJ20&lt;&gt;"","／ 事業所内","）")</f>
        <v>）</v>
      </c>
      <c r="AI20" s="159"/>
      <c r="AJ20" s="10" t="str">
        <f>IF(COUNTIFS(Kintoneデータ抽出!$A:$A,"*"&amp;AA20&amp;"*",Kintoneデータ抽出!$K:$K,"*企業内*")&lt;&gt;0,
COUNTIFS(Kintoneデータ抽出!$A:$A,"*"&amp;AA20&amp;"*",Kintoneデータ抽出!$K:$K,"*企業内*"),"")</f>
        <v/>
      </c>
      <c r="AK20" s="9" t="str">
        <f>IF(AJ20&lt;&gt;"","）","")</f>
        <v/>
      </c>
    </row>
    <row r="21" spans="2:37" ht="18.600000000000001" customHeight="1" x14ac:dyDescent="0.45">
      <c r="B21" s="122" t="s">
        <v>81</v>
      </c>
      <c r="C21" s="118"/>
      <c r="D21" s="155">
        <f>SUM(D22:D25)</f>
        <v>0</v>
      </c>
      <c r="E21" s="118"/>
      <c r="F21" s="145" t="s">
        <v>53</v>
      </c>
      <c r="G21" s="11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17" t="s">
        <v>82</v>
      </c>
      <c r="AB21" s="118"/>
      <c r="AC21" s="10">
        <f>SUM(AG21,AJ21)</f>
        <v>0</v>
      </c>
      <c r="AD21" s="9" t="s">
        <v>53</v>
      </c>
      <c r="AE21" s="117" t="s">
        <v>55</v>
      </c>
      <c r="AF21" s="118"/>
      <c r="AG21" s="10">
        <f>COUNTIFS(Kintoneデータ抽出!$A:$A,"*"&amp;AA21&amp;"*",Kintoneデータ抽出!$K:$K,"*院内*")</f>
        <v>0</v>
      </c>
      <c r="AH21" s="159" t="str">
        <f>IF(AJ21&lt;&gt;"","／ 事業所内","）")</f>
        <v>）</v>
      </c>
      <c r="AI21" s="159"/>
      <c r="AJ21" s="10" t="str">
        <f>IF(COUNTIFS(Kintoneデータ抽出!$A:$A,"*"&amp;AA21&amp;"*",Kintoneデータ抽出!$K:$K,"*企業内*")&lt;&gt;0,
COUNTIFS(Kintoneデータ抽出!$A:$A,"*"&amp;AA21&amp;"*",Kintoneデータ抽出!$K:$K,"*企業内*"),"")</f>
        <v/>
      </c>
      <c r="AK21" s="9" t="str">
        <f>IF(AJ21&lt;&gt;"","）","")</f>
        <v/>
      </c>
    </row>
    <row r="22" spans="2:37" ht="18.600000000000001" customHeight="1" x14ac:dyDescent="0.45">
      <c r="B22" s="117" t="s">
        <v>83</v>
      </c>
      <c r="C22" s="118"/>
      <c r="D22" s="10">
        <f>SUM(H22,K22)</f>
        <v>0</v>
      </c>
      <c r="E22" s="9" t="s">
        <v>53</v>
      </c>
      <c r="F22" s="117" t="s">
        <v>55</v>
      </c>
      <c r="G22" s="117"/>
      <c r="H22" s="10">
        <f>COUNTIFS(Kintoneデータ抽出!$A:$A,"*"&amp;B22&amp;"*",Kintoneデータ抽出!$K:$K,"*院内*")</f>
        <v>0</v>
      </c>
      <c r="I22" s="159" t="str">
        <f>IF(K22&lt;&gt;"","／ 事業所内","）")</f>
        <v>）</v>
      </c>
      <c r="J22" s="159"/>
      <c r="K22" s="10" t="str">
        <f>IF(COUNTIFS(Kintoneデータ抽出!$A:$A,"*"&amp;B22&amp;"*",Kintoneデータ抽出!$K:$K,"*企業内*")&lt;&gt;0,
COUNTIFS(Kintoneデータ抽出!$A:$A,"*"&amp;B22&amp;"*",Kintoneデータ抽出!$K:$K,"*企業内*"),"")</f>
        <v/>
      </c>
      <c r="L22" s="9" t="str">
        <f>IF(K22&lt;&gt;"","）","")</f>
        <v/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17" t="s">
        <v>84</v>
      </c>
      <c r="AB22" s="118"/>
      <c r="AC22" s="10">
        <f>SUM(AG22,AJ22)</f>
        <v>0</v>
      </c>
      <c r="AD22" s="9" t="s">
        <v>53</v>
      </c>
      <c r="AE22" s="117" t="s">
        <v>55</v>
      </c>
      <c r="AF22" s="118"/>
      <c r="AG22" s="10">
        <f>COUNTIFS(Kintoneデータ抽出!$A:$A,"*"&amp;AA22&amp;"*",Kintoneデータ抽出!$K:$K,"*院内*")</f>
        <v>0</v>
      </c>
      <c r="AH22" s="159" t="str">
        <f>IF(AJ22&lt;&gt;"","／ 事業所内","）")</f>
        <v>）</v>
      </c>
      <c r="AI22" s="159"/>
      <c r="AJ22" s="10" t="str">
        <f>IF(COUNTIFS(Kintoneデータ抽出!$A:$A,"*"&amp;AA22&amp;"*",Kintoneデータ抽出!$K:$K,"*企業内*")&lt;&gt;0,
COUNTIFS(Kintoneデータ抽出!$A:$A,"*"&amp;AA22&amp;"*",Kintoneデータ抽出!$K:$K,"*企業内*"),"")</f>
        <v/>
      </c>
      <c r="AK22" s="9" t="str">
        <f>IF(AJ22&lt;&gt;"","）","")</f>
        <v/>
      </c>
    </row>
    <row r="23" spans="2:37" ht="18.600000000000001" customHeight="1" x14ac:dyDescent="0.45">
      <c r="B23" s="117" t="s">
        <v>85</v>
      </c>
      <c r="C23" s="118"/>
      <c r="D23" s="10">
        <f>SUM(H23,K23)</f>
        <v>0</v>
      </c>
      <c r="E23" s="9" t="s">
        <v>53</v>
      </c>
      <c r="F23" s="117" t="s">
        <v>55</v>
      </c>
      <c r="G23" s="117"/>
      <c r="H23" s="10">
        <f>COUNTIFS(Kintoneデータ抽出!$A:$A,"*"&amp;B23&amp;"*",Kintoneデータ抽出!$K:$K,"*院内*")</f>
        <v>0</v>
      </c>
      <c r="I23" s="159" t="str">
        <f>IF(K23&lt;&gt;"","／ 事業所内","）")</f>
        <v>）</v>
      </c>
      <c r="J23" s="159"/>
      <c r="K23" s="10" t="str">
        <f>IF(COUNTIFS(Kintoneデータ抽出!$A:$A,"*"&amp;B23&amp;"*",Kintoneデータ抽出!$K:$K,"*企業内*")&lt;&gt;0,
COUNTIFS(Kintoneデータ抽出!$A:$A,"*"&amp;B23&amp;"*",Kintoneデータ抽出!$K:$K,"*企業内*"),"")</f>
        <v/>
      </c>
      <c r="L23" s="9" t="str">
        <f>IF(K23&lt;&gt;"","）","")</f>
        <v/>
      </c>
      <c r="M23" s="9"/>
      <c r="N23" s="9"/>
      <c r="O23" s="9"/>
      <c r="P23" s="9"/>
      <c r="Q23" s="9"/>
      <c r="R23" s="9"/>
      <c r="S23" s="9"/>
      <c r="T2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17" t="s">
        <v>86</v>
      </c>
      <c r="AF23" s="118"/>
      <c r="AG23" s="10">
        <f>COUNTIFS(Kintoneデータ抽出!$A:$A,"*"&amp;AA22&amp;"*",Kintoneデータ抽出!$K:$K,"*認可*")
+COUNTIFS(Kintoneデータ抽出!$A:$A,"*"&amp;AA22&amp;"*",Kintoneデータ抽出!$K:$K,"*小規模*")</f>
        <v>0</v>
      </c>
      <c r="AH23" s="125" t="s">
        <v>57</v>
      </c>
      <c r="AI23" s="118"/>
      <c r="AJ23" s="10"/>
      <c r="AK23" s="12"/>
    </row>
    <row r="24" spans="2:37" ht="22.2" customHeight="1" x14ac:dyDescent="0.45">
      <c r="B24" s="117" t="s">
        <v>87</v>
      </c>
      <c r="C24" s="118"/>
      <c r="D24" s="10">
        <f>SUM(H24,K24)</f>
        <v>0</v>
      </c>
      <c r="E24" s="9" t="s">
        <v>53</v>
      </c>
      <c r="F24" s="117" t="s">
        <v>55</v>
      </c>
      <c r="G24" s="117"/>
      <c r="H24" s="10">
        <f>COUNTIFS(Kintoneデータ抽出!$A:$A,"*"&amp;B24&amp;"*",Kintoneデータ抽出!$K:$K,"*院内*")</f>
        <v>0</v>
      </c>
      <c r="I24" s="159" t="str">
        <f>IF(K24&lt;&gt;"","／ 事業所内","）")</f>
        <v>）</v>
      </c>
      <c r="J24" s="159"/>
      <c r="K24" s="10" t="str">
        <f>IF(COUNTIFS(Kintoneデータ抽出!$A:$A,"*"&amp;B24&amp;"*",Kintoneデータ抽出!$K:$K,"*企業内*")&lt;&gt;0,
COUNTIFS(Kintoneデータ抽出!$A:$A,"*"&amp;B24&amp;"*",Kintoneデータ抽出!$K:$K,"*企業内*"),"")</f>
        <v/>
      </c>
      <c r="L24" s="9" t="str">
        <f>IF(K24&lt;&gt;"","）","")</f>
        <v/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9"/>
      <c r="AI24" s="11"/>
      <c r="AJ24" s="11"/>
      <c r="AK24" s="11"/>
    </row>
    <row r="25" spans="2:37" ht="18.600000000000001" customHeight="1" x14ac:dyDescent="0.45">
      <c r="B25" s="117" t="s">
        <v>88</v>
      </c>
      <c r="C25" s="118"/>
      <c r="D25" s="10">
        <f>SUM(H25,K25)</f>
        <v>0</v>
      </c>
      <c r="E25" s="9" t="s">
        <v>53</v>
      </c>
      <c r="F25" s="117" t="s">
        <v>55</v>
      </c>
      <c r="G25" s="117"/>
      <c r="H25" s="10">
        <f>COUNTIFS(Kintoneデータ抽出!$A:$A,"*"&amp;B25&amp;"*",Kintoneデータ抽出!$K:$K,"*院内*")</f>
        <v>0</v>
      </c>
      <c r="I25" s="159" t="str">
        <f>IF(K25&lt;&gt;"","／ 事業所内","）")</f>
        <v>）</v>
      </c>
      <c r="J25" s="159"/>
      <c r="K25" s="10" t="str">
        <f>IF(COUNTIFS(Kintoneデータ抽出!$A:$A,"*"&amp;B25&amp;"*",Kintoneデータ抽出!$K:$K,"*企業内*")&lt;&gt;0,
COUNTIFS(Kintoneデータ抽出!$A:$A,"*"&amp;B25&amp;"*",Kintoneデータ抽出!$K:$K,"*企業内*"),"")</f>
        <v/>
      </c>
      <c r="L25" s="9" t="str">
        <f>IF(K25&lt;&gt;"","）","")</f>
        <v/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30" t="s">
        <v>89</v>
      </c>
      <c r="AB25" s="118"/>
      <c r="AC25" s="131">
        <f>SUM(AC26:AC33)</f>
        <v>0</v>
      </c>
      <c r="AD25" s="118"/>
      <c r="AE25" s="144" t="s">
        <v>53</v>
      </c>
      <c r="AF25" s="118"/>
      <c r="AG25" s="10"/>
      <c r="AH25" s="9"/>
      <c r="AI25" s="9"/>
      <c r="AJ25" s="9"/>
      <c r="AK25" s="9"/>
    </row>
    <row r="26" spans="2:37" ht="18.600000000000001" customHeight="1" x14ac:dyDescent="0.45">
      <c r="B26" s="21"/>
      <c r="C26" s="21"/>
      <c r="D26" s="10"/>
      <c r="E26" s="9"/>
      <c r="F26" s="21"/>
      <c r="G26" s="21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17" t="s">
        <v>90</v>
      </c>
      <c r="AB26" s="118"/>
      <c r="AC26" s="10">
        <f>SUM(AG26,AJ26)</f>
        <v>0</v>
      </c>
      <c r="AD26" s="9" t="s">
        <v>53</v>
      </c>
      <c r="AE26" s="117" t="s">
        <v>55</v>
      </c>
      <c r="AF26" s="118"/>
      <c r="AG26" s="10">
        <f>COUNTIFS(Kintoneデータ抽出!$A:$A,"*"&amp;AA26&amp;"*",Kintoneデータ抽出!$K:$K,"*院内*")</f>
        <v>0</v>
      </c>
      <c r="AH26" s="159" t="str">
        <f>IF(AJ26&lt;&gt;"","／ 事業所内","）")</f>
        <v>）</v>
      </c>
      <c r="AI26" s="159"/>
      <c r="AJ26" s="10" t="str">
        <f>IF(COUNTIFS(Kintoneデータ抽出!$A:$A,"*"&amp;AA26&amp;"*",Kintoneデータ抽出!$K:$K,"*企業内*")&lt;&gt;0,
COUNTIFS(Kintoneデータ抽出!$A:$A,"*"&amp;AA26&amp;"*",Kintoneデータ抽出!$K:$K,"*企業内*"),"")</f>
        <v/>
      </c>
      <c r="AK26" s="9" t="str">
        <f>IF(AJ26&lt;&gt;"","）","")</f>
        <v/>
      </c>
    </row>
    <row r="27" spans="2:37" ht="18.600000000000001" customHeight="1" x14ac:dyDescent="0.45">
      <c r="B27" s="117"/>
      <c r="C27" s="118"/>
      <c r="D27" s="10"/>
      <c r="E27" s="9"/>
      <c r="F27" s="117"/>
      <c r="G27" s="118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33"/>
      <c r="T27" s="9"/>
      <c r="U27" s="9"/>
      <c r="V27" s="9"/>
      <c r="W27" s="9"/>
      <c r="X27" s="9"/>
      <c r="Y27" s="9"/>
      <c r="Z27" s="9"/>
      <c r="AA27" s="117" t="s">
        <v>91</v>
      </c>
      <c r="AB27" s="118"/>
      <c r="AC27" s="10">
        <f>SUM(AG27,AJ27)</f>
        <v>0</v>
      </c>
      <c r="AD27" s="9" t="s">
        <v>53</v>
      </c>
      <c r="AE27" s="117" t="s">
        <v>55</v>
      </c>
      <c r="AF27" s="118"/>
      <c r="AG27" s="10">
        <f>COUNTIFS(Kintoneデータ抽出!$A:$A,"*"&amp;AA27&amp;"*",Kintoneデータ抽出!$K:$K,"*院内*")</f>
        <v>0</v>
      </c>
      <c r="AH27" s="159" t="str">
        <f>IF(AJ27&lt;&gt;"","／ 事業所内","）")</f>
        <v>）</v>
      </c>
      <c r="AI27" s="159"/>
      <c r="AJ27" s="10" t="str">
        <f>IF(COUNTIFS(Kintoneデータ抽出!$A:$A,"*"&amp;AA27&amp;"*",Kintoneデータ抽出!$K:$K,"*企業内*")&lt;&gt;0,
COUNTIFS(Kintoneデータ抽出!$A:$A,"*"&amp;AA27&amp;"*",Kintoneデータ抽出!$K:$K,"*企業内*"),"")</f>
        <v/>
      </c>
      <c r="AK27" s="9" t="str">
        <f>IF(AJ27&lt;&gt;"","）","")</f>
        <v/>
      </c>
    </row>
    <row r="28" spans="2:37" ht="18.600000000000001" customHeight="1" x14ac:dyDescent="0.45">
      <c r="B28"/>
      <c r="C28"/>
      <c r="D28"/>
      <c r="E28"/>
      <c r="F28"/>
      <c r="G2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17" t="s">
        <v>92</v>
      </c>
      <c r="AB28" s="118"/>
      <c r="AC28" s="10">
        <f>SUM(AG28,AJ28)</f>
        <v>0</v>
      </c>
      <c r="AD28" s="9" t="s">
        <v>53</v>
      </c>
      <c r="AE28" s="117" t="s">
        <v>55</v>
      </c>
      <c r="AF28" s="118"/>
      <c r="AG28" s="10">
        <f>COUNTIFS(Kintoneデータ抽出!$A:$A,"*"&amp;AA28&amp;"*",Kintoneデータ抽出!$K:$K,"*院内*")</f>
        <v>0</v>
      </c>
      <c r="AH28" s="159" t="str">
        <f>IF(AJ28&lt;&gt;"","／ 事業所内","）")</f>
        <v>）</v>
      </c>
      <c r="AI28" s="159"/>
      <c r="AJ28" s="10" t="str">
        <f>IF(COUNTIFS(Kintoneデータ抽出!$A:$A,"*"&amp;AA28&amp;"*",Kintoneデータ抽出!$K:$K,"*企業内*")&lt;&gt;0,
COUNTIFS(Kintoneデータ抽出!$A:$A,"*"&amp;AA28&amp;"*",Kintoneデータ抽出!$K:$K,"*企業内*"),"")</f>
        <v/>
      </c>
      <c r="AK28" s="9" t="str">
        <f>IF(AJ28&lt;&gt;"","）","")</f>
        <v/>
      </c>
    </row>
    <row r="29" spans="2:37" ht="18.600000000000001" customHeight="1" x14ac:dyDescent="0.45">
      <c r="B29" s="140" t="s">
        <v>93</v>
      </c>
      <c r="C29" s="118"/>
      <c r="D29" s="143">
        <f>SUM(D30:D32)</f>
        <v>0</v>
      </c>
      <c r="E29" s="118"/>
      <c r="F29" s="119" t="s">
        <v>53</v>
      </c>
      <c r="G29" s="118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17" t="s">
        <v>94</v>
      </c>
      <c r="AB29" s="118"/>
      <c r="AC29" s="10">
        <f>SUM(AG29,AJ29)</f>
        <v>0</v>
      </c>
      <c r="AD29" s="9" t="s">
        <v>53</v>
      </c>
      <c r="AE29" s="117" t="s">
        <v>55</v>
      </c>
      <c r="AF29" s="118"/>
      <c r="AG29" s="10">
        <f>COUNTIFS(Kintoneデータ抽出!$A:$A,"*"&amp;AA29&amp;"*",Kintoneデータ抽出!$K:$K,"*院内*")</f>
        <v>0</v>
      </c>
      <c r="AH29" s="159" t="str">
        <f>IF(AJ29&lt;&gt;"","／ 事業所内","）")</f>
        <v>）</v>
      </c>
      <c r="AI29" s="159"/>
      <c r="AJ29" s="10" t="str">
        <f>IF(COUNTIFS(Kintoneデータ抽出!$A:$A,"*"&amp;AA29&amp;"*",Kintoneデータ抽出!$K:$K,"*企業内*")&lt;&gt;0,
COUNTIFS(Kintoneデータ抽出!$A:$A,"*"&amp;AA29&amp;"*",Kintoneデータ抽出!$K:$K,"*企業内*"),"")</f>
        <v/>
      </c>
      <c r="AK29" s="9" t="str">
        <f>IF(AJ29&lt;&gt;"","）","")</f>
        <v/>
      </c>
    </row>
    <row r="30" spans="2:37" ht="18.600000000000001" customHeight="1" x14ac:dyDescent="0.45">
      <c r="B30" s="117" t="s">
        <v>95</v>
      </c>
      <c r="C30" s="118"/>
      <c r="D30" s="10">
        <f>SUM(H30,K30)</f>
        <v>0</v>
      </c>
      <c r="E30" s="9" t="s">
        <v>53</v>
      </c>
      <c r="F30" s="117" t="s">
        <v>55</v>
      </c>
      <c r="G30" s="117"/>
      <c r="H30" s="10">
        <f>COUNTIFS(Kintoneデータ抽出!$A:$A,"*"&amp;B30&amp;"*",Kintoneデータ抽出!$K:$K,"*院内*")</f>
        <v>0</v>
      </c>
      <c r="I30" s="159" t="str">
        <f>IF(K30&lt;&gt;"","／ 事業所内","）")</f>
        <v>）</v>
      </c>
      <c r="J30" s="159"/>
      <c r="K30" s="10" t="str">
        <f>IF(COUNTIFS(Kintoneデータ抽出!$A:$A,"*"&amp;B30&amp;"*",Kintoneデータ抽出!$K:$K,"*企業内*")&lt;&gt;0,
COUNTIFS(Kintoneデータ抽出!$A:$A,"*"&amp;B30&amp;"*",Kintoneデータ抽出!$K:$K,"*企業内*"),"")</f>
        <v/>
      </c>
      <c r="L30" s="9" t="str">
        <f>IF(K30&lt;&gt;"","）","")</f>
        <v/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17" t="s">
        <v>96</v>
      </c>
      <c r="AB30" s="118"/>
      <c r="AC30" s="10">
        <f>SUM(AG30,AJ30)</f>
        <v>0</v>
      </c>
      <c r="AD30" s="9" t="s">
        <v>53</v>
      </c>
      <c r="AE30" s="117" t="s">
        <v>55</v>
      </c>
      <c r="AF30" s="118"/>
      <c r="AG30" s="10">
        <f>COUNTIFS(Kintoneデータ抽出!$A:$A,"*"&amp;AA30&amp;"*",Kintoneデータ抽出!$K:$K,"*院内*")</f>
        <v>0</v>
      </c>
      <c r="AH30" s="159" t="str">
        <f>IF(AJ30&lt;&gt;"","／ 事業所内","）")</f>
        <v>）</v>
      </c>
      <c r="AI30" s="159"/>
      <c r="AJ30" s="10" t="str">
        <f>IF(COUNTIFS(Kintoneデータ抽出!$A:$A,"*"&amp;AA30&amp;"*",Kintoneデータ抽出!$K:$K,"*企業内*")&lt;&gt;0,
COUNTIFS(Kintoneデータ抽出!$A:$A,"*"&amp;AA30&amp;"*",Kintoneデータ抽出!$K:$K,"*企業内*"),"")</f>
        <v/>
      </c>
      <c r="AK30" s="9" t="str">
        <f>IF(AJ30&lt;&gt;"","）","")</f>
        <v/>
      </c>
    </row>
    <row r="31" spans="2:37" ht="18.600000000000001" customHeight="1" x14ac:dyDescent="0.45">
      <c r="B31" s="117" t="s">
        <v>97</v>
      </c>
      <c r="C31" s="118"/>
      <c r="D31" s="10">
        <f>SUM(H31,K31)</f>
        <v>0</v>
      </c>
      <c r="E31" s="9" t="s">
        <v>53</v>
      </c>
      <c r="F31" s="117" t="s">
        <v>55</v>
      </c>
      <c r="G31" s="117"/>
      <c r="H31" s="10">
        <f>COUNTIFS(Kintoneデータ抽出!$A:$A,"*"&amp;B31&amp;"*",Kintoneデータ抽出!$K:$K,"*院内*")</f>
        <v>0</v>
      </c>
      <c r="I31" s="159" t="str">
        <f>IF(K31&lt;&gt;"","／ 事業所内","）")</f>
        <v>）</v>
      </c>
      <c r="J31" s="159"/>
      <c r="K31" s="10" t="str">
        <f>IF(COUNTIFS(Kintoneデータ抽出!$A:$A,"*"&amp;B31&amp;"*",Kintoneデータ抽出!$K:$K,"*企業内*")&lt;&gt;0,
COUNTIFS(Kintoneデータ抽出!$A:$A,"*"&amp;B31&amp;"*",Kintoneデータ抽出!$K:$K,"*企業内*"),"")</f>
        <v/>
      </c>
      <c r="L31" s="9" t="str">
        <f>IF(K31&lt;&gt;"","）","")</f>
        <v/>
      </c>
      <c r="M31" s="9"/>
      <c r="N31" s="9"/>
      <c r="O31" s="9"/>
      <c r="P31"/>
      <c r="Q31" s="9"/>
      <c r="R31" s="9"/>
      <c r="S31" s="9"/>
      <c r="T31" s="9"/>
      <c r="U31" s="9"/>
      <c r="V31" s="9"/>
      <c r="W31" s="9"/>
      <c r="X31" s="9"/>
      <c r="Y31" s="9"/>
      <c r="Z31" s="9"/>
      <c r="AA31" s="117" t="s">
        <v>98</v>
      </c>
      <c r="AB31" s="118"/>
      <c r="AC31" s="10">
        <f>SUM(AG31,AJ31)</f>
        <v>0</v>
      </c>
      <c r="AD31" s="9" t="s">
        <v>53</v>
      </c>
      <c r="AE31" s="117" t="s">
        <v>55</v>
      </c>
      <c r="AF31" s="118"/>
      <c r="AG31" s="10">
        <f>COUNTIFS(Kintoneデータ抽出!$A:$A,"*"&amp;AA31&amp;"*",Kintoneデータ抽出!$K:$K,"*院内*")</f>
        <v>0</v>
      </c>
      <c r="AH31" s="159" t="str">
        <f>IF(AJ31&lt;&gt;"","／ 事業所内","）")</f>
        <v>）</v>
      </c>
      <c r="AI31" s="159"/>
      <c r="AJ31" s="10" t="str">
        <f>IF(COUNTIFS(Kintoneデータ抽出!$A:$A,"*"&amp;AA31&amp;"*",Kintoneデータ抽出!$K:$K,"*企業内*")&lt;&gt;0,
COUNTIFS(Kintoneデータ抽出!$A:$A,"*"&amp;AA31&amp;"*",Kintoneデータ抽出!$K:$K,"*企業内*"),"")</f>
        <v/>
      </c>
      <c r="AK31" s="9" t="str">
        <f>IF(AJ31&lt;&gt;"","）","")</f>
        <v/>
      </c>
    </row>
    <row r="32" spans="2:37" ht="18.600000000000001" customHeight="1" x14ac:dyDescent="0.45">
      <c r="B32" s="117" t="s">
        <v>99</v>
      </c>
      <c r="C32" s="118"/>
      <c r="D32" s="10">
        <f>SUM(H32,K32)</f>
        <v>0</v>
      </c>
      <c r="E32" s="9" t="s">
        <v>53</v>
      </c>
      <c r="F32" s="117" t="s">
        <v>55</v>
      </c>
      <c r="G32" s="117"/>
      <c r="H32" s="10">
        <f>COUNTIFS(Kintoneデータ抽出!$A:$A,"*"&amp;B32&amp;"*",Kintoneデータ抽出!$K:$K,"*院内*")</f>
        <v>0</v>
      </c>
      <c r="I32" s="159" t="str">
        <f>IF(K32&lt;&gt;"","／ 事業所内","）")</f>
        <v>）</v>
      </c>
      <c r="J32" s="159"/>
      <c r="K32" s="10" t="str">
        <f>IF(COUNTIFS(Kintoneデータ抽出!$A:$A,"*"&amp;B32&amp;"*",Kintoneデータ抽出!$K:$K,"*企業内*")&lt;&gt;0,
COUNTIFS(Kintoneデータ抽出!$A:$A,"*"&amp;B32&amp;"*",Kintoneデータ抽出!$K:$K,"*企業内*"),"")</f>
        <v/>
      </c>
      <c r="L32" s="9" t="str">
        <f>IF(K32&lt;&gt;"","）","")</f>
        <v/>
      </c>
      <c r="M32" s="9"/>
      <c r="N32" s="9"/>
      <c r="O32" s="9"/>
      <c r="P32"/>
      <c r="Q32" s="9"/>
      <c r="R32" s="9"/>
      <c r="S32" s="9"/>
      <c r="T32" s="9"/>
      <c r="U32" s="9"/>
      <c r="V32" s="9"/>
      <c r="W32" s="9"/>
      <c r="X32" s="9"/>
      <c r="Y32" s="9"/>
      <c r="Z32" s="9"/>
      <c r="AA32" s="117" t="s">
        <v>100</v>
      </c>
      <c r="AB32" s="118"/>
      <c r="AC32" s="10">
        <f>SUM(AG32,AJ32)</f>
        <v>0</v>
      </c>
      <c r="AD32" s="9" t="s">
        <v>53</v>
      </c>
      <c r="AE32" s="117" t="s">
        <v>55</v>
      </c>
      <c r="AF32" s="118"/>
      <c r="AG32" s="10">
        <f>COUNTIFS(Kintoneデータ抽出!$A:$A,"*"&amp;AA32&amp;"*",Kintoneデータ抽出!$K:$K,"*院内*")</f>
        <v>0</v>
      </c>
      <c r="AH32" s="159" t="str">
        <f>IF(AJ32&lt;&gt;"","／ 事業所内","）")</f>
        <v>）</v>
      </c>
      <c r="AI32" s="159"/>
      <c r="AJ32" s="10" t="str">
        <f>IF(COUNTIFS(Kintoneデータ抽出!$A:$A,"*"&amp;AA32&amp;"*",Kintoneデータ抽出!$K:$K,"*企業内*")&lt;&gt;0,
COUNTIFS(Kintoneデータ抽出!$A:$A,"*"&amp;AA32&amp;"*",Kintoneデータ抽出!$K:$K,"*企業内*"),"")</f>
        <v/>
      </c>
      <c r="AK32" s="9" t="str">
        <f>IF(AJ32&lt;&gt;"","）","")</f>
        <v/>
      </c>
    </row>
    <row r="33" spans="2:45" ht="18.600000000000001" customHeight="1" x14ac:dyDescent="0.45">
      <c r="B33" s="25"/>
      <c r="C33" s="25"/>
      <c r="D33" s="25"/>
      <c r="E33" s="25"/>
      <c r="F33" s="25"/>
      <c r="G33" s="2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17" t="s">
        <v>101</v>
      </c>
      <c r="AB33" s="118"/>
      <c r="AC33" s="10">
        <f>SUM(AG33,AJ33)</f>
        <v>0</v>
      </c>
      <c r="AD33" s="9" t="s">
        <v>53</v>
      </c>
      <c r="AE33" s="117" t="s">
        <v>55</v>
      </c>
      <c r="AF33" s="118"/>
      <c r="AG33" s="10">
        <f>COUNTIFS(Kintoneデータ抽出!$A:$A,"*"&amp;AA33&amp;"*",Kintoneデータ抽出!$K:$K,"*院内*")</f>
        <v>0</v>
      </c>
      <c r="AH33" s="159" t="str">
        <f>IF(AJ33&lt;&gt;"","／ 事業所内","）")</f>
        <v>）</v>
      </c>
      <c r="AI33" s="159"/>
      <c r="AJ33" s="10" t="str">
        <f>IF(COUNTIFS(Kintoneデータ抽出!$A:$A,"*"&amp;AA33&amp;"*",Kintoneデータ抽出!$K:$K,"*企業内*")&lt;&gt;0,
COUNTIFS(Kintoneデータ抽出!$A:$A,"*"&amp;AA33&amp;"*",Kintoneデータ抽出!$K:$K,"*企業内*"),"")</f>
        <v/>
      </c>
      <c r="AK33" s="9" t="str">
        <f>IF(AJ33&lt;&gt;"","）","")</f>
        <v/>
      </c>
    </row>
    <row r="34" spans="2:45" ht="18.600000000000001" customHeight="1" x14ac:dyDescent="0.45">
      <c r="B34" s="150" t="s">
        <v>44</v>
      </c>
      <c r="C34" s="118"/>
      <c r="D34" s="133">
        <f>SUM(D35:D38)</f>
        <v>0</v>
      </c>
      <c r="E34" s="118"/>
      <c r="F34" s="134" t="s">
        <v>53</v>
      </c>
      <c r="G34" s="11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R34" s="5"/>
      <c r="AS34" s="5"/>
    </row>
    <row r="35" spans="2:45" ht="18.600000000000001" customHeight="1" x14ac:dyDescent="0.45">
      <c r="B35" s="117" t="s">
        <v>102</v>
      </c>
      <c r="C35" s="118"/>
      <c r="D35" s="10">
        <f>SUM(H35,K35)</f>
        <v>0</v>
      </c>
      <c r="E35" s="9" t="s">
        <v>53</v>
      </c>
      <c r="F35" s="117" t="s">
        <v>55</v>
      </c>
      <c r="G35" s="117"/>
      <c r="H35" s="10">
        <f>COUNTIFS(Kintoneデータ抽出!$A:$A,"*"&amp;B35&amp;"*",Kintoneデータ抽出!$K:$K,"*院内*")</f>
        <v>0</v>
      </c>
      <c r="I35" s="159" t="str">
        <f>IF(K35&lt;&gt;"","／ 事業所内","）")</f>
        <v>）</v>
      </c>
      <c r="J35" s="159"/>
      <c r="K35" s="10" t="str">
        <f>IF(COUNTIFS(Kintoneデータ抽出!$A:$A,"*"&amp;B35&amp;"*",Kintoneデータ抽出!$K:$K,"*企業内*")&lt;&gt;0,
COUNTIFS(Kintoneデータ抽出!$A:$A,"*"&amp;B35&amp;"*",Kintoneデータ抽出!$K:$K,"*企業内*"),"")</f>
        <v/>
      </c>
      <c r="L35" s="9" t="str">
        <f>IF(K35&lt;&gt;"","）","")</f>
        <v/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2:45" ht="18.600000000000001" customHeight="1" x14ac:dyDescent="0.45">
      <c r="B36" s="117" t="s">
        <v>103</v>
      </c>
      <c r="C36" s="118"/>
      <c r="D36" s="10">
        <f>SUM(H36,K36)</f>
        <v>0</v>
      </c>
      <c r="E36" s="9" t="s">
        <v>53</v>
      </c>
      <c r="F36" s="117" t="s">
        <v>55</v>
      </c>
      <c r="G36" s="117"/>
      <c r="H36" s="10">
        <f>COUNTIFS(Kintoneデータ抽出!$A:$A,"*"&amp;B36&amp;"*",Kintoneデータ抽出!$K:$K,"*院内*")</f>
        <v>0</v>
      </c>
      <c r="I36" s="159" t="str">
        <f>IF(K36&lt;&gt;"","／ 事業所内","）")</f>
        <v>）</v>
      </c>
      <c r="J36" s="159"/>
      <c r="K36" s="10" t="str">
        <f>IF(COUNTIFS(Kintoneデータ抽出!$A:$A,"*"&amp;B36&amp;"*",Kintoneデータ抽出!$K:$K,"*企業内*")&lt;&gt;0,
COUNTIFS(Kintoneデータ抽出!$A:$A,"*"&amp;B36&amp;"*",Kintoneデータ抽出!$K:$K,"*企業内*"),"")</f>
        <v/>
      </c>
      <c r="L36" s="9" t="str">
        <f>IF(K36&lt;&gt;"","）","")</f>
        <v/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2:45" ht="18.600000000000001" customHeight="1" x14ac:dyDescent="0.45">
      <c r="B37" s="117" t="s">
        <v>104</v>
      </c>
      <c r="C37" s="118"/>
      <c r="D37" s="10">
        <f>SUM(H37,K37)</f>
        <v>0</v>
      </c>
      <c r="E37" s="9" t="s">
        <v>53</v>
      </c>
      <c r="F37" s="117" t="s">
        <v>55</v>
      </c>
      <c r="G37" s="117"/>
      <c r="H37" s="10">
        <f>COUNTIFS(Kintoneデータ抽出!$A:$A,"*"&amp;B37&amp;"*",Kintoneデータ抽出!$K:$K,"*院内*")</f>
        <v>0</v>
      </c>
      <c r="I37" s="159" t="str">
        <f>IF(K37&lt;&gt;"","／ 事業所内","）")</f>
        <v>）</v>
      </c>
      <c r="J37" s="159"/>
      <c r="K37" s="10" t="str">
        <f>IF(COUNTIFS(Kintoneデータ抽出!$A:$A,"*"&amp;B37&amp;"*",Kintoneデータ抽出!$K:$K,"*企業内*")&lt;&gt;0,
COUNTIFS(Kintoneデータ抽出!$A:$A,"*"&amp;B37&amp;"*",Kintoneデータ抽出!$K:$K,"*企業内*"),"")</f>
        <v/>
      </c>
      <c r="L37" s="9" t="str">
        <f>IF(K37&lt;&gt;"","）","")</f>
        <v/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2:45" ht="18.600000000000001" customHeight="1" x14ac:dyDescent="0.45">
      <c r="B38" s="117" t="s">
        <v>26</v>
      </c>
      <c r="C38" s="118"/>
      <c r="D38" s="10">
        <f>SUM(H38,K38)</f>
        <v>0</v>
      </c>
      <c r="E38" s="9" t="s">
        <v>53</v>
      </c>
      <c r="F38" s="117" t="s">
        <v>55</v>
      </c>
      <c r="G38" s="117"/>
      <c r="H38" s="10">
        <f>COUNTIFS(Kintoneデータ抽出!$A:$A,"*"&amp;B38&amp;"*",Kintoneデータ抽出!$K:$K,"*院内*")</f>
        <v>0</v>
      </c>
      <c r="I38" s="159" t="str">
        <f>IF(K38&lt;&gt;"","／ 事業所内","）")</f>
        <v>）</v>
      </c>
      <c r="J38" s="159"/>
      <c r="K38" s="10" t="str">
        <f>IF(COUNTIFS(Kintoneデータ抽出!$A:$A,"*"&amp;B38&amp;"*",Kintoneデータ抽出!$K:$K,"*企業内*")&lt;&gt;0,
COUNTIFS(Kintoneデータ抽出!$A:$A,"*"&amp;B38&amp;"*",Kintoneデータ抽出!$K:$K,"*企業内*"),"")</f>
        <v/>
      </c>
      <c r="L38" s="9" t="str">
        <f>IF(K38&lt;&gt;"","）","")</f>
        <v/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2:45" ht="18.600000000000001" customHeight="1" x14ac:dyDescent="0.4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/>
      <c r="V39" s="9"/>
      <c r="W39" s="9"/>
      <c r="X39" s="9"/>
      <c r="Y39" s="9"/>
      <c r="Z39" s="9"/>
      <c r="AG39" s="9"/>
      <c r="AH39" s="9"/>
      <c r="AI39" s="9"/>
      <c r="AJ39" s="9"/>
      <c r="AK39" s="9"/>
      <c r="AL39" s="9"/>
      <c r="AM39" s="9"/>
      <c r="AN39" s="9"/>
      <c r="AO39" s="10"/>
      <c r="AP39" s="9"/>
    </row>
    <row r="40" spans="2:45" ht="18.600000000000001" customHeight="1" x14ac:dyDescent="0.45">
      <c r="B40" s="132" t="s">
        <v>45</v>
      </c>
      <c r="C40" s="118"/>
      <c r="D40" s="153">
        <f>SUM(D41)</f>
        <v>0</v>
      </c>
      <c r="E40" s="118"/>
      <c r="F40" s="154" t="s">
        <v>53</v>
      </c>
      <c r="G40" s="11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31"/>
      <c r="AE40" s="31"/>
      <c r="AF40" s="31"/>
      <c r="AG40" s="31"/>
      <c r="AH40" s="31"/>
      <c r="AI40" s="31"/>
      <c r="AJ40" s="31"/>
      <c r="AK40" s="31"/>
      <c r="AL40" s="9"/>
      <c r="AM40" s="9"/>
      <c r="AN40" s="9"/>
      <c r="AO40" s="10"/>
      <c r="AP40" s="9"/>
    </row>
    <row r="41" spans="2:45" ht="22.2" customHeight="1" x14ac:dyDescent="0.45">
      <c r="B41" s="117" t="s">
        <v>105</v>
      </c>
      <c r="C41" s="118"/>
      <c r="D41" s="10">
        <f>SUM(H41,K41)</f>
        <v>0</v>
      </c>
      <c r="E41" s="9" t="s">
        <v>53</v>
      </c>
      <c r="F41" s="117" t="s">
        <v>55</v>
      </c>
      <c r="G41" s="117"/>
      <c r="H41" s="10">
        <f>COUNTIFS(Kintoneデータ抽出!$A:$A,"*"&amp;B41&amp;"*",Kintoneデータ抽出!$K:$K,"*院内*")</f>
        <v>0</v>
      </c>
      <c r="I41" s="159" t="str">
        <f>IF(K41&lt;&gt;"","／ 事業所内","）")</f>
        <v>）</v>
      </c>
      <c r="J41" s="159"/>
      <c r="K41" s="10" t="str">
        <f>IF(COUNTIFS(Kintoneデータ抽出!$A:$A,"*"&amp;B41&amp;"*",Kintoneデータ抽出!$K:$K,"*企業内*")&lt;&gt;0,
COUNTIFS(Kintoneデータ抽出!$A:$A,"*"&amp;B41&amp;"*",Kintoneデータ抽出!$K:$K,"*企業内*"),"")</f>
        <v/>
      </c>
      <c r="L41" s="117" t="s">
        <v>169</v>
      </c>
      <c r="M41" s="118"/>
      <c r="N41" s="10">
        <f>COUNTIFS(Kintoneデータ抽出!$A:$A,"*"&amp;B41&amp;"*",Kintoneデータ抽出!$K:$K,"*認可*")
+COUNTIFS(Kintoneデータ抽出!$A:$A,"*"&amp;B41&amp;"*",Kintoneデータ抽出!$K:$K,"*小規模*")</f>
        <v>0</v>
      </c>
      <c r="O41" s="9" t="s">
        <v>57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7"/>
      <c r="AD41" s="141" t="s">
        <v>106</v>
      </c>
      <c r="AE41" s="118"/>
      <c r="AF41" s="118"/>
      <c r="AG41" s="118"/>
      <c r="AH41" s="118"/>
      <c r="AI41" s="118"/>
      <c r="AJ41" s="118"/>
      <c r="AK41" s="118"/>
      <c r="AL41" s="9"/>
      <c r="AM41" s="9"/>
      <c r="AN41" s="9"/>
      <c r="AO41" s="10"/>
      <c r="AP41" s="9"/>
    </row>
    <row r="42" spans="2:45" ht="18.600000000000001" customHeight="1" x14ac:dyDescent="0.45">
      <c r="U42" s="9"/>
      <c r="V42" s="9"/>
      <c r="W42" s="9"/>
      <c r="X42" s="9"/>
      <c r="Y42" s="9"/>
      <c r="Z42" s="9"/>
    </row>
    <row r="49" spans="38:40" x14ac:dyDescent="0.45">
      <c r="AL49" s="6"/>
      <c r="AM49" s="148"/>
      <c r="AN49" s="118"/>
    </row>
  </sheetData>
  <mergeCells count="139">
    <mergeCell ref="B36:C36"/>
    <mergeCell ref="AA32:AB32"/>
    <mergeCell ref="AE4:AF4"/>
    <mergeCell ref="AE31:AF31"/>
    <mergeCell ref="AH11:AI11"/>
    <mergeCell ref="F41:G41"/>
    <mergeCell ref="F35:G35"/>
    <mergeCell ref="AA20:AB20"/>
    <mergeCell ref="F38:G38"/>
    <mergeCell ref="AE28:AF28"/>
    <mergeCell ref="L41:M41"/>
    <mergeCell ref="J6:M6"/>
    <mergeCell ref="F27:G27"/>
    <mergeCell ref="F37:G37"/>
    <mergeCell ref="AE30:AF30"/>
    <mergeCell ref="AA12:AB12"/>
    <mergeCell ref="AC6:AD6"/>
    <mergeCell ref="AE6:AF6"/>
    <mergeCell ref="F36:G36"/>
    <mergeCell ref="AM49:AN49"/>
    <mergeCell ref="B17:C17"/>
    <mergeCell ref="N8:O8"/>
    <mergeCell ref="AE29:AF29"/>
    <mergeCell ref="B34:C34"/>
    <mergeCell ref="F22:G22"/>
    <mergeCell ref="AE13:AF13"/>
    <mergeCell ref="AA31:AB31"/>
    <mergeCell ref="B30:C30"/>
    <mergeCell ref="AA21:AB21"/>
    <mergeCell ref="AE15:AF15"/>
    <mergeCell ref="F14:G14"/>
    <mergeCell ref="AE26:AF26"/>
    <mergeCell ref="F11:G11"/>
    <mergeCell ref="AE16:AF16"/>
    <mergeCell ref="AA27:AB27"/>
    <mergeCell ref="D40:E40"/>
    <mergeCell ref="F40:G40"/>
    <mergeCell ref="D21:E21"/>
    <mergeCell ref="AE18:AF18"/>
    <mergeCell ref="F12:G12"/>
    <mergeCell ref="F24:G24"/>
    <mergeCell ref="AD41:AK41"/>
    <mergeCell ref="J3:K3"/>
    <mergeCell ref="B15:C15"/>
    <mergeCell ref="N6:O6"/>
    <mergeCell ref="D29:E29"/>
    <mergeCell ref="AE27:AF27"/>
    <mergeCell ref="AA8:AB8"/>
    <mergeCell ref="N4:O4"/>
    <mergeCell ref="AA17:AB17"/>
    <mergeCell ref="P4:Q4"/>
    <mergeCell ref="AE20:AF20"/>
    <mergeCell ref="AE25:AF25"/>
    <mergeCell ref="AA10:AB10"/>
    <mergeCell ref="AA19:AB19"/>
    <mergeCell ref="AH23:AI23"/>
    <mergeCell ref="AA9:AB9"/>
    <mergeCell ref="F21:G21"/>
    <mergeCell ref="AC3:AD3"/>
    <mergeCell ref="AH4:AI4"/>
    <mergeCell ref="AE3:AF3"/>
    <mergeCell ref="B41:C41"/>
    <mergeCell ref="B35:C35"/>
    <mergeCell ref="AA22:AB22"/>
    <mergeCell ref="B16:C16"/>
    <mergeCell ref="B25:C25"/>
    <mergeCell ref="D34:E34"/>
    <mergeCell ref="F34:G34"/>
    <mergeCell ref="AA28:AB28"/>
    <mergeCell ref="AE22:AF22"/>
    <mergeCell ref="B27:C27"/>
    <mergeCell ref="B18:C18"/>
    <mergeCell ref="AA30:AB30"/>
    <mergeCell ref="AE21:AF21"/>
    <mergeCell ref="F30:G30"/>
    <mergeCell ref="F18:G18"/>
    <mergeCell ref="AE23:AF23"/>
    <mergeCell ref="F17:G17"/>
    <mergeCell ref="B29:C29"/>
    <mergeCell ref="B38:C38"/>
    <mergeCell ref="AA7:AB7"/>
    <mergeCell ref="AA16:AB16"/>
    <mergeCell ref="F23:G23"/>
    <mergeCell ref="AA25:AB25"/>
    <mergeCell ref="AE10:AF10"/>
    <mergeCell ref="AC25:AD25"/>
    <mergeCell ref="AE19:AF19"/>
    <mergeCell ref="B40:C40"/>
    <mergeCell ref="F13:G13"/>
    <mergeCell ref="AA18:AB18"/>
    <mergeCell ref="AE9:AF9"/>
    <mergeCell ref="B24:C24"/>
    <mergeCell ref="B32:C32"/>
    <mergeCell ref="AE11:AF11"/>
    <mergeCell ref="AE12:AF12"/>
    <mergeCell ref="B11:C11"/>
    <mergeCell ref="D11:E11"/>
    <mergeCell ref="J8:M8"/>
    <mergeCell ref="B3:I9"/>
    <mergeCell ref="AA4:AB4"/>
    <mergeCell ref="B37:C37"/>
    <mergeCell ref="F31:G31"/>
    <mergeCell ref="AA33:AB33"/>
    <mergeCell ref="B14:C14"/>
    <mergeCell ref="AE33:AF33"/>
    <mergeCell ref="N5:O5"/>
    <mergeCell ref="J5:M5"/>
    <mergeCell ref="AE8:AF8"/>
    <mergeCell ref="AA26:AB26"/>
    <mergeCell ref="AE17:AF17"/>
    <mergeCell ref="B13:C13"/>
    <mergeCell ref="AE5:AF5"/>
    <mergeCell ref="AA6:AB6"/>
    <mergeCell ref="AA5:AB5"/>
    <mergeCell ref="P5:Q5"/>
    <mergeCell ref="AE7:AF7"/>
    <mergeCell ref="P8:Q8"/>
    <mergeCell ref="B23:C23"/>
    <mergeCell ref="F32:G32"/>
    <mergeCell ref="L3:M3"/>
    <mergeCell ref="B21:C21"/>
    <mergeCell ref="N3:O3"/>
    <mergeCell ref="AA15:AB15"/>
    <mergeCell ref="AC15:AD15"/>
    <mergeCell ref="F15:G15"/>
    <mergeCell ref="P6:Q6"/>
    <mergeCell ref="J4:M4"/>
    <mergeCell ref="AH9:AI9"/>
    <mergeCell ref="P3:Q3"/>
    <mergeCell ref="AA3:AB3"/>
    <mergeCell ref="AA29:AB29"/>
    <mergeCell ref="F29:G29"/>
    <mergeCell ref="F16:G16"/>
    <mergeCell ref="F25:G25"/>
    <mergeCell ref="AE32:AF32"/>
    <mergeCell ref="B22:C22"/>
    <mergeCell ref="AA13:AB13"/>
    <mergeCell ref="B31:C31"/>
    <mergeCell ref="B12:C12"/>
  </mergeCells>
  <phoneticPr fontId="2"/>
  <printOptions horizontalCentered="1" verticalCentered="1"/>
  <pageMargins left="0.23622047244094491" right="0.23622047244094491" top="0.74803149606299213" bottom="0.74803149606299213" header="0.31496062992125978" footer="0.31496062992125978"/>
  <pageSetup paperSize="8" scale="8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7"/>
  <sheetViews>
    <sheetView workbookViewId="0">
      <selection activeCell="H7" sqref="H7"/>
    </sheetView>
  </sheetViews>
  <sheetFormatPr defaultRowHeight="18" outlineLevelCol="1" x14ac:dyDescent="0.45"/>
  <cols>
    <col min="2" max="2" width="26.09765625" style="43" bestFit="1" customWidth="1"/>
    <col min="5" max="5" width="28.09765625" style="43" customWidth="1" outlineLevel="1"/>
    <col min="6" max="6" width="46.796875" style="43" customWidth="1" outlineLevel="1"/>
    <col min="7" max="7" width="49.59765625" style="43" customWidth="1" outlineLevel="1"/>
    <col min="8" max="8" width="39.796875" style="43" customWidth="1" outlineLevel="1"/>
    <col min="9" max="9" width="11.09765625" style="43" customWidth="1"/>
    <col min="10" max="10" width="11.3984375" style="43" customWidth="1"/>
    <col min="11" max="11" width="10.3984375" style="43" customWidth="1"/>
  </cols>
  <sheetData>
    <row r="1" spans="2:8" x14ac:dyDescent="0.45">
      <c r="B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2:8" x14ac:dyDescent="0.45">
      <c r="B2" s="30" t="s">
        <v>112</v>
      </c>
      <c r="C2" s="30" t="s">
        <v>113</v>
      </c>
      <c r="E2" t="s">
        <v>114</v>
      </c>
      <c r="F2" t="s">
        <v>20</v>
      </c>
      <c r="G2" t="s">
        <v>7</v>
      </c>
      <c r="H2" t="s">
        <v>6</v>
      </c>
    </row>
    <row r="3" spans="2:8" x14ac:dyDescent="0.45">
      <c r="B3" s="30" t="s">
        <v>115</v>
      </c>
      <c r="C3" s="30">
        <f>COUNTIF(Kintoneデータ抽出!D:D,"*国立病院機構*")</f>
        <v>0</v>
      </c>
      <c r="E3" t="s">
        <v>116</v>
      </c>
      <c r="F3" t="s">
        <v>19</v>
      </c>
      <c r="G3" t="s">
        <v>117</v>
      </c>
      <c r="H3" t="s">
        <v>8</v>
      </c>
    </row>
    <row r="4" spans="2:8" x14ac:dyDescent="0.45">
      <c r="B4" s="30" t="s">
        <v>118</v>
      </c>
      <c r="C4" s="30">
        <f>COUNTIF(Kintoneデータ抽出!D:D,"*地域医療機能推進機構*")</f>
        <v>0</v>
      </c>
      <c r="E4" t="s">
        <v>119</v>
      </c>
      <c r="F4" t="s">
        <v>120</v>
      </c>
      <c r="G4" t="s">
        <v>121</v>
      </c>
      <c r="H4" t="s">
        <v>122</v>
      </c>
    </row>
    <row r="5" spans="2:8" x14ac:dyDescent="0.45">
      <c r="B5" s="30" t="s">
        <v>111</v>
      </c>
      <c r="C5" s="30">
        <f>COUNTA(H2:H18)</f>
        <v>16</v>
      </c>
      <c r="E5" t="s">
        <v>123</v>
      </c>
      <c r="F5" t="s">
        <v>15</v>
      </c>
      <c r="G5" t="s">
        <v>14</v>
      </c>
      <c r="H5" t="s">
        <v>124</v>
      </c>
    </row>
    <row r="6" spans="2:8" ht="18.600000000000001" customHeight="1" x14ac:dyDescent="0.45">
      <c r="B6" s="30" t="s">
        <v>125</v>
      </c>
      <c r="C6" s="30">
        <f>COUNTIFS(Kintoneデータ抽出!D:D,"*市立*")+COUNTIFS(Kintoneデータ抽出!D:D,"*市民*")-COUNTIFS(Kintoneデータ抽出!D:D,"*市立市民*")</f>
        <v>0</v>
      </c>
      <c r="E6" t="s">
        <v>126</v>
      </c>
      <c r="F6" s="3" t="s">
        <v>11</v>
      </c>
      <c r="G6" t="s">
        <v>18</v>
      </c>
      <c r="H6" t="s">
        <v>127</v>
      </c>
    </row>
    <row r="7" spans="2:8" x14ac:dyDescent="0.45">
      <c r="B7" s="30" t="s">
        <v>128</v>
      </c>
      <c r="C7" s="30">
        <f>COUNTIF(Kintoneデータ抽出!D:D,"*赤十字*")</f>
        <v>0</v>
      </c>
      <c r="E7" t="s">
        <v>129</v>
      </c>
      <c r="G7" t="s">
        <v>24</v>
      </c>
      <c r="H7" t="s">
        <v>17</v>
      </c>
    </row>
    <row r="8" spans="2:8" x14ac:dyDescent="0.45">
      <c r="B8" s="30" t="s">
        <v>130</v>
      </c>
      <c r="C8" s="30">
        <f>COUNTIF(Kintoneデータ抽出!D:D,"*済生会*")</f>
        <v>0</v>
      </c>
      <c r="E8" t="s">
        <v>10</v>
      </c>
      <c r="G8" t="s">
        <v>7</v>
      </c>
      <c r="H8" t="s">
        <v>131</v>
      </c>
    </row>
    <row r="9" spans="2:8" x14ac:dyDescent="0.45">
      <c r="B9" s="30" t="s">
        <v>132</v>
      </c>
      <c r="C9" s="30">
        <f>COUNTIF(Kintoneデータ抽出!D:D,"*大学*")+1</f>
        <v>1</v>
      </c>
      <c r="E9" t="s">
        <v>9</v>
      </c>
      <c r="G9" t="s">
        <v>133</v>
      </c>
      <c r="H9" t="s">
        <v>16</v>
      </c>
    </row>
    <row r="10" spans="2:8" x14ac:dyDescent="0.45">
      <c r="B10" s="30" t="s">
        <v>134</v>
      </c>
      <c r="C10" s="30">
        <f>COUNTA(E2:E21)</f>
        <v>15</v>
      </c>
      <c r="E10" t="s">
        <v>135</v>
      </c>
      <c r="H10" t="s">
        <v>27</v>
      </c>
    </row>
    <row r="11" spans="2:8" x14ac:dyDescent="0.45">
      <c r="B11" s="30" t="s">
        <v>136</v>
      </c>
      <c r="C11" s="30">
        <f>COUNTA(F2:F16)</f>
        <v>5</v>
      </c>
      <c r="E11" t="s">
        <v>137</v>
      </c>
      <c r="H11" t="s">
        <v>21</v>
      </c>
    </row>
    <row r="12" spans="2:8" x14ac:dyDescent="0.45">
      <c r="B12" s="30" t="s">
        <v>138</v>
      </c>
      <c r="C12" s="30">
        <f>COUNTA($G$2:$G$16)</f>
        <v>8</v>
      </c>
      <c r="E12" t="s">
        <v>23</v>
      </c>
      <c r="H12" t="s">
        <v>25</v>
      </c>
    </row>
    <row r="13" spans="2:8" x14ac:dyDescent="0.45">
      <c r="E13" t="s">
        <v>139</v>
      </c>
      <c r="H13" t="s">
        <v>140</v>
      </c>
    </row>
    <row r="14" spans="2:8" x14ac:dyDescent="0.45">
      <c r="E14" t="s">
        <v>141</v>
      </c>
      <c r="H14" t="s">
        <v>142</v>
      </c>
    </row>
    <row r="15" spans="2:8" x14ac:dyDescent="0.45">
      <c r="E15" t="s">
        <v>143</v>
      </c>
      <c r="H15" t="s">
        <v>144</v>
      </c>
    </row>
    <row r="16" spans="2:8" x14ac:dyDescent="0.45">
      <c r="E16" t="s">
        <v>12</v>
      </c>
      <c r="H16" t="s">
        <v>13</v>
      </c>
    </row>
    <row r="17" spans="8:8" x14ac:dyDescent="0.45">
      <c r="H17" t="s">
        <v>22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0.499984740745262"/>
  </sheetPr>
  <dimension ref="A1:B13"/>
  <sheetViews>
    <sheetView workbookViewId="0">
      <selection activeCell="A3" sqref="A3"/>
    </sheetView>
  </sheetViews>
  <sheetFormatPr defaultRowHeight="18" x14ac:dyDescent="0.45"/>
  <cols>
    <col min="1" max="1" width="32" style="43" bestFit="1" customWidth="1"/>
    <col min="2" max="2" width="22.19921875" style="43" bestFit="1" customWidth="1"/>
  </cols>
  <sheetData>
    <row r="1" spans="1:2" x14ac:dyDescent="0.45">
      <c r="A1" t="s">
        <v>2</v>
      </c>
      <c r="B1" t="s">
        <v>151</v>
      </c>
    </row>
    <row r="2" spans="1:2" x14ac:dyDescent="0.45">
      <c r="A2" t="s">
        <v>160</v>
      </c>
      <c r="B2" t="s">
        <v>147</v>
      </c>
    </row>
    <row r="3" spans="1:2" x14ac:dyDescent="0.45">
      <c r="A3" t="s">
        <v>5</v>
      </c>
      <c r="B3" t="s">
        <v>146</v>
      </c>
    </row>
    <row r="4" spans="1:2" x14ac:dyDescent="0.45">
      <c r="A4" t="s">
        <v>162</v>
      </c>
      <c r="B4" t="s">
        <v>145</v>
      </c>
    </row>
    <row r="5" spans="1:2" x14ac:dyDescent="0.45">
      <c r="A5" t="s">
        <v>164</v>
      </c>
      <c r="B5" t="s">
        <v>149</v>
      </c>
    </row>
    <row r="6" spans="1:2" x14ac:dyDescent="0.45">
      <c r="A6" t="s">
        <v>4</v>
      </c>
      <c r="B6" t="s">
        <v>148</v>
      </c>
    </row>
    <row r="7" spans="1:2" x14ac:dyDescent="0.45">
      <c r="A7" t="s">
        <v>163</v>
      </c>
      <c r="B7" t="s">
        <v>152</v>
      </c>
    </row>
    <row r="8" spans="1:2" x14ac:dyDescent="0.45">
      <c r="A8" t="s">
        <v>165</v>
      </c>
      <c r="B8" t="s">
        <v>153</v>
      </c>
    </row>
    <row r="9" spans="1:2" x14ac:dyDescent="0.45">
      <c r="A9" t="s">
        <v>161</v>
      </c>
      <c r="B9" t="s">
        <v>154</v>
      </c>
    </row>
    <row r="10" spans="1:2" x14ac:dyDescent="0.45">
      <c r="A10" t="s">
        <v>166</v>
      </c>
      <c r="B10" t="s">
        <v>155</v>
      </c>
    </row>
    <row r="11" spans="1:2" x14ac:dyDescent="0.45">
      <c r="A11" t="s">
        <v>167</v>
      </c>
      <c r="B11" t="s">
        <v>156</v>
      </c>
    </row>
    <row r="12" spans="1:2" x14ac:dyDescent="0.45">
      <c r="A12" t="s">
        <v>158</v>
      </c>
      <c r="B12" t="s">
        <v>157</v>
      </c>
    </row>
    <row r="13" spans="1:2" x14ac:dyDescent="0.45">
      <c r="A13" t="s">
        <v>159</v>
      </c>
      <c r="B13" t="s">
        <v>150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Kintoneデータ抽出</vt:lpstr>
      <vt:lpstr>クライアント名あり（縦）</vt:lpstr>
      <vt:lpstr>地図版 </vt:lpstr>
      <vt:lpstr>病院別実績</vt:lpstr>
      <vt:lpstr>基本開園日の表記</vt:lpstr>
      <vt:lpstr>'クライアント名あり（縦）'!Print_Area</vt:lpstr>
      <vt:lpstr>'地図版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優 井崎</cp:lastModifiedBy>
  <cp:lastPrinted>2025-10-02T05:06:42Z</cp:lastPrinted>
  <dcterms:created xsi:type="dcterms:W3CDTF">2018-09-27T03:20:58Z</dcterms:created>
  <dcterms:modified xsi:type="dcterms:W3CDTF">2026-02-03T07:38:18Z</dcterms:modified>
</cp:coreProperties>
</file>